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comments9.xml" ContentType="application/vnd.openxmlformats-officedocument.spreadsheetml.comments+xml"/>
  <Override PartName="/xl/drawings/drawing17.xml" ContentType="application/vnd.openxmlformats-officedocument.drawing+xml"/>
  <Override PartName="/xl/comments10.xml" ContentType="application/vnd.openxmlformats-officedocument.spreadsheetml.comments+xml"/>
  <Override PartName="/xl/drawings/drawing18.xml" ContentType="application/vnd.openxmlformats-officedocument.drawing+xml"/>
  <Override PartName="/xl/comments11.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12.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915" codeName="{3B30410F-F142-6C75-8FE4-BCCB68B04300}"/>
  <workbookPr codeName="EstaPasta_de_trabalho" hidePivotFieldList="1" autoCompressPictures="0"/>
  <mc:AlternateContent xmlns:mc="http://schemas.openxmlformats.org/markup-compatibility/2006">
    <mc:Choice Requires="x15">
      <x15ac:absPath xmlns:x15ac="http://schemas.microsoft.com/office/spreadsheetml/2010/11/ac" url="/Users/apple/Dropbox/Clinica do Leite/Projetos/MDA/Planilha/2016/"/>
    </mc:Choice>
  </mc:AlternateContent>
  <workbookProtection workbookPassword="8826" lockStructure="1"/>
  <bookViews>
    <workbookView xWindow="0" yWindow="460" windowWidth="25600" windowHeight="15460" tabRatio="968"/>
  </bookViews>
  <sheets>
    <sheet name="Home" sheetId="13" r:id="rId1"/>
    <sheet name="Input Financeiro atual" sheetId="1" r:id="rId2"/>
    <sheet name="Input Zootecnico atual" sheetId="26" r:id="rId3"/>
    <sheet name="Input Processos" sheetId="32" state="hidden" r:id="rId4"/>
    <sheet name="Input Mastite" sheetId="27" state="hidden" r:id="rId5"/>
    <sheet name="Analise Econômica" sheetId="2" r:id="rId6"/>
    <sheet name="Análise dos Processos" sheetId="3" r:id="rId7"/>
    <sheet name="Avaliação dos Funcionários" sheetId="8" r:id="rId8"/>
    <sheet name="Avaliação das perdas" sheetId="10" r:id="rId9"/>
    <sheet name="Perdas por Mastite" sheetId="11" r:id="rId10"/>
    <sheet name="SWOT" sheetId="35" state="hidden" r:id="rId11"/>
    <sheet name="Projetos" sheetId="37" state="hidden" r:id="rId12"/>
    <sheet name="Inputs" sheetId="15" r:id="rId13"/>
    <sheet name="Ev. Rebanho" sheetId="16" r:id="rId14"/>
    <sheet name="Alim. 1 trim." sheetId="17" r:id="rId15"/>
    <sheet name="Alim. 2 trim." sheetId="18" r:id="rId16"/>
    <sheet name="Alim. 3 trim." sheetId="19" r:id="rId17"/>
    <sheet name="Alim. 4 trim." sheetId="20" r:id="rId18"/>
    <sheet name="Estatisticas Economicas" sheetId="23" r:id="rId19"/>
    <sheet name="DRA" sheetId="21" r:id="rId20"/>
    <sheet name="Orçamento" sheetId="22" r:id="rId21"/>
    <sheet name="Realizado" sheetId="25" r:id="rId22"/>
    <sheet name="Simulação do Caixa" sheetId="49" r:id="rId23"/>
    <sheet name="Caixa Dinâmico" sheetId="51" r:id="rId24"/>
    <sheet name="MANTRA" sheetId="40" state="hidden" r:id="rId25"/>
    <sheet name="Visão" sheetId="53" r:id="rId26"/>
    <sheet name="SandBox" sheetId="38" state="hidden" r:id="rId27"/>
    <sheet name="Versões" sheetId="42" state="hidden" r:id="rId28"/>
  </sheets>
  <externalReferences>
    <externalReference r:id="rId29"/>
    <externalReference r:id="rId30"/>
    <externalReference r:id="rId31"/>
  </externalReferences>
  <definedNames>
    <definedName name="_xlnm._FilterDatabase" localSheetId="11" hidden="1">Projetos!$B$8:$H$24</definedName>
    <definedName name="Área_impressão_IM" localSheetId="15">#REF!</definedName>
    <definedName name="Área_impressão_IM" localSheetId="16">#REF!</definedName>
    <definedName name="Área_impressão_IM" localSheetId="17">#REF!</definedName>
    <definedName name="Área_impressão_IM" localSheetId="8">#REF!</definedName>
    <definedName name="Área_impressão_IM" localSheetId="23">#REF!</definedName>
    <definedName name="Área_impressão_IM" localSheetId="3">#REF!</definedName>
    <definedName name="Área_impressão_IM" localSheetId="24">#REF!</definedName>
    <definedName name="Área_impressão_IM" localSheetId="9">#REF!</definedName>
    <definedName name="Área_impressão_IM" localSheetId="11">#REF!</definedName>
    <definedName name="Área_impressão_IM" localSheetId="26">#REF!</definedName>
    <definedName name="Área_impressão_IM" localSheetId="27">#REF!</definedName>
    <definedName name="Área_impressão_IM" localSheetId="25">#REF!</definedName>
    <definedName name="Capacidade_execução" comment="xdvxcvxcvxcvxcvxcv" localSheetId="15">#REF!</definedName>
    <definedName name="Capacidade_execução" comment="xdvxcvxcvxcvxcvxcv" localSheetId="16">#REF!</definedName>
    <definedName name="Capacidade_execução" comment="xdvxcvxcvxcvxcvxcv" localSheetId="17">#REF!</definedName>
    <definedName name="Capacidade_execução" comment="xdvxcvxcvxcvxcvxcv" localSheetId="8">#REF!</definedName>
    <definedName name="Capacidade_execução" comment="xdvxcvxcvxcvxcvxcv" localSheetId="23">#REF!</definedName>
    <definedName name="Capacidade_execução" comment="xdvxcvxcvxcvxcvxcv" localSheetId="3">#REF!</definedName>
    <definedName name="Capacidade_execução" comment="xdvxcvxcvxcvxcvxcv" localSheetId="24">#REF!</definedName>
    <definedName name="Capacidade_execução" comment="xdvxcvxcvxcvxcvxcv" localSheetId="9">#REF!</definedName>
    <definedName name="Capacidade_execução" comment="xdvxcvxcvxcvxcvxcv" localSheetId="11">#REF!</definedName>
    <definedName name="Capacidade_execução" comment="xdvxcvxcvxcvxcvxcv" localSheetId="26">#REF!</definedName>
    <definedName name="Capacidade_execução" comment="xdvxcvxcvxcvxcvxcv" localSheetId="27">#REF!</definedName>
    <definedName name="Capacidade_execução" comment="xdvxcvxcvxcvxcvxcv" localSheetId="25">#REF!</definedName>
    <definedName name="DoMPrediction" localSheetId="8">[1]!DoMPrediction</definedName>
    <definedName name="DoMPrediction" localSheetId="23">[1]!DoMPrediction</definedName>
    <definedName name="DoMPrediction" localSheetId="24">[1]!DoMPrediction</definedName>
    <definedName name="DoMPrediction" localSheetId="9">[1]!DoMPrediction</definedName>
    <definedName name="DoMPrediction" localSheetId="11">[1]!DoMPrediction</definedName>
    <definedName name="DoMPrediction" localSheetId="26">[1]!DoMPrediction</definedName>
    <definedName name="DoMPrediction" localSheetId="27">[1]!DoMPrediction</definedName>
    <definedName name="DoMPrediction" localSheetId="25">[1]!DoMPrediction</definedName>
    <definedName name="DoPrediction" localSheetId="8">[1]!DoPrediction</definedName>
    <definedName name="DoPrediction" localSheetId="23">[1]!DoPrediction</definedName>
    <definedName name="DoPrediction" localSheetId="24">[1]!DoPrediction</definedName>
    <definedName name="DoPrediction" localSheetId="9">[1]!DoPrediction</definedName>
    <definedName name="DoPrediction" localSheetId="11">[1]!DoPrediction</definedName>
    <definedName name="DoPrediction" localSheetId="26">[1]!DoPrediction</definedName>
    <definedName name="DoPrediction" localSheetId="27">[1]!DoPrediction</definedName>
    <definedName name="DoPrediction" localSheetId="25">[1]!DoPrediction</definedName>
    <definedName name="Meta" localSheetId="15">#REF!</definedName>
    <definedName name="Meta" localSheetId="16">#REF!</definedName>
    <definedName name="Meta" localSheetId="17">#REF!</definedName>
    <definedName name="Meta" localSheetId="8">#REF!</definedName>
    <definedName name="Meta" localSheetId="23">#REF!</definedName>
    <definedName name="Meta" localSheetId="3">#REF!</definedName>
    <definedName name="Meta" localSheetId="24">#REF!</definedName>
    <definedName name="Meta" localSheetId="9">#REF!</definedName>
    <definedName name="Meta" localSheetId="11">#REF!</definedName>
    <definedName name="Meta" localSheetId="26">#REF!</definedName>
    <definedName name="Meta" localSheetId="27">#REF!</definedName>
    <definedName name="Meta" localSheetId="25">#REF!</definedName>
    <definedName name="p" localSheetId="15">#REF!</definedName>
    <definedName name="p" localSheetId="16">#REF!</definedName>
    <definedName name="p" localSheetId="17">#REF!</definedName>
    <definedName name="p" localSheetId="8">#REF!</definedName>
    <definedName name="p" localSheetId="23">#REF!</definedName>
    <definedName name="p" localSheetId="3">#REF!</definedName>
    <definedName name="p" localSheetId="24">#REF!</definedName>
    <definedName name="p" localSheetId="9">#REF!</definedName>
    <definedName name="p" localSheetId="11">#REF!</definedName>
    <definedName name="p" localSheetId="26">#REF!</definedName>
    <definedName name="p" localSheetId="27">#REF!</definedName>
    <definedName name="p" localSheetId="25">#REF!</definedName>
    <definedName name="periodo_selecionado" localSheetId="23">[2]Cronograma!$H$3</definedName>
    <definedName name="periodo_selecionado" localSheetId="24">[2]Cronograma!$H$3</definedName>
    <definedName name="periodo_selecionado" localSheetId="11">[2]Cronograma!$H$3</definedName>
    <definedName name="periodo_selecionado" localSheetId="26">[2]Cronograma!$H$3</definedName>
    <definedName name="periodo_selecionado" localSheetId="27">[2]Cronograma!$H$3</definedName>
    <definedName name="periodo_selecionado" localSheetId="25">[2]Cronograma!$H$3</definedName>
    <definedName name="PeriodoInPlanejado" localSheetId="23">[2]Cronograma!A$8=MEDIAN([2]Cronograma!A$8,[2]Cronograma!$C1,[2]Cronograma!$C1+[2]Cronograma!$D1-1)</definedName>
    <definedName name="PeriodoInPlanejado" localSheetId="24">[2]Cronograma!A$8=MEDIAN([2]Cronograma!A$8,[2]Cronograma!$C1,[2]Cronograma!$C1+[2]Cronograma!$D1-1)</definedName>
    <definedName name="PeriodoInPlanejado" localSheetId="11">[2]Cronograma!A$8=MEDIAN([2]Cronograma!A$8,[2]Cronograma!$C1,[2]Cronograma!$C1+[2]Cronograma!$D1-1)</definedName>
    <definedName name="PeriodoInPlanejado" localSheetId="26">[2]Cronograma!A$8=MEDIAN([2]Cronograma!A$8,[2]Cronograma!$C1,[2]Cronograma!$C1+[2]Cronograma!$D1-1)</definedName>
    <definedName name="PeriodoInPlanejado" localSheetId="27">[2]Cronograma!A$8=MEDIAN([2]Cronograma!A$8,[2]Cronograma!$C1,[2]Cronograma!$C1+[2]Cronograma!$D1-1)</definedName>
    <definedName name="PeriodoInPlanejado" localSheetId="25">[2]Cronograma!A$8=MEDIAN([2]Cronograma!A$8,[2]Cronograma!$C1,[2]Cronograma!$C1+[2]Cronograma!$D1-1)</definedName>
    <definedName name="PeriodoInPlanejado">[2]Cronograma!A$8=MEDIAN([2]Cronograma!A$8,[2]Cronograma!$C1,[2]Cronograma!$C1+[2]Cronograma!$D1-1)</definedName>
    <definedName name="PeriodoInReal" localSheetId="23">[2]Cronograma!A$8=MEDIAN([2]Cronograma!A$8,[2]Cronograma!$E1,[2]Cronograma!$E1+[2]Cronograma!$F1-1)</definedName>
    <definedName name="PeriodoInReal" localSheetId="24">[2]Cronograma!A$8=MEDIAN([2]Cronograma!A$8,[2]Cronograma!$E1,[2]Cronograma!$E1+[2]Cronograma!$F1-1)</definedName>
    <definedName name="PeriodoInReal" localSheetId="11">[2]Cronograma!A$8=MEDIAN([2]Cronograma!A$8,[2]Cronograma!$E1,[2]Cronograma!$E1+[2]Cronograma!$F1-1)</definedName>
    <definedName name="PeriodoInReal" localSheetId="26">[2]Cronograma!A$8=MEDIAN([2]Cronograma!A$8,[2]Cronograma!$E1,[2]Cronograma!$E1+[2]Cronograma!$F1-1)</definedName>
    <definedName name="PeriodoInReal" localSheetId="27">[2]Cronograma!A$8=MEDIAN([2]Cronograma!A$8,[2]Cronograma!$E1,[2]Cronograma!$E1+[2]Cronograma!$F1-1)</definedName>
    <definedName name="PeriodoInReal" localSheetId="25">[2]Cronograma!A$8=MEDIAN([2]Cronograma!A$8,[2]Cronograma!$E1,[2]Cronograma!$E1+[2]Cronograma!$F1-1)</definedName>
    <definedName name="PeriodoInReal">[2]Cronograma!A$8=MEDIAN([2]Cronograma!A$8,[2]Cronograma!$E1,[2]Cronograma!$E1+[2]Cronograma!$F1-1)</definedName>
    <definedName name="Plano" localSheetId="23">'Caixa Dinâmico'!PeriodoInPlanejado*([2]Cronograma!$C1&gt;0)</definedName>
    <definedName name="Plano" localSheetId="24">MANTRA!PeriodoInPlanejado*([2]Cronograma!$C1&gt;0)</definedName>
    <definedName name="Plano" localSheetId="11">Projetos!PeriodoInPlanejado*([2]Cronograma!$C1&gt;0)</definedName>
    <definedName name="Plano" localSheetId="26">SandBox!PeriodoInPlanejado*([2]Cronograma!$C1&gt;0)</definedName>
    <definedName name="Plano" localSheetId="27">Versões!PeriodoInPlanejado*([2]Cronograma!$C1&gt;0)</definedName>
    <definedName name="Plano" localSheetId="25">Visão!PeriodoInPlanejado*([2]Cronograma!$C1&gt;0)</definedName>
    <definedName name="PorcentagemConcluída" localSheetId="23">'Caixa Dinâmico'!PorcentagemConcluídaPosterior*'Caixa Dinâmico'!PeriodoInPlanejado</definedName>
    <definedName name="PorcentagemConcluída" localSheetId="24">MANTRA!PorcentagemConcluídaPosterior*MANTRA!PeriodoInPlanejado</definedName>
    <definedName name="PorcentagemConcluída" localSheetId="11">Projetos!PorcentagemConcluídaPosterior*Projetos!PeriodoInPlanejado</definedName>
    <definedName name="PorcentagemConcluída" localSheetId="26">SandBox!PorcentagemConcluídaPosterior*SandBox!PeriodoInPlanejado</definedName>
    <definedName name="PorcentagemConcluída" localSheetId="27">Versões!PorcentagemConcluídaPosterior*Versões!PeriodoInPlanejado</definedName>
    <definedName name="PorcentagemConcluída" localSheetId="25">Visão!PorcentagemConcluídaPosterior*Visão!PeriodoInPlanejado</definedName>
    <definedName name="PorcentagemConcluídaPosterior" localSheetId="23">([2]Cronograma!A$8=MEDIAN([2]Cronograma!A$8,[2]Cronograma!$E1,[2]Cronograma!$E1+[2]Cronograma!$F1)*([2]Cronograma!$E1&gt;0))*(([2]Cronograma!A$8&lt;(INT([2]Cronograma!$E1+[2]Cronograma!$F1*[2]Cronograma!$G1)))+([2]Cronograma!A$8=[2]Cronograma!$E1))*([2]Cronograma!$G1&gt;0)</definedName>
    <definedName name="PorcentagemConcluídaPosterior" localSheetId="24">([2]Cronograma!A$8=MEDIAN([2]Cronograma!A$8,[2]Cronograma!$E1,[2]Cronograma!$E1+[2]Cronograma!$F1)*([2]Cronograma!$E1&gt;0))*(([2]Cronograma!A$8&lt;(INT([2]Cronograma!$E1+[2]Cronograma!$F1*[2]Cronograma!$G1)))+([2]Cronograma!A$8=[2]Cronograma!$E1))*([2]Cronograma!$G1&gt;0)</definedName>
    <definedName name="PorcentagemConcluídaPosterior" localSheetId="11">([2]Cronograma!A$8=MEDIAN([2]Cronograma!A$8,[2]Cronograma!$E1,[2]Cronograma!$E1+[2]Cronograma!$F1)*([2]Cronograma!$E1&gt;0))*(([2]Cronograma!A$8&lt;(INT([2]Cronograma!$E1+[2]Cronograma!$F1*[2]Cronograma!$G1)))+([2]Cronograma!A$8=[2]Cronograma!$E1))*([2]Cronograma!$G1&gt;0)</definedName>
    <definedName name="PorcentagemConcluídaPosterior" localSheetId="26">([2]Cronograma!A$8=MEDIAN([2]Cronograma!A$8,[2]Cronograma!$E1,[2]Cronograma!$E1+[2]Cronograma!$F1)*([2]Cronograma!$E1&gt;0))*(([2]Cronograma!A$8&lt;(INT([2]Cronograma!$E1+[2]Cronograma!$F1*[2]Cronograma!$G1)))+([2]Cronograma!A$8=[2]Cronograma!$E1))*([2]Cronograma!$G1&gt;0)</definedName>
    <definedName name="PorcentagemConcluídaPosterior" localSheetId="27">([2]Cronograma!A$8=MEDIAN([2]Cronograma!A$8,[2]Cronograma!$E1,[2]Cronograma!$E1+[2]Cronograma!$F1)*([2]Cronograma!$E1&gt;0))*(([2]Cronograma!A$8&lt;(INT([2]Cronograma!$E1+[2]Cronograma!$F1*[2]Cronograma!$G1)))+([2]Cronograma!A$8=[2]Cronograma!$E1))*([2]Cronograma!$G1&gt;0)</definedName>
    <definedName name="PorcentagemConcluídaPosterior" localSheetId="25">([2]Cronograma!A$8=MEDIAN([2]Cronograma!A$8,[2]Cronograma!$E1,[2]Cronograma!$E1+[2]Cronograma!$F1)*([2]Cronograma!$E1&gt;0))*(([2]Cronograma!A$8&lt;(INT([2]Cronograma!$E1+[2]Cronograma!$F1*[2]Cronograma!$G1)))+([2]Cronograma!A$8=[2]Cronograma!$E1))*([2]Cronograma!$G1&gt;0)</definedName>
    <definedName name="Print_Area_MI" localSheetId="8">[3]Metabolicproblemsmonitor!$B$1:$H$39</definedName>
    <definedName name="Print_Area_MI" localSheetId="23">[3]Metabolicproblemsmonitor!$B$1:$H$39</definedName>
    <definedName name="Print_Area_MI" localSheetId="24">[3]Metabolicproblemsmonitor!$B$1:$H$39</definedName>
    <definedName name="Print_Area_MI" localSheetId="9">[3]Metabolicproblemsmonitor!$B$1:$H$39</definedName>
    <definedName name="Print_Area_MI" localSheetId="11">[3]Metabolicproblemsmonitor!$B$1:$H$39</definedName>
    <definedName name="Print_Area_MI" localSheetId="26">[3]Metabolicproblemsmonitor!$B$1:$H$39</definedName>
    <definedName name="Print_Area_MI" localSheetId="27">[3]Metabolicproblemsmonitor!$B$1:$H$39</definedName>
    <definedName name="Print_Area_MI" localSheetId="25">[3]Metabolicproblemsmonitor!$B$1:$H$39</definedName>
    <definedName name="Processos2" localSheetId="15">#REF!</definedName>
    <definedName name="Processos2" localSheetId="16">#REF!</definedName>
    <definedName name="Processos2" localSheetId="17">#REF!</definedName>
    <definedName name="Processos2" localSheetId="23">#REF!</definedName>
    <definedName name="Processos2" localSheetId="3">#REF!</definedName>
    <definedName name="Processos2" localSheetId="24">#REF!</definedName>
    <definedName name="Processos2" localSheetId="11">#REF!</definedName>
    <definedName name="Processos2" localSheetId="26">#REF!</definedName>
    <definedName name="Processos2" localSheetId="27">#REF!</definedName>
    <definedName name="Processos2" localSheetId="25">#REF!</definedName>
    <definedName name="Real" localSheetId="23">('Caixa Dinâmico'!PeriodoInReal*([2]Cronograma!$E1&gt;0))*'Caixa Dinâmico'!PeriodoInPlanejado</definedName>
    <definedName name="Real" localSheetId="24">(MANTRA!PeriodoInReal*([2]Cronograma!$E1&gt;0))*MANTRA!PeriodoInPlanejado</definedName>
    <definedName name="Real" localSheetId="11">(Projetos!PeriodoInReal*([2]Cronograma!$E1&gt;0))*Projetos!PeriodoInPlanejado</definedName>
    <definedName name="Real" localSheetId="26">(SandBox!PeriodoInReal*([2]Cronograma!$E1&gt;0))*SandBox!PeriodoInPlanejado</definedName>
    <definedName name="Real" localSheetId="27">(Versões!PeriodoInReal*([2]Cronograma!$E1&gt;0))*Versões!PeriodoInPlanejado</definedName>
    <definedName name="Real" localSheetId="25">(Visão!PeriodoInReal*([2]Cronograma!$E1&gt;0))*Visão!PeriodoInPlanejado</definedName>
    <definedName name="RealPosterior" localSheetId="23">'Caixa Dinâmico'!PeriodoInReal*([2]Cronograma!$E1&gt;0)</definedName>
    <definedName name="RealPosterior" localSheetId="24">MANTRA!PeriodoInReal*([2]Cronograma!$E1&gt;0)</definedName>
    <definedName name="RealPosterior" localSheetId="11">Projetos!PeriodoInReal*([2]Cronograma!$E1&gt;0)</definedName>
    <definedName name="RealPosterior" localSheetId="26">SandBox!PeriodoInReal*([2]Cronograma!$E1&gt;0)</definedName>
    <definedName name="RealPosterior" localSheetId="27">Versões!PeriodoInReal*([2]Cronograma!$E1&gt;0)</definedName>
    <definedName name="RealPosterior" localSheetId="25">Visão!PeriodoInReal*([2]Cronograma!$E1&gt;0)</definedName>
    <definedName name="Status" localSheetId="15">#REF!</definedName>
    <definedName name="Status" localSheetId="16">#REF!</definedName>
    <definedName name="Status" localSheetId="17">#REF!</definedName>
    <definedName name="Status" localSheetId="8">#REF!</definedName>
    <definedName name="Status" localSheetId="23">#REF!</definedName>
    <definedName name="Status" localSheetId="3">#REF!</definedName>
    <definedName name="Status" localSheetId="24">#REF!</definedName>
    <definedName name="Status" localSheetId="9">#REF!</definedName>
    <definedName name="Status" localSheetId="11">#REF!</definedName>
    <definedName name="Status" localSheetId="26">#REF!</definedName>
    <definedName name="Status" localSheetId="27">#REF!</definedName>
    <definedName name="Status" localSheetId="25">#REF!</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6" i="16" l="1"/>
  <c r="B7" i="16"/>
  <c r="B8" i="16"/>
  <c r="B9" i="16"/>
  <c r="B10" i="16"/>
  <c r="B11" i="16"/>
  <c r="B12" i="16"/>
  <c r="B14" i="16"/>
  <c r="B15" i="16"/>
  <c r="B16" i="16"/>
  <c r="D17" i="26"/>
  <c r="D19" i="26"/>
  <c r="D27" i="16"/>
  <c r="D31" i="16"/>
  <c r="D35" i="16"/>
  <c r="E23" i="16"/>
  <c r="E27" i="16"/>
  <c r="E29" i="16"/>
  <c r="E31" i="16"/>
  <c r="E30" i="16"/>
  <c r="D6" i="22"/>
  <c r="E32" i="16"/>
  <c r="D8" i="22"/>
  <c r="D10" i="22"/>
  <c r="F23" i="16"/>
  <c r="F27" i="16"/>
  <c r="F29" i="16"/>
  <c r="F31" i="16"/>
  <c r="F30" i="16"/>
  <c r="E6" i="22"/>
  <c r="F32" i="16"/>
  <c r="E8" i="22"/>
  <c r="E10" i="22"/>
  <c r="G23" i="16"/>
  <c r="G27" i="16"/>
  <c r="G29" i="16"/>
  <c r="G31" i="16"/>
  <c r="G30" i="16"/>
  <c r="F6" i="22"/>
  <c r="G32" i="16"/>
  <c r="F8" i="22"/>
  <c r="F10" i="22"/>
  <c r="H23" i="16"/>
  <c r="H27" i="16"/>
  <c r="H29" i="16"/>
  <c r="H31" i="16"/>
  <c r="H30" i="16"/>
  <c r="G6" i="22"/>
  <c r="H32" i="16"/>
  <c r="G8" i="22"/>
  <c r="G10" i="22"/>
  <c r="I23" i="16"/>
  <c r="I27" i="16"/>
  <c r="I29" i="16"/>
  <c r="I31" i="16"/>
  <c r="I30" i="16"/>
  <c r="H6" i="22"/>
  <c r="I32" i="16"/>
  <c r="H8" i="22"/>
  <c r="H10" i="22"/>
  <c r="J23" i="16"/>
  <c r="J27" i="16"/>
  <c r="J29" i="16"/>
  <c r="J31" i="16"/>
  <c r="J30" i="16"/>
  <c r="I6" i="22"/>
  <c r="J32" i="16"/>
  <c r="I8" i="22"/>
  <c r="I10" i="22"/>
  <c r="K23" i="16"/>
  <c r="D40" i="16"/>
  <c r="D39" i="16"/>
  <c r="E40" i="16"/>
  <c r="E18" i="16"/>
  <c r="E19" i="16"/>
  <c r="E21" i="16"/>
  <c r="E39" i="16"/>
  <c r="F40" i="16"/>
  <c r="F18" i="16"/>
  <c r="F19" i="16"/>
  <c r="F21" i="16"/>
  <c r="F39" i="16"/>
  <c r="G40" i="16"/>
  <c r="G18" i="16"/>
  <c r="G19" i="16"/>
  <c r="G21" i="16"/>
  <c r="G39" i="16"/>
  <c r="H40" i="16"/>
  <c r="H18" i="16"/>
  <c r="H19" i="16"/>
  <c r="H21" i="16"/>
  <c r="H39" i="16"/>
  <c r="I40" i="16"/>
  <c r="I18" i="16"/>
  <c r="I19" i="16"/>
  <c r="I21" i="16"/>
  <c r="I39" i="16"/>
  <c r="J40" i="16"/>
  <c r="K24" i="16"/>
  <c r="K27" i="16"/>
  <c r="K29" i="16"/>
  <c r="K31" i="16"/>
  <c r="K30" i="16"/>
  <c r="J6" i="22"/>
  <c r="K32" i="16"/>
  <c r="J8" i="22"/>
  <c r="J10" i="22"/>
  <c r="L23" i="16"/>
  <c r="J18" i="16"/>
  <c r="J19" i="16"/>
  <c r="J21" i="16"/>
  <c r="J39" i="16"/>
  <c r="K40" i="16"/>
  <c r="L24" i="16"/>
  <c r="L27" i="16"/>
  <c r="L29" i="16"/>
  <c r="L31" i="16"/>
  <c r="L30" i="16"/>
  <c r="K6" i="22"/>
  <c r="L32" i="16"/>
  <c r="K8" i="22"/>
  <c r="K10" i="22"/>
  <c r="M23" i="16"/>
  <c r="K18" i="16"/>
  <c r="K19" i="16"/>
  <c r="K21" i="16"/>
  <c r="K39" i="16"/>
  <c r="L40" i="16"/>
  <c r="M24" i="16"/>
  <c r="M27" i="16"/>
  <c r="M29" i="16"/>
  <c r="M31" i="16"/>
  <c r="M30" i="16"/>
  <c r="L6" i="22"/>
  <c r="M32" i="16"/>
  <c r="L8" i="22"/>
  <c r="L10" i="22"/>
  <c r="N23" i="16"/>
  <c r="L18" i="16"/>
  <c r="L19" i="16"/>
  <c r="L21" i="16"/>
  <c r="L39" i="16"/>
  <c r="M40" i="16"/>
  <c r="N24" i="16"/>
  <c r="N27" i="16"/>
  <c r="N29" i="16"/>
  <c r="N31" i="16"/>
  <c r="N30" i="16"/>
  <c r="M6" i="22"/>
  <c r="N32" i="16"/>
  <c r="M8" i="22"/>
  <c r="M10" i="22"/>
  <c r="O23" i="16"/>
  <c r="M18" i="16"/>
  <c r="M19" i="16"/>
  <c r="M21" i="16"/>
  <c r="M39" i="16"/>
  <c r="N40" i="16"/>
  <c r="O24" i="16"/>
  <c r="O27" i="16"/>
  <c r="O29" i="16"/>
  <c r="O31" i="16"/>
  <c r="O30" i="16"/>
  <c r="N6" i="22"/>
  <c r="O32" i="16"/>
  <c r="N8" i="22"/>
  <c r="N10" i="22"/>
  <c r="P23" i="16"/>
  <c r="N18" i="16"/>
  <c r="N19" i="16"/>
  <c r="N21" i="16"/>
  <c r="N39" i="16"/>
  <c r="O40" i="16"/>
  <c r="P24" i="16"/>
  <c r="P27" i="16"/>
  <c r="P29" i="16"/>
  <c r="P31" i="16"/>
  <c r="P30" i="16"/>
  <c r="O6" i="22"/>
  <c r="P32" i="16"/>
  <c r="O8" i="22"/>
  <c r="O10" i="22"/>
  <c r="P10" i="22"/>
  <c r="F9" i="21"/>
  <c r="D12" i="22"/>
  <c r="E12" i="22"/>
  <c r="F12" i="22"/>
  <c r="G12" i="22"/>
  <c r="H12" i="22"/>
  <c r="I12" i="22"/>
  <c r="J12" i="22"/>
  <c r="K12" i="22"/>
  <c r="L12" i="22"/>
  <c r="M12" i="22"/>
  <c r="N12" i="22"/>
  <c r="O12" i="22"/>
  <c r="P12" i="22"/>
  <c r="F10" i="21"/>
  <c r="O18" i="16"/>
  <c r="O19" i="16"/>
  <c r="O21" i="16"/>
  <c r="O39" i="16"/>
  <c r="P18" i="16"/>
  <c r="P19" i="16"/>
  <c r="P21" i="16"/>
  <c r="P39" i="16"/>
  <c r="P40" i="16"/>
  <c r="P41" i="16"/>
  <c r="D41" i="16"/>
  <c r="I40" i="15"/>
  <c r="I38" i="15"/>
  <c r="I39" i="15"/>
  <c r="I56" i="15"/>
  <c r="I53" i="15"/>
  <c r="F12" i="21"/>
  <c r="I8" i="15"/>
  <c r="P9" i="22"/>
  <c r="F8" i="21"/>
  <c r="F14" i="21"/>
  <c r="D6" i="23"/>
  <c r="O29" i="17"/>
  <c r="C31" i="17"/>
  <c r="C22" i="17"/>
  <c r="C27" i="17"/>
  <c r="D27" i="17"/>
  <c r="E27" i="17"/>
  <c r="E36" i="16"/>
  <c r="F36" i="16"/>
  <c r="G36" i="16"/>
  <c r="F27" i="17"/>
  <c r="G27" i="17"/>
  <c r="H27" i="17"/>
  <c r="I27" i="17"/>
  <c r="J7" i="17"/>
  <c r="K7" i="17"/>
  <c r="M7" i="17"/>
  <c r="N7" i="17"/>
  <c r="J8" i="17"/>
  <c r="K8" i="17"/>
  <c r="M8" i="17"/>
  <c r="N8" i="17"/>
  <c r="J9" i="17"/>
  <c r="K9" i="17"/>
  <c r="M9" i="17"/>
  <c r="N9" i="17"/>
  <c r="J10" i="17"/>
  <c r="K10" i="17"/>
  <c r="M10" i="17"/>
  <c r="N10" i="17"/>
  <c r="J11" i="17"/>
  <c r="K11" i="17"/>
  <c r="M11" i="17"/>
  <c r="N11" i="17"/>
  <c r="J12" i="17"/>
  <c r="K12" i="17"/>
  <c r="M12" i="17"/>
  <c r="N12" i="17"/>
  <c r="J13" i="17"/>
  <c r="K13" i="17"/>
  <c r="M13" i="17"/>
  <c r="N13" i="17"/>
  <c r="J14" i="17"/>
  <c r="K14" i="17"/>
  <c r="M14" i="17"/>
  <c r="N14" i="17"/>
  <c r="J15" i="17"/>
  <c r="K15" i="17"/>
  <c r="M15" i="17"/>
  <c r="N15" i="17"/>
  <c r="J16" i="17"/>
  <c r="K16" i="17"/>
  <c r="M16" i="17"/>
  <c r="N16" i="17"/>
  <c r="J17" i="17"/>
  <c r="K17" i="17"/>
  <c r="M17" i="17"/>
  <c r="N17" i="17"/>
  <c r="J18" i="17"/>
  <c r="K18" i="17"/>
  <c r="M18" i="17"/>
  <c r="N18" i="17"/>
  <c r="J19" i="17"/>
  <c r="K19" i="17"/>
  <c r="M19" i="17"/>
  <c r="N19" i="17"/>
  <c r="J20" i="17"/>
  <c r="K20" i="17"/>
  <c r="M20" i="17"/>
  <c r="N20" i="17"/>
  <c r="J21" i="17"/>
  <c r="K21" i="17"/>
  <c r="M21" i="17"/>
  <c r="N21" i="17"/>
  <c r="C41" i="17"/>
  <c r="E41" i="16"/>
  <c r="F41" i="16"/>
  <c r="G41" i="16"/>
  <c r="D17" i="22"/>
  <c r="E17" i="22"/>
  <c r="F17" i="22"/>
  <c r="O29" i="18"/>
  <c r="C31" i="18"/>
  <c r="C22" i="18"/>
  <c r="C27" i="18"/>
  <c r="D27" i="18"/>
  <c r="E27" i="18"/>
  <c r="H36" i="16"/>
  <c r="I36" i="16"/>
  <c r="J36" i="16"/>
  <c r="F27" i="18"/>
  <c r="G27" i="18"/>
  <c r="H27" i="18"/>
  <c r="I27" i="18"/>
  <c r="J7" i="18"/>
  <c r="K7" i="18"/>
  <c r="M7" i="18"/>
  <c r="N7" i="18"/>
  <c r="J8" i="18"/>
  <c r="K8" i="18"/>
  <c r="M8" i="18"/>
  <c r="N8" i="18"/>
  <c r="J9" i="18"/>
  <c r="K9" i="18"/>
  <c r="M9" i="18"/>
  <c r="N9" i="18"/>
  <c r="J10" i="18"/>
  <c r="K10" i="18"/>
  <c r="M10" i="18"/>
  <c r="N10" i="18"/>
  <c r="J11" i="18"/>
  <c r="K11" i="18"/>
  <c r="M11" i="18"/>
  <c r="N11" i="18"/>
  <c r="J12" i="18"/>
  <c r="K12" i="18"/>
  <c r="M12" i="18"/>
  <c r="N12" i="18"/>
  <c r="J13" i="18"/>
  <c r="K13" i="18"/>
  <c r="M13" i="18"/>
  <c r="N13" i="18"/>
  <c r="J14" i="18"/>
  <c r="K14" i="18"/>
  <c r="M14" i="18"/>
  <c r="N14" i="18"/>
  <c r="J15" i="18"/>
  <c r="K15" i="18"/>
  <c r="M15" i="18"/>
  <c r="N15" i="18"/>
  <c r="J16" i="18"/>
  <c r="K16" i="18"/>
  <c r="M16" i="18"/>
  <c r="N16" i="18"/>
  <c r="J17" i="18"/>
  <c r="K17" i="18"/>
  <c r="M17" i="18"/>
  <c r="N17" i="18"/>
  <c r="J18" i="18"/>
  <c r="K18" i="18"/>
  <c r="M18" i="18"/>
  <c r="N18" i="18"/>
  <c r="J19" i="18"/>
  <c r="K19" i="18"/>
  <c r="M19" i="18"/>
  <c r="N19" i="18"/>
  <c r="J20" i="18"/>
  <c r="K20" i="18"/>
  <c r="M20" i="18"/>
  <c r="N20" i="18"/>
  <c r="J21" i="18"/>
  <c r="K21" i="18"/>
  <c r="M21" i="18"/>
  <c r="N21" i="18"/>
  <c r="C41" i="18"/>
  <c r="H41" i="16"/>
  <c r="I41" i="16"/>
  <c r="J41" i="16"/>
  <c r="G17" i="22"/>
  <c r="H17" i="22"/>
  <c r="I17" i="22"/>
  <c r="O29" i="19"/>
  <c r="C31" i="19"/>
  <c r="C22" i="19"/>
  <c r="C27" i="19"/>
  <c r="D27" i="19"/>
  <c r="E27" i="19"/>
  <c r="K36" i="16"/>
  <c r="L36" i="16"/>
  <c r="M36" i="16"/>
  <c r="F27" i="19"/>
  <c r="G27" i="19"/>
  <c r="H27" i="19"/>
  <c r="I27" i="19"/>
  <c r="J7" i="19"/>
  <c r="K7" i="19"/>
  <c r="M7" i="19"/>
  <c r="N7" i="19"/>
  <c r="J8" i="19"/>
  <c r="K8" i="19"/>
  <c r="M8" i="19"/>
  <c r="N8" i="19"/>
  <c r="J9" i="19"/>
  <c r="K9" i="19"/>
  <c r="M9" i="19"/>
  <c r="N9" i="19"/>
  <c r="J10" i="19"/>
  <c r="K10" i="19"/>
  <c r="M10" i="19"/>
  <c r="N10" i="19"/>
  <c r="J11" i="19"/>
  <c r="K11" i="19"/>
  <c r="M11" i="19"/>
  <c r="N11" i="19"/>
  <c r="J12" i="19"/>
  <c r="K12" i="19"/>
  <c r="M12" i="19"/>
  <c r="N12" i="19"/>
  <c r="J13" i="19"/>
  <c r="K13" i="19"/>
  <c r="M13" i="19"/>
  <c r="N13" i="19"/>
  <c r="J14" i="19"/>
  <c r="K14" i="19"/>
  <c r="M14" i="19"/>
  <c r="N14" i="19"/>
  <c r="J15" i="19"/>
  <c r="K15" i="19"/>
  <c r="M15" i="19"/>
  <c r="N15" i="19"/>
  <c r="J16" i="19"/>
  <c r="K16" i="19"/>
  <c r="M16" i="19"/>
  <c r="N16" i="19"/>
  <c r="J17" i="19"/>
  <c r="K17" i="19"/>
  <c r="M17" i="19"/>
  <c r="N17" i="19"/>
  <c r="J18" i="19"/>
  <c r="K18" i="19"/>
  <c r="M18" i="19"/>
  <c r="N18" i="19"/>
  <c r="J19" i="19"/>
  <c r="K19" i="19"/>
  <c r="M19" i="19"/>
  <c r="N19" i="19"/>
  <c r="J20" i="19"/>
  <c r="K20" i="19"/>
  <c r="M20" i="19"/>
  <c r="N20" i="19"/>
  <c r="J21" i="19"/>
  <c r="K21" i="19"/>
  <c r="M21" i="19"/>
  <c r="N21" i="19"/>
  <c r="C41" i="19"/>
  <c r="K41" i="16"/>
  <c r="L41" i="16"/>
  <c r="M41" i="16"/>
  <c r="J17" i="22"/>
  <c r="K17" i="22"/>
  <c r="L17" i="22"/>
  <c r="O29" i="20"/>
  <c r="C31" i="20"/>
  <c r="C22" i="20"/>
  <c r="C27" i="20"/>
  <c r="D27" i="20"/>
  <c r="E27" i="20"/>
  <c r="N36" i="16"/>
  <c r="O36" i="16"/>
  <c r="P36" i="16"/>
  <c r="F27" i="20"/>
  <c r="G27" i="20"/>
  <c r="H27" i="20"/>
  <c r="I27" i="20"/>
  <c r="J7" i="20"/>
  <c r="K7" i="20"/>
  <c r="M7" i="20"/>
  <c r="N7" i="20"/>
  <c r="J8" i="20"/>
  <c r="K8" i="20"/>
  <c r="M8" i="20"/>
  <c r="N8" i="20"/>
  <c r="J9" i="20"/>
  <c r="K9" i="20"/>
  <c r="M9" i="20"/>
  <c r="N9" i="20"/>
  <c r="J10" i="20"/>
  <c r="K10" i="20"/>
  <c r="M10" i="20"/>
  <c r="N10" i="20"/>
  <c r="J11" i="20"/>
  <c r="K11" i="20"/>
  <c r="M11" i="20"/>
  <c r="N11" i="20"/>
  <c r="J12" i="20"/>
  <c r="K12" i="20"/>
  <c r="M12" i="20"/>
  <c r="N12" i="20"/>
  <c r="J13" i="20"/>
  <c r="K13" i="20"/>
  <c r="M13" i="20"/>
  <c r="N13" i="20"/>
  <c r="J14" i="20"/>
  <c r="K14" i="20"/>
  <c r="M14" i="20"/>
  <c r="N14" i="20"/>
  <c r="J15" i="20"/>
  <c r="K15" i="20"/>
  <c r="M15" i="20"/>
  <c r="N15" i="20"/>
  <c r="J16" i="20"/>
  <c r="K16" i="20"/>
  <c r="M16" i="20"/>
  <c r="N16" i="20"/>
  <c r="J17" i="20"/>
  <c r="K17" i="20"/>
  <c r="M17" i="20"/>
  <c r="N17" i="20"/>
  <c r="J18" i="20"/>
  <c r="K18" i="20"/>
  <c r="M18" i="20"/>
  <c r="N18" i="20"/>
  <c r="J19" i="20"/>
  <c r="K19" i="20"/>
  <c r="M19" i="20"/>
  <c r="N19" i="20"/>
  <c r="J20" i="20"/>
  <c r="K20" i="20"/>
  <c r="M20" i="20"/>
  <c r="N20" i="20"/>
  <c r="J21" i="20"/>
  <c r="K21" i="20"/>
  <c r="M21" i="20"/>
  <c r="N21" i="20"/>
  <c r="C41" i="20"/>
  <c r="N41" i="16"/>
  <c r="O41" i="16"/>
  <c r="M17" i="22"/>
  <c r="N17" i="22"/>
  <c r="O17" i="22"/>
  <c r="P17" i="22"/>
  <c r="G18" i="21"/>
  <c r="D7" i="22"/>
  <c r="D19" i="22"/>
  <c r="E7" i="22"/>
  <c r="E19" i="22"/>
  <c r="F7" i="22"/>
  <c r="F19" i="22"/>
  <c r="G7" i="22"/>
  <c r="G19" i="22"/>
  <c r="H7" i="22"/>
  <c r="H19" i="22"/>
  <c r="I7" i="22"/>
  <c r="I19" i="22"/>
  <c r="J7" i="22"/>
  <c r="J19" i="22"/>
  <c r="K7" i="22"/>
  <c r="K19" i="22"/>
  <c r="L7" i="22"/>
  <c r="L19" i="22"/>
  <c r="M7" i="22"/>
  <c r="M19" i="22"/>
  <c r="N7" i="22"/>
  <c r="N19" i="22"/>
  <c r="O7" i="22"/>
  <c r="O19" i="22"/>
  <c r="P19" i="22"/>
  <c r="G20" i="21"/>
  <c r="D20" i="22"/>
  <c r="E20" i="22"/>
  <c r="F20" i="22"/>
  <c r="G20" i="22"/>
  <c r="H20" i="22"/>
  <c r="I20" i="22"/>
  <c r="J20" i="22"/>
  <c r="K20" i="22"/>
  <c r="L20" i="22"/>
  <c r="M20" i="22"/>
  <c r="N20" i="22"/>
  <c r="O20" i="22"/>
  <c r="P20" i="22"/>
  <c r="G21" i="21"/>
  <c r="D21" i="22"/>
  <c r="E21" i="22"/>
  <c r="F21" i="22"/>
  <c r="G21" i="22"/>
  <c r="H21" i="22"/>
  <c r="I21" i="22"/>
  <c r="J21" i="22"/>
  <c r="K21" i="22"/>
  <c r="L21" i="22"/>
  <c r="M21" i="22"/>
  <c r="N21" i="22"/>
  <c r="O21" i="22"/>
  <c r="P21" i="22"/>
  <c r="G22" i="21"/>
  <c r="D22" i="22"/>
  <c r="E22" i="22"/>
  <c r="F22" i="22"/>
  <c r="G22" i="22"/>
  <c r="H22" i="22"/>
  <c r="I22" i="22"/>
  <c r="J22" i="22"/>
  <c r="K22" i="22"/>
  <c r="L22" i="22"/>
  <c r="M22" i="22"/>
  <c r="N22" i="22"/>
  <c r="O22" i="22"/>
  <c r="P22" i="22"/>
  <c r="G23" i="21"/>
  <c r="D23" i="22"/>
  <c r="E23" i="22"/>
  <c r="F23" i="22"/>
  <c r="G23" i="22"/>
  <c r="H23" i="22"/>
  <c r="I23" i="22"/>
  <c r="J23" i="22"/>
  <c r="K23" i="22"/>
  <c r="L23" i="22"/>
  <c r="M23" i="22"/>
  <c r="N23" i="22"/>
  <c r="O23" i="22"/>
  <c r="P23" i="22"/>
  <c r="G24" i="21"/>
  <c r="D24" i="22"/>
  <c r="E24" i="22"/>
  <c r="F24" i="22"/>
  <c r="G24" i="22"/>
  <c r="H24" i="22"/>
  <c r="I24" i="22"/>
  <c r="J24" i="22"/>
  <c r="K24" i="22"/>
  <c r="L24" i="22"/>
  <c r="M24" i="22"/>
  <c r="N24" i="22"/>
  <c r="O24" i="22"/>
  <c r="P24" i="22"/>
  <c r="G25" i="21"/>
  <c r="D18" i="22"/>
  <c r="E18" i="22"/>
  <c r="F18" i="22"/>
  <c r="G18" i="22"/>
  <c r="H18" i="22"/>
  <c r="I18" i="22"/>
  <c r="J18" i="22"/>
  <c r="K18" i="22"/>
  <c r="L18" i="22"/>
  <c r="M18" i="22"/>
  <c r="N18" i="22"/>
  <c r="O18" i="22"/>
  <c r="P18" i="22"/>
  <c r="G19" i="21"/>
  <c r="D25" i="22"/>
  <c r="E25" i="22"/>
  <c r="F25" i="22"/>
  <c r="G25" i="22"/>
  <c r="H25" i="22"/>
  <c r="I25" i="22"/>
  <c r="J25" i="22"/>
  <c r="K25" i="22"/>
  <c r="L25" i="22"/>
  <c r="M25" i="22"/>
  <c r="N25" i="22"/>
  <c r="O25" i="22"/>
  <c r="P25" i="22"/>
  <c r="G26" i="21"/>
  <c r="D26" i="22"/>
  <c r="E26" i="22"/>
  <c r="F26" i="22"/>
  <c r="G26" i="22"/>
  <c r="H26" i="22"/>
  <c r="I26" i="22"/>
  <c r="J26" i="22"/>
  <c r="K26" i="22"/>
  <c r="L26" i="22"/>
  <c r="M26" i="22"/>
  <c r="N26" i="22"/>
  <c r="O26" i="22"/>
  <c r="P26" i="22"/>
  <c r="G27" i="21"/>
  <c r="D27" i="22"/>
  <c r="E27" i="22"/>
  <c r="F27" i="22"/>
  <c r="G27" i="22"/>
  <c r="H27" i="22"/>
  <c r="I27" i="22"/>
  <c r="J27" i="22"/>
  <c r="K27" i="22"/>
  <c r="L27" i="22"/>
  <c r="M27" i="22"/>
  <c r="N27" i="22"/>
  <c r="O27" i="22"/>
  <c r="P27" i="22"/>
  <c r="G28" i="21"/>
  <c r="D28" i="22"/>
  <c r="E28" i="22"/>
  <c r="F28" i="22"/>
  <c r="G28" i="22"/>
  <c r="H28" i="22"/>
  <c r="I28" i="22"/>
  <c r="J28" i="22"/>
  <c r="K28" i="22"/>
  <c r="L28" i="22"/>
  <c r="M28" i="22"/>
  <c r="N28" i="22"/>
  <c r="O28" i="22"/>
  <c r="P28" i="22"/>
  <c r="G29" i="21"/>
  <c r="D29" i="22"/>
  <c r="E29" i="22"/>
  <c r="F29" i="22"/>
  <c r="G29" i="22"/>
  <c r="H29" i="22"/>
  <c r="I29" i="22"/>
  <c r="J29" i="22"/>
  <c r="K29" i="22"/>
  <c r="L29" i="22"/>
  <c r="M29" i="22"/>
  <c r="N29" i="22"/>
  <c r="O29" i="22"/>
  <c r="P29" i="22"/>
  <c r="G30" i="21"/>
  <c r="D30" i="22"/>
  <c r="E30" i="22"/>
  <c r="F30" i="22"/>
  <c r="G30" i="22"/>
  <c r="H30" i="22"/>
  <c r="I30" i="22"/>
  <c r="J30" i="22"/>
  <c r="K30" i="22"/>
  <c r="L30" i="22"/>
  <c r="M30" i="22"/>
  <c r="N30" i="22"/>
  <c r="O30" i="22"/>
  <c r="P30" i="22"/>
  <c r="G31" i="21"/>
  <c r="F15" i="21"/>
  <c r="D7" i="23"/>
  <c r="D8" i="23"/>
  <c r="E47" i="53"/>
  <c r="F49" i="53"/>
  <c r="G49" i="53"/>
  <c r="H49" i="53"/>
  <c r="I49" i="53"/>
  <c r="J49" i="53"/>
  <c r="K49" i="53"/>
  <c r="L49" i="53"/>
  <c r="M49" i="53"/>
  <c r="N49" i="53"/>
  <c r="O49" i="53"/>
  <c r="P49" i="53"/>
  <c r="E49" i="53"/>
  <c r="R23" i="16"/>
  <c r="R24" i="16"/>
  <c r="R27" i="16"/>
  <c r="R29" i="16"/>
  <c r="R31" i="16"/>
  <c r="R35" i="16"/>
  <c r="S23" i="16"/>
  <c r="Q40" i="16"/>
  <c r="S24" i="16"/>
  <c r="S27" i="16"/>
  <c r="S29" i="16"/>
  <c r="S31" i="16"/>
  <c r="S35" i="16"/>
  <c r="T23" i="16"/>
  <c r="R40" i="16"/>
  <c r="T24" i="16"/>
  <c r="T27" i="16"/>
  <c r="T29" i="16"/>
  <c r="T31" i="16"/>
  <c r="T30" i="16"/>
  <c r="S30" i="16"/>
  <c r="S6" i="22"/>
  <c r="S24" i="22"/>
  <c r="T35" i="16"/>
  <c r="U23" i="16"/>
  <c r="R18" i="16"/>
  <c r="R19" i="16"/>
  <c r="R21" i="16"/>
  <c r="R39" i="16"/>
  <c r="S40" i="16"/>
  <c r="U24" i="16"/>
  <c r="U27" i="16"/>
  <c r="U29" i="16"/>
  <c r="U31" i="16"/>
  <c r="U30" i="16"/>
  <c r="T6" i="22"/>
  <c r="T24" i="22"/>
  <c r="R30" i="16"/>
  <c r="R6" i="22"/>
  <c r="R24" i="22"/>
  <c r="Q6" i="22"/>
  <c r="Q24" i="22"/>
  <c r="I37" i="15"/>
  <c r="I36" i="15"/>
  <c r="I35" i="15"/>
  <c r="I34" i="15"/>
  <c r="I33" i="15"/>
  <c r="I32" i="15"/>
  <c r="I31" i="15"/>
  <c r="I30" i="15"/>
  <c r="I29" i="15"/>
  <c r="I28" i="15"/>
  <c r="I27" i="15"/>
  <c r="I26" i="15"/>
  <c r="I25" i="15"/>
  <c r="I24" i="15"/>
  <c r="D33" i="15"/>
  <c r="D24" i="15"/>
  <c r="C17" i="26"/>
  <c r="C19" i="26"/>
  <c r="C22" i="26"/>
  <c r="C47" i="1"/>
  <c r="C48" i="1"/>
  <c r="C49" i="1"/>
  <c r="C22" i="23"/>
  <c r="D11" i="23"/>
  <c r="Q25" i="16"/>
  <c r="Q26" i="16"/>
  <c r="Q37" i="16"/>
  <c r="Q38" i="16"/>
  <c r="I47" i="15"/>
  <c r="D12" i="23"/>
  <c r="D10" i="23"/>
  <c r="D22" i="23"/>
  <c r="E11" i="23"/>
  <c r="J56" i="15"/>
  <c r="J53" i="15"/>
  <c r="J47" i="15"/>
  <c r="E12" i="23"/>
  <c r="E10" i="23"/>
  <c r="R41" i="16"/>
  <c r="E22" i="23"/>
  <c r="F11" i="23"/>
  <c r="K56" i="15"/>
  <c r="K53" i="15"/>
  <c r="K47" i="15"/>
  <c r="F12" i="23"/>
  <c r="F10" i="23"/>
  <c r="S18" i="16"/>
  <c r="S19" i="16"/>
  <c r="S21" i="16"/>
  <c r="S39" i="16"/>
  <c r="S41" i="16"/>
  <c r="F22" i="23"/>
  <c r="G11" i="23"/>
  <c r="L56" i="15"/>
  <c r="L53" i="15"/>
  <c r="L47" i="15"/>
  <c r="G12" i="23"/>
  <c r="G10" i="23"/>
  <c r="T18" i="16"/>
  <c r="T19" i="16"/>
  <c r="T21" i="16"/>
  <c r="T39" i="16"/>
  <c r="T40" i="16"/>
  <c r="T41" i="16"/>
  <c r="G22" i="23"/>
  <c r="H11" i="23"/>
  <c r="M56" i="15"/>
  <c r="M53" i="15"/>
  <c r="M47" i="15"/>
  <c r="H12" i="23"/>
  <c r="H10" i="23"/>
  <c r="U18" i="16"/>
  <c r="U19" i="16"/>
  <c r="U21" i="16"/>
  <c r="U39" i="16"/>
  <c r="U40" i="16"/>
  <c r="U41" i="16"/>
  <c r="H22" i="23"/>
  <c r="Q34" i="16"/>
  <c r="U32" i="16"/>
  <c r="T8" i="22"/>
  <c r="T10" i="22"/>
  <c r="T9" i="22"/>
  <c r="T15" i="22"/>
  <c r="U35" i="16"/>
  <c r="T12" i="22"/>
  <c r="Q41" i="16"/>
  <c r="T17" i="22"/>
  <c r="T18" i="22"/>
  <c r="D25" i="15"/>
  <c r="T7" i="22"/>
  <c r="T19" i="22"/>
  <c r="D26" i="15"/>
  <c r="T20" i="22"/>
  <c r="D27" i="15"/>
  <c r="T21" i="22"/>
  <c r="D28" i="15"/>
  <c r="T22" i="22"/>
  <c r="D29" i="15"/>
  <c r="T23" i="22"/>
  <c r="D30" i="15"/>
  <c r="D31" i="15"/>
  <c r="T25" i="22"/>
  <c r="D32" i="15"/>
  <c r="T26" i="22"/>
  <c r="T27" i="22"/>
  <c r="T28" i="22"/>
  <c r="D35" i="15"/>
  <c r="T29" i="22"/>
  <c r="T30" i="22"/>
  <c r="T31" i="22"/>
  <c r="T32" i="22"/>
  <c r="H33" i="23"/>
  <c r="H29" i="23"/>
  <c r="T32" i="16"/>
  <c r="S8" i="22"/>
  <c r="S10" i="22"/>
  <c r="S9" i="22"/>
  <c r="S15" i="22"/>
  <c r="S12" i="22"/>
  <c r="S17" i="22"/>
  <c r="S18" i="22"/>
  <c r="S7" i="22"/>
  <c r="S19" i="22"/>
  <c r="S20" i="22"/>
  <c r="S21" i="22"/>
  <c r="S22" i="22"/>
  <c r="S23" i="22"/>
  <c r="S25" i="22"/>
  <c r="S26" i="22"/>
  <c r="S27" i="22"/>
  <c r="S28" i="22"/>
  <c r="S29" i="22"/>
  <c r="S30" i="22"/>
  <c r="S31" i="22"/>
  <c r="S32" i="22"/>
  <c r="G33" i="23"/>
  <c r="G29" i="23"/>
  <c r="S32" i="16"/>
  <c r="R8" i="22"/>
  <c r="R10" i="22"/>
  <c r="R9" i="22"/>
  <c r="R15" i="22"/>
  <c r="R12" i="22"/>
  <c r="R17" i="22"/>
  <c r="R18" i="22"/>
  <c r="R7" i="22"/>
  <c r="R19" i="22"/>
  <c r="R20" i="22"/>
  <c r="R21" i="22"/>
  <c r="R22" i="22"/>
  <c r="R23" i="22"/>
  <c r="R25" i="22"/>
  <c r="R26" i="22"/>
  <c r="R27" i="22"/>
  <c r="R28" i="22"/>
  <c r="R29" i="22"/>
  <c r="R30" i="22"/>
  <c r="R31" i="22"/>
  <c r="R32" i="22"/>
  <c r="F33" i="23"/>
  <c r="F29" i="23"/>
  <c r="R32" i="16"/>
  <c r="Q8" i="22"/>
  <c r="Q10" i="22"/>
  <c r="Q9" i="22"/>
  <c r="Q15" i="22"/>
  <c r="Q12" i="22"/>
  <c r="Q17" i="22"/>
  <c r="Q18" i="22"/>
  <c r="Q7" i="22"/>
  <c r="Q19" i="22"/>
  <c r="Q20" i="22"/>
  <c r="Q21" i="22"/>
  <c r="Q22" i="22"/>
  <c r="Q23" i="22"/>
  <c r="Q25" i="22"/>
  <c r="Q26" i="22"/>
  <c r="Q27" i="22"/>
  <c r="Q28" i="22"/>
  <c r="Q29" i="22"/>
  <c r="Q30" i="22"/>
  <c r="Q31" i="22"/>
  <c r="Q32" i="22"/>
  <c r="E33" i="23"/>
  <c r="E29" i="23"/>
  <c r="D9" i="22"/>
  <c r="D15" i="22"/>
  <c r="E9" i="22"/>
  <c r="E15" i="22"/>
  <c r="F9" i="22"/>
  <c r="F15" i="22"/>
  <c r="G9" i="22"/>
  <c r="G15" i="22"/>
  <c r="H9" i="22"/>
  <c r="H15" i="22"/>
  <c r="I9" i="22"/>
  <c r="I15" i="22"/>
  <c r="J9" i="22"/>
  <c r="J15" i="22"/>
  <c r="K9" i="22"/>
  <c r="K15" i="22"/>
  <c r="L9" i="22"/>
  <c r="L15" i="22"/>
  <c r="M9" i="22"/>
  <c r="M15" i="22"/>
  <c r="N9" i="22"/>
  <c r="N15" i="22"/>
  <c r="O9" i="22"/>
  <c r="O15" i="22"/>
  <c r="P15" i="22"/>
  <c r="P31" i="22"/>
  <c r="P32" i="22"/>
  <c r="D33" i="23"/>
  <c r="D29" i="23"/>
  <c r="G14" i="23"/>
  <c r="G15" i="23"/>
  <c r="C11" i="23"/>
  <c r="C10" i="23"/>
  <c r="C16" i="23"/>
  <c r="D16" i="23"/>
  <c r="E16" i="23"/>
  <c r="F16" i="23"/>
  <c r="G16" i="23"/>
  <c r="F14" i="23"/>
  <c r="F15" i="23"/>
  <c r="E14" i="23"/>
  <c r="E15" i="23"/>
  <c r="D14" i="23"/>
  <c r="D15" i="23"/>
  <c r="H14" i="23"/>
  <c r="H15" i="23"/>
  <c r="H16" i="23"/>
  <c r="H12" i="21"/>
  <c r="E44" i="53"/>
  <c r="E41" i="53"/>
  <c r="E57" i="53"/>
  <c r="P14" i="22"/>
  <c r="P13" i="22"/>
  <c r="F11" i="21"/>
  <c r="C20" i="23"/>
  <c r="D18" i="23"/>
  <c r="D24" i="23"/>
  <c r="D26" i="23"/>
  <c r="E45" i="53"/>
  <c r="Q31" i="16"/>
  <c r="Q35" i="16"/>
  <c r="Q6" i="16"/>
  <c r="E56" i="53"/>
  <c r="E20" i="16"/>
  <c r="F20" i="16"/>
  <c r="G20" i="16"/>
  <c r="H20" i="16"/>
  <c r="I20" i="16"/>
  <c r="J20" i="16"/>
  <c r="K20" i="16"/>
  <c r="L20" i="16"/>
  <c r="M20" i="16"/>
  <c r="N20" i="16"/>
  <c r="O20" i="16"/>
  <c r="P20" i="16"/>
  <c r="Q20" i="16"/>
  <c r="E55" i="53"/>
  <c r="Q11" i="16"/>
  <c r="E54" i="53"/>
  <c r="Q10" i="16"/>
  <c r="E53" i="53"/>
  <c r="Q33" i="16"/>
  <c r="E46" i="53"/>
  <c r="D28" i="23"/>
  <c r="E48" i="53"/>
  <c r="Q27" i="16"/>
  <c r="E42" i="53"/>
  <c r="N43" i="16"/>
  <c r="O43" i="16"/>
  <c r="P43" i="16"/>
  <c r="F43" i="16"/>
  <c r="G43" i="16"/>
  <c r="H43" i="16"/>
  <c r="I43" i="16"/>
  <c r="J43" i="16"/>
  <c r="K43" i="16"/>
  <c r="L43" i="16"/>
  <c r="M43" i="16"/>
  <c r="E43" i="16"/>
  <c r="Q30" i="16"/>
  <c r="Q32" i="16"/>
  <c r="Q43" i="16"/>
  <c r="C4" i="26"/>
  <c r="D5" i="21"/>
  <c r="F5" i="21"/>
  <c r="I43" i="53"/>
  <c r="I44" i="53"/>
  <c r="H44" i="53"/>
  <c r="G44" i="53"/>
  <c r="F44" i="53"/>
  <c r="H5" i="21"/>
  <c r="J5" i="21"/>
  <c r="L5" i="21"/>
  <c r="H43" i="53"/>
  <c r="G43" i="53"/>
  <c r="F43" i="53"/>
  <c r="E43" i="53"/>
  <c r="Q16" i="16"/>
  <c r="O21" i="49"/>
  <c r="E21" i="49"/>
  <c r="F21" i="49"/>
  <c r="G21" i="49"/>
  <c r="H21" i="49"/>
  <c r="I21" i="49"/>
  <c r="J21" i="49"/>
  <c r="K21" i="49"/>
  <c r="L21" i="49"/>
  <c r="M21" i="49"/>
  <c r="N21" i="49"/>
  <c r="D21" i="49"/>
  <c r="C13" i="51"/>
  <c r="E14" i="49"/>
  <c r="F14" i="49"/>
  <c r="G14" i="49"/>
  <c r="H14" i="49"/>
  <c r="I14" i="49"/>
  <c r="J14" i="49"/>
  <c r="K14" i="49"/>
  <c r="L14" i="49"/>
  <c r="M14" i="49"/>
  <c r="N14" i="49"/>
  <c r="O14" i="49"/>
  <c r="D14" i="49"/>
  <c r="E13" i="49"/>
  <c r="F13" i="49"/>
  <c r="G13" i="49"/>
  <c r="H13" i="49"/>
  <c r="I13" i="49"/>
  <c r="J13" i="49"/>
  <c r="K13" i="49"/>
  <c r="L13" i="49"/>
  <c r="M13" i="49"/>
  <c r="N13" i="49"/>
  <c r="O13" i="49"/>
  <c r="D13" i="49"/>
  <c r="E11" i="49"/>
  <c r="F11" i="49"/>
  <c r="G11" i="49"/>
  <c r="H11" i="49"/>
  <c r="I11" i="49"/>
  <c r="J11" i="49"/>
  <c r="K11" i="49"/>
  <c r="L11" i="49"/>
  <c r="M11" i="49"/>
  <c r="N11" i="49"/>
  <c r="O11" i="49"/>
  <c r="D11" i="49"/>
  <c r="D10" i="51"/>
  <c r="E10" i="51"/>
  <c r="F10" i="51"/>
  <c r="G10" i="51"/>
  <c r="H10" i="51"/>
  <c r="I10" i="51"/>
  <c r="J10" i="51"/>
  <c r="K10" i="51"/>
  <c r="L10" i="51"/>
  <c r="M10" i="51"/>
  <c r="N10" i="51"/>
  <c r="O10" i="51"/>
  <c r="C6" i="51"/>
  <c r="Q13" i="16"/>
  <c r="D30" i="16"/>
  <c r="H10" i="37"/>
  <c r="H11" i="37"/>
  <c r="H12" i="37"/>
  <c r="H13" i="37"/>
  <c r="H14" i="37"/>
  <c r="H15" i="37"/>
  <c r="H16" i="37"/>
  <c r="H17" i="37"/>
  <c r="H18" i="37"/>
  <c r="H19" i="37"/>
  <c r="H20" i="37"/>
  <c r="H21" i="37"/>
  <c r="H22" i="37"/>
  <c r="H23" i="37"/>
  <c r="H24" i="37"/>
  <c r="H9" i="37"/>
  <c r="C6" i="49"/>
  <c r="C10" i="49"/>
  <c r="C17" i="49"/>
  <c r="D8" i="49"/>
  <c r="D15" i="49"/>
  <c r="E15" i="49"/>
  <c r="F15" i="49"/>
  <c r="G15" i="49"/>
  <c r="H15" i="49"/>
  <c r="I15" i="49"/>
  <c r="J15" i="49"/>
  <c r="K15" i="49"/>
  <c r="L15" i="49"/>
  <c r="M15" i="49"/>
  <c r="N15" i="49"/>
  <c r="O15" i="49"/>
  <c r="D18" i="49"/>
  <c r="D20" i="49"/>
  <c r="D22" i="49"/>
  <c r="E18" i="49"/>
  <c r="E20" i="49"/>
  <c r="E22" i="49"/>
  <c r="F18" i="49"/>
  <c r="F20" i="49"/>
  <c r="F22" i="49"/>
  <c r="G18" i="49"/>
  <c r="G20" i="49"/>
  <c r="G22" i="49"/>
  <c r="H18" i="49"/>
  <c r="H20" i="49"/>
  <c r="H22" i="49"/>
  <c r="I18" i="49"/>
  <c r="I20" i="49"/>
  <c r="I22" i="49"/>
  <c r="J18" i="49"/>
  <c r="J20" i="49"/>
  <c r="J22" i="49"/>
  <c r="K18" i="49"/>
  <c r="K20" i="49"/>
  <c r="K22" i="49"/>
  <c r="L18" i="49"/>
  <c r="L20" i="49"/>
  <c r="L22" i="49"/>
  <c r="M18" i="49"/>
  <c r="M20" i="49"/>
  <c r="M22" i="49"/>
  <c r="N18" i="49"/>
  <c r="N20" i="49"/>
  <c r="N22" i="49"/>
  <c r="O18" i="49"/>
  <c r="O20" i="49"/>
  <c r="O22" i="49"/>
  <c r="D23" i="49"/>
  <c r="E23" i="49"/>
  <c r="F23" i="49"/>
  <c r="G23" i="49"/>
  <c r="H23" i="49"/>
  <c r="I23" i="49"/>
  <c r="J23" i="49"/>
  <c r="K23" i="49"/>
  <c r="L23" i="49"/>
  <c r="M23" i="49"/>
  <c r="N23" i="49"/>
  <c r="O23" i="49"/>
  <c r="M32" i="49"/>
  <c r="J32" i="49"/>
  <c r="G32" i="49"/>
  <c r="D32" i="49"/>
  <c r="G24" i="49"/>
  <c r="J24" i="49"/>
  <c r="M24" i="49"/>
  <c r="D24" i="49"/>
  <c r="I54" i="26"/>
  <c r="H59" i="26"/>
  <c r="E33" i="40"/>
  <c r="R11" i="22"/>
  <c r="S11" i="22"/>
  <c r="Q11" i="22"/>
  <c r="D8" i="21"/>
  <c r="D9" i="21"/>
  <c r="D10" i="21"/>
  <c r="D12" i="21"/>
  <c r="D11" i="21"/>
  <c r="D14" i="21"/>
  <c r="D16" i="21"/>
  <c r="J10" i="21"/>
  <c r="J9" i="21"/>
  <c r="J12" i="21"/>
  <c r="J8" i="21"/>
  <c r="J11" i="21"/>
  <c r="J14" i="21"/>
  <c r="L10" i="21"/>
  <c r="L9" i="21"/>
  <c r="L12" i="21"/>
  <c r="L8" i="21"/>
  <c r="L11" i="21"/>
  <c r="L14" i="21"/>
  <c r="H10" i="21"/>
  <c r="H9" i="21"/>
  <c r="H8" i="21"/>
  <c r="H11" i="21"/>
  <c r="H14" i="21"/>
  <c r="N11" i="21"/>
  <c r="R16" i="22"/>
  <c r="S16" i="22"/>
  <c r="Q16" i="22"/>
  <c r="E16" i="22"/>
  <c r="E31" i="22"/>
  <c r="E32" i="22"/>
  <c r="F16" i="22"/>
  <c r="F31" i="22"/>
  <c r="F32" i="22"/>
  <c r="G16" i="22"/>
  <c r="G31" i="22"/>
  <c r="G32" i="22"/>
  <c r="H16" i="22"/>
  <c r="H31" i="22"/>
  <c r="H32" i="22"/>
  <c r="I16" i="22"/>
  <c r="I31" i="22"/>
  <c r="I32" i="22"/>
  <c r="J16" i="22"/>
  <c r="J31" i="22"/>
  <c r="J32" i="22"/>
  <c r="K16" i="22"/>
  <c r="K31" i="22"/>
  <c r="K32" i="22"/>
  <c r="L16" i="22"/>
  <c r="L31" i="22"/>
  <c r="L32" i="22"/>
  <c r="M16" i="22"/>
  <c r="M31" i="22"/>
  <c r="M32" i="22"/>
  <c r="N16" i="22"/>
  <c r="N31" i="22"/>
  <c r="N32" i="22"/>
  <c r="O16" i="22"/>
  <c r="O31" i="22"/>
  <c r="O32" i="22"/>
  <c r="D16" i="22"/>
  <c r="D31" i="22"/>
  <c r="D32" i="22"/>
  <c r="P16" i="22"/>
  <c r="J11" i="22"/>
  <c r="D11" i="22"/>
  <c r="E11" i="22"/>
  <c r="F11" i="22"/>
  <c r="G11" i="22"/>
  <c r="H11" i="22"/>
  <c r="I11" i="22"/>
  <c r="K11" i="22"/>
  <c r="L11" i="22"/>
  <c r="M11" i="22"/>
  <c r="N11" i="22"/>
  <c r="O11" i="22"/>
  <c r="P11" i="22"/>
  <c r="D32" i="16"/>
  <c r="C6" i="23"/>
  <c r="C41" i="1"/>
  <c r="D15" i="21"/>
  <c r="C7" i="23"/>
  <c r="C8" i="23"/>
  <c r="C24" i="23"/>
  <c r="C28" i="23"/>
  <c r="D16" i="16"/>
  <c r="C14" i="23"/>
  <c r="C15" i="23"/>
  <c r="I19" i="21"/>
  <c r="I25" i="21"/>
  <c r="I26" i="21"/>
  <c r="I27" i="21"/>
  <c r="I28" i="21"/>
  <c r="I30" i="21"/>
  <c r="I31" i="21"/>
  <c r="D20" i="23"/>
  <c r="E18" i="23"/>
  <c r="K19" i="21"/>
  <c r="K25" i="21"/>
  <c r="K26" i="21"/>
  <c r="K27" i="21"/>
  <c r="K28" i="21"/>
  <c r="K30" i="21"/>
  <c r="K31" i="21"/>
  <c r="E20" i="23"/>
  <c r="F18" i="23"/>
  <c r="M19" i="21"/>
  <c r="M25" i="21"/>
  <c r="M26" i="21"/>
  <c r="M27" i="21"/>
  <c r="M28" i="21"/>
  <c r="M30" i="21"/>
  <c r="M31" i="21"/>
  <c r="F20" i="23"/>
  <c r="G18" i="23"/>
  <c r="C33" i="23"/>
  <c r="Q24" i="16"/>
  <c r="N8" i="21"/>
  <c r="O19" i="21"/>
  <c r="O25" i="21"/>
  <c r="O26" i="21"/>
  <c r="O27" i="21"/>
  <c r="O28" i="21"/>
  <c r="O30" i="21"/>
  <c r="O31" i="21"/>
  <c r="G20" i="23"/>
  <c r="H18" i="23"/>
  <c r="Q39" i="16"/>
  <c r="E35" i="40"/>
  <c r="N5" i="21"/>
  <c r="I34" i="40"/>
  <c r="H34" i="40"/>
  <c r="F34" i="40"/>
  <c r="G34" i="40"/>
  <c r="E34" i="40"/>
  <c r="E36" i="40"/>
  <c r="D43" i="16"/>
  <c r="P6" i="22"/>
  <c r="C19" i="1"/>
  <c r="C23" i="1"/>
  <c r="D12" i="10"/>
  <c r="R20" i="3"/>
  <c r="P20" i="3"/>
  <c r="B7" i="17"/>
  <c r="B8" i="17"/>
  <c r="B9" i="17"/>
  <c r="B10" i="17"/>
  <c r="B11" i="17"/>
  <c r="B12" i="17"/>
  <c r="B13" i="17"/>
  <c r="B14" i="17"/>
  <c r="B15" i="17"/>
  <c r="B16" i="17"/>
  <c r="B17" i="17"/>
  <c r="B18" i="17"/>
  <c r="B19" i="17"/>
  <c r="B20" i="17"/>
  <c r="B21" i="17"/>
  <c r="B7" i="18"/>
  <c r="R20" i="16"/>
  <c r="Q7" i="16"/>
  <c r="C5" i="23"/>
  <c r="D5" i="23"/>
  <c r="S20" i="16"/>
  <c r="T20" i="16"/>
  <c r="U20" i="16"/>
  <c r="O9" i="18"/>
  <c r="O7" i="19"/>
  <c r="H25" i="19"/>
  <c r="F25" i="20"/>
  <c r="C12" i="21"/>
  <c r="B6" i="21"/>
  <c r="C6" i="21"/>
  <c r="F11" i="1"/>
  <c r="K42" i="11"/>
  <c r="D27" i="11"/>
  <c r="D29" i="11"/>
  <c r="C91" i="11"/>
  <c r="O96" i="11"/>
  <c r="P96" i="11"/>
  <c r="Q96" i="11"/>
  <c r="R96" i="11"/>
  <c r="S96" i="11"/>
  <c r="L97" i="11"/>
  <c r="P97" i="11"/>
  <c r="L98" i="11"/>
  <c r="P98" i="11"/>
  <c r="L99" i="11"/>
  <c r="P99" i="11"/>
  <c r="L100" i="11"/>
  <c r="P100" i="11"/>
  <c r="L101" i="11"/>
  <c r="P101" i="11"/>
  <c r="L102" i="11"/>
  <c r="P102" i="11"/>
  <c r="L103" i="11"/>
  <c r="P103" i="11"/>
  <c r="L104" i="11"/>
  <c r="P104" i="11"/>
  <c r="L105" i="11"/>
  <c r="P105" i="11"/>
  <c r="L106" i="11"/>
  <c r="P106" i="11"/>
  <c r="P107" i="11"/>
  <c r="D19" i="11"/>
  <c r="C90" i="11"/>
  <c r="C97" i="11"/>
  <c r="M98" i="11"/>
  <c r="C98" i="11"/>
  <c r="M99" i="11"/>
  <c r="C99" i="11"/>
  <c r="M100" i="11"/>
  <c r="C100" i="11"/>
  <c r="M101" i="11"/>
  <c r="C101" i="11"/>
  <c r="M102" i="11"/>
  <c r="C102" i="11"/>
  <c r="M103" i="11"/>
  <c r="C103" i="11"/>
  <c r="M104" i="11"/>
  <c r="C104" i="11"/>
  <c r="M105" i="11"/>
  <c r="C105" i="11"/>
  <c r="M106" i="11"/>
  <c r="C106" i="11"/>
  <c r="D26" i="11"/>
  <c r="O110" i="11"/>
  <c r="P110" i="11"/>
  <c r="Q110" i="11"/>
  <c r="R110" i="11"/>
  <c r="L111" i="11"/>
  <c r="M111" i="11"/>
  <c r="C111" i="11"/>
  <c r="L112" i="11"/>
  <c r="M112" i="11"/>
  <c r="C112" i="11"/>
  <c r="L113" i="11"/>
  <c r="M113" i="11"/>
  <c r="C113" i="11"/>
  <c r="L114" i="11"/>
  <c r="C114" i="11"/>
  <c r="L115" i="11"/>
  <c r="M115" i="11"/>
  <c r="C115" i="11"/>
  <c r="L116" i="11"/>
  <c r="M116" i="11"/>
  <c r="C116" i="11"/>
  <c r="L117" i="11"/>
  <c r="M117" i="11"/>
  <c r="C117" i="11"/>
  <c r="L118" i="11"/>
  <c r="C118" i="11"/>
  <c r="L119" i="11"/>
  <c r="M119" i="11"/>
  <c r="C119" i="11"/>
  <c r="L120" i="11"/>
  <c r="M120" i="11"/>
  <c r="C120" i="11"/>
  <c r="F22" i="25"/>
  <c r="N22" i="25"/>
  <c r="V22" i="25"/>
  <c r="J23" i="25"/>
  <c r="P23" i="25"/>
  <c r="R23" i="25"/>
  <c r="X23" i="25"/>
  <c r="Z23" i="25"/>
  <c r="F26" i="25"/>
  <c r="L26" i="25"/>
  <c r="N26" i="25"/>
  <c r="T26" i="25"/>
  <c r="V26" i="25"/>
  <c r="F8" i="25"/>
  <c r="H8" i="25"/>
  <c r="J8" i="25"/>
  <c r="L8" i="25"/>
  <c r="N8" i="25"/>
  <c r="P8" i="25"/>
  <c r="R8" i="25"/>
  <c r="T8" i="25"/>
  <c r="V8" i="25"/>
  <c r="X8" i="25"/>
  <c r="Z8" i="25"/>
  <c r="F39" i="21"/>
  <c r="D18" i="21"/>
  <c r="J20" i="21"/>
  <c r="C17" i="23"/>
  <c r="F25" i="17"/>
  <c r="G25" i="17"/>
  <c r="E25" i="17"/>
  <c r="C38" i="17"/>
  <c r="C39" i="17"/>
  <c r="E10" i="25"/>
  <c r="E12" i="25"/>
  <c r="I60" i="13"/>
  <c r="I61" i="13"/>
  <c r="I62" i="13"/>
  <c r="F12" i="16"/>
  <c r="F20" i="21"/>
  <c r="F24" i="21"/>
  <c r="D7" i="16"/>
  <c r="E12" i="16"/>
  <c r="D10" i="16"/>
  <c r="D11" i="16"/>
  <c r="D18" i="16"/>
  <c r="D14" i="16"/>
  <c r="D19" i="16"/>
  <c r="H29" i="10"/>
  <c r="O98" i="11"/>
  <c r="O99" i="11"/>
  <c r="S100" i="11"/>
  <c r="O100" i="11"/>
  <c r="S101" i="11"/>
  <c r="O101" i="11"/>
  <c r="O102" i="11"/>
  <c r="O103" i="11"/>
  <c r="S104" i="11"/>
  <c r="O104" i="11"/>
  <c r="S105" i="11"/>
  <c r="O105" i="11"/>
  <c r="O106" i="11"/>
  <c r="O111" i="11"/>
  <c r="O112" i="11"/>
  <c r="O113" i="11"/>
  <c r="O115" i="11"/>
  <c r="O116" i="11"/>
  <c r="O119" i="11"/>
  <c r="O120" i="11"/>
  <c r="H9" i="10"/>
  <c r="H10" i="10"/>
  <c r="H11" i="10"/>
  <c r="H8" i="10"/>
  <c r="H13" i="10"/>
  <c r="H28" i="10"/>
  <c r="H14" i="10"/>
  <c r="I8" i="10"/>
  <c r="I9" i="10"/>
  <c r="I10" i="10"/>
  <c r="I11" i="10"/>
  <c r="I13" i="10"/>
  <c r="I14" i="10"/>
  <c r="D8" i="10"/>
  <c r="K37" i="11"/>
  <c r="D38" i="11"/>
  <c r="D39" i="11"/>
  <c r="D35" i="11"/>
  <c r="D36" i="11"/>
  <c r="K43" i="11"/>
  <c r="D37" i="11"/>
  <c r="D31" i="11"/>
  <c r="D21" i="11"/>
  <c r="K58" i="11"/>
  <c r="D32" i="11"/>
  <c r="D22" i="11"/>
  <c r="K55" i="11"/>
  <c r="D30" i="11"/>
  <c r="K35" i="11"/>
  <c r="D20" i="11"/>
  <c r="L22" i="2"/>
  <c r="L18" i="2"/>
  <c r="F14" i="1"/>
  <c r="I23" i="2"/>
  <c r="L26" i="2"/>
  <c r="L22" i="3"/>
  <c r="H27" i="1"/>
  <c r="V7" i="3"/>
  <c r="W27" i="3"/>
  <c r="W12" i="3"/>
  <c r="V27" i="3"/>
  <c r="V12" i="3"/>
  <c r="V32" i="3"/>
  <c r="V22" i="3"/>
  <c r="V17" i="3"/>
  <c r="W7" i="3"/>
  <c r="W17" i="3"/>
  <c r="W22" i="3"/>
  <c r="W32" i="3"/>
  <c r="B39" i="16"/>
  <c r="H20" i="10"/>
  <c r="H21" i="10"/>
  <c r="H19" i="10"/>
  <c r="D46" i="11"/>
  <c r="D47" i="11"/>
  <c r="D49" i="11"/>
  <c r="E50" i="11"/>
  <c r="D50" i="11"/>
  <c r="D58" i="11"/>
  <c r="D56" i="11"/>
  <c r="D34" i="11"/>
  <c r="D57" i="11"/>
  <c r="D45" i="11"/>
  <c r="E46" i="11"/>
  <c r="E47" i="11"/>
  <c r="E51" i="11"/>
  <c r="E49" i="11"/>
  <c r="E58" i="11"/>
  <c r="E56" i="11"/>
  <c r="E57" i="11"/>
  <c r="E45" i="11"/>
  <c r="D44" i="11"/>
  <c r="E44" i="11"/>
  <c r="D33" i="11"/>
  <c r="C44" i="27"/>
  <c r="L28" i="3"/>
  <c r="L13" i="3"/>
  <c r="L10" i="3"/>
  <c r="L7" i="3"/>
  <c r="J8" i="3"/>
  <c r="H32" i="3"/>
  <c r="H29" i="3"/>
  <c r="H26" i="3"/>
  <c r="H23" i="3"/>
  <c r="F29" i="3"/>
  <c r="F26" i="3"/>
  <c r="F23" i="3"/>
  <c r="F10" i="3"/>
  <c r="D23" i="3"/>
  <c r="B29" i="3"/>
  <c r="B26" i="3"/>
  <c r="D16" i="3"/>
  <c r="D13" i="3"/>
  <c r="D10" i="3"/>
  <c r="L25" i="3"/>
  <c r="J31" i="3"/>
  <c r="J28" i="3"/>
  <c r="J25" i="3"/>
  <c r="J22" i="3"/>
  <c r="B23" i="3"/>
  <c r="B10" i="3"/>
  <c r="C4" i="32"/>
  <c r="D8" i="15"/>
  <c r="Z9" i="25"/>
  <c r="X9" i="25"/>
  <c r="V9" i="25"/>
  <c r="T9" i="25"/>
  <c r="R9" i="25"/>
  <c r="P9" i="25"/>
  <c r="N9" i="25"/>
  <c r="L9" i="25"/>
  <c r="J9" i="25"/>
  <c r="H9" i="25"/>
  <c r="F9" i="25"/>
  <c r="D9" i="25"/>
  <c r="Z14" i="25"/>
  <c r="X14" i="25"/>
  <c r="V14" i="25"/>
  <c r="T14" i="25"/>
  <c r="R14" i="25"/>
  <c r="P14" i="25"/>
  <c r="N14" i="25"/>
  <c r="L14" i="25"/>
  <c r="J14" i="25"/>
  <c r="H14" i="25"/>
  <c r="F14" i="25"/>
  <c r="D14" i="25"/>
  <c r="AB14" i="25"/>
  <c r="Z21" i="25"/>
  <c r="X21" i="25"/>
  <c r="H21" i="25"/>
  <c r="F21" i="25"/>
  <c r="D21" i="25"/>
  <c r="N21" i="25"/>
  <c r="L21" i="25"/>
  <c r="J21" i="25"/>
  <c r="V21" i="25"/>
  <c r="T21" i="25"/>
  <c r="R21" i="25"/>
  <c r="P21" i="25"/>
  <c r="AB21" i="25"/>
  <c r="Z22" i="25"/>
  <c r="X22" i="25"/>
  <c r="T22" i="25"/>
  <c r="R22" i="25"/>
  <c r="P22" i="25"/>
  <c r="L22" i="25"/>
  <c r="J22" i="25"/>
  <c r="H22" i="25"/>
  <c r="D22" i="25"/>
  <c r="AB22" i="25"/>
  <c r="V23" i="25"/>
  <c r="T23" i="25"/>
  <c r="N23" i="25"/>
  <c r="L23" i="25"/>
  <c r="F23" i="25"/>
  <c r="D23" i="25"/>
  <c r="Z24" i="25"/>
  <c r="X24" i="25"/>
  <c r="V24" i="25"/>
  <c r="T24" i="25"/>
  <c r="R24" i="25"/>
  <c r="P24" i="25"/>
  <c r="N24" i="25"/>
  <c r="L24" i="25"/>
  <c r="J24" i="25"/>
  <c r="H24" i="25"/>
  <c r="F24" i="25"/>
  <c r="D24" i="25"/>
  <c r="Z25" i="25"/>
  <c r="X25" i="25"/>
  <c r="V25" i="25"/>
  <c r="T25" i="25"/>
  <c r="R25" i="25"/>
  <c r="P25" i="25"/>
  <c r="N25" i="25"/>
  <c r="L25" i="25"/>
  <c r="J25" i="25"/>
  <c r="H25" i="25"/>
  <c r="F25" i="25"/>
  <c r="D25" i="25"/>
  <c r="Z26" i="25"/>
  <c r="X26" i="25"/>
  <c r="R26" i="25"/>
  <c r="P26" i="25"/>
  <c r="J26" i="25"/>
  <c r="H26" i="25"/>
  <c r="D26" i="25"/>
  <c r="Z29" i="25"/>
  <c r="X29" i="25"/>
  <c r="V29" i="25"/>
  <c r="T29" i="25"/>
  <c r="R29" i="25"/>
  <c r="P29" i="25"/>
  <c r="N29" i="25"/>
  <c r="L29" i="25"/>
  <c r="J29" i="25"/>
  <c r="H29" i="25"/>
  <c r="F29" i="25"/>
  <c r="D29" i="25"/>
  <c r="Z30" i="25"/>
  <c r="X30" i="25"/>
  <c r="V30" i="25"/>
  <c r="T30" i="25"/>
  <c r="R30" i="25"/>
  <c r="P30" i="25"/>
  <c r="N30" i="25"/>
  <c r="L30" i="25"/>
  <c r="J30" i="25"/>
  <c r="H30" i="25"/>
  <c r="F30" i="25"/>
  <c r="D30" i="25"/>
  <c r="C8" i="25"/>
  <c r="C9" i="25"/>
  <c r="C10" i="25"/>
  <c r="C11" i="25"/>
  <c r="C12" i="25"/>
  <c r="C13" i="25"/>
  <c r="C14" i="25"/>
  <c r="C15" i="25"/>
  <c r="C16" i="25"/>
  <c r="C17" i="25"/>
  <c r="C18" i="25"/>
  <c r="C19" i="25"/>
  <c r="C20" i="25"/>
  <c r="C21" i="25"/>
  <c r="C22" i="25"/>
  <c r="C23" i="25"/>
  <c r="C24" i="25"/>
  <c r="C25" i="25"/>
  <c r="C26" i="25"/>
  <c r="C27" i="25"/>
  <c r="C28" i="25"/>
  <c r="C7" i="25"/>
  <c r="B28" i="25"/>
  <c r="B27" i="25"/>
  <c r="B18" i="22"/>
  <c r="B19" i="22"/>
  <c r="B15" i="25"/>
  <c r="B20" i="22"/>
  <c r="B21" i="22"/>
  <c r="B17" i="25"/>
  <c r="B22" i="22"/>
  <c r="B23" i="22"/>
  <c r="B19" i="25"/>
  <c r="B24" i="22"/>
  <c r="B25" i="22"/>
  <c r="B21" i="25"/>
  <c r="B26" i="22"/>
  <c r="B27" i="22"/>
  <c r="B23" i="25"/>
  <c r="B28" i="22"/>
  <c r="B29" i="22"/>
  <c r="B25" i="25"/>
  <c r="B30" i="22"/>
  <c r="B17" i="22"/>
  <c r="B13" i="25"/>
  <c r="B12" i="25"/>
  <c r="B11" i="25"/>
  <c r="B10" i="25"/>
  <c r="B9" i="25"/>
  <c r="B8" i="25"/>
  <c r="B7" i="25"/>
  <c r="H21" i="21"/>
  <c r="H22" i="21"/>
  <c r="H23" i="21"/>
  <c r="H24" i="21"/>
  <c r="H25" i="21"/>
  <c r="F21" i="21"/>
  <c r="F22" i="21"/>
  <c r="F23" i="21"/>
  <c r="F25" i="21"/>
  <c r="D25" i="21"/>
  <c r="D24" i="21"/>
  <c r="D20" i="21"/>
  <c r="C7" i="21"/>
  <c r="C8" i="21"/>
  <c r="C9" i="21"/>
  <c r="C10" i="21"/>
  <c r="D27" i="21"/>
  <c r="D28" i="21"/>
  <c r="D29" i="21"/>
  <c r="D30" i="21"/>
  <c r="D31" i="21"/>
  <c r="D26" i="21"/>
  <c r="D19" i="21"/>
  <c r="F40" i="21"/>
  <c r="E19" i="21"/>
  <c r="F41" i="21"/>
  <c r="E20" i="21"/>
  <c r="F42" i="21"/>
  <c r="E21" i="21"/>
  <c r="F43" i="21"/>
  <c r="E22" i="21"/>
  <c r="F44" i="21"/>
  <c r="E23" i="21"/>
  <c r="F45" i="21"/>
  <c r="F46" i="21"/>
  <c r="E25" i="21"/>
  <c r="F47" i="21"/>
  <c r="E26" i="21"/>
  <c r="F48" i="21"/>
  <c r="E27" i="21"/>
  <c r="F49" i="21"/>
  <c r="E28" i="21"/>
  <c r="F50" i="21"/>
  <c r="E29" i="21"/>
  <c r="F51" i="21"/>
  <c r="E30" i="21"/>
  <c r="F52" i="21"/>
  <c r="E31" i="21"/>
  <c r="E18" i="21"/>
  <c r="H50" i="1"/>
  <c r="F41" i="1"/>
  <c r="F23" i="1"/>
  <c r="H47" i="1"/>
  <c r="H44" i="1"/>
  <c r="H45" i="1"/>
  <c r="H28" i="1"/>
  <c r="H29" i="1"/>
  <c r="H30" i="1"/>
  <c r="H31" i="1"/>
  <c r="H32" i="1"/>
  <c r="H33" i="1"/>
  <c r="H34" i="1"/>
  <c r="H35" i="1"/>
  <c r="H36" i="1"/>
  <c r="H37" i="1"/>
  <c r="H38" i="1"/>
  <c r="H39" i="1"/>
  <c r="H40" i="1"/>
  <c r="G39" i="1"/>
  <c r="G38" i="1"/>
  <c r="G37" i="1"/>
  <c r="G27" i="1"/>
  <c r="F28" i="1"/>
  <c r="F29" i="1"/>
  <c r="F30" i="1"/>
  <c r="F31" i="1"/>
  <c r="F32" i="1"/>
  <c r="F33" i="1"/>
  <c r="F34" i="1"/>
  <c r="F35" i="1"/>
  <c r="F36" i="1"/>
  <c r="F37" i="1"/>
  <c r="F38" i="1"/>
  <c r="F39" i="1"/>
  <c r="F40" i="1"/>
  <c r="F27" i="1"/>
  <c r="F19" i="1"/>
  <c r="B20" i="21"/>
  <c r="B41" i="21"/>
  <c r="B22" i="21"/>
  <c r="B43" i="21"/>
  <c r="B24" i="21"/>
  <c r="B45" i="21"/>
  <c r="B26" i="21"/>
  <c r="B47" i="21"/>
  <c r="B28" i="21"/>
  <c r="B49" i="21"/>
  <c r="B30" i="21"/>
  <c r="B51" i="21"/>
  <c r="B18" i="21"/>
  <c r="B39" i="21"/>
  <c r="B10" i="21"/>
  <c r="B9" i="21"/>
  <c r="B8" i="21"/>
  <c r="B7" i="21"/>
  <c r="B36" i="15"/>
  <c r="D36" i="15"/>
  <c r="B40" i="16"/>
  <c r="D17" i="16"/>
  <c r="D37" i="15"/>
  <c r="D38" i="15"/>
  <c r="D39" i="15"/>
  <c r="D40" i="15"/>
  <c r="D34" i="15"/>
  <c r="B25" i="15"/>
  <c r="B26" i="15"/>
  <c r="B27" i="15"/>
  <c r="B28" i="15"/>
  <c r="B29" i="15"/>
  <c r="B30" i="15"/>
  <c r="B31" i="15"/>
  <c r="B32" i="15"/>
  <c r="B33" i="15"/>
  <c r="B34" i="15"/>
  <c r="B35" i="15"/>
  <c r="D28" i="11"/>
  <c r="C38" i="19"/>
  <c r="C39" i="19"/>
  <c r="C4" i="27"/>
  <c r="C5" i="1"/>
  <c r="D22" i="26"/>
  <c r="G12" i="16"/>
  <c r="H12" i="16"/>
  <c r="I12" i="16"/>
  <c r="J12" i="16"/>
  <c r="K12" i="16"/>
  <c r="L12" i="16"/>
  <c r="M12" i="16"/>
  <c r="N12" i="16"/>
  <c r="O12" i="16"/>
  <c r="P12" i="16"/>
  <c r="D9" i="16"/>
  <c r="D20" i="16"/>
  <c r="D12" i="16"/>
  <c r="D8" i="16"/>
  <c r="C7" i="26"/>
  <c r="C25" i="18"/>
  <c r="C35" i="18"/>
  <c r="D25" i="18"/>
  <c r="E25" i="18"/>
  <c r="Y10" i="25"/>
  <c r="Y12" i="25"/>
  <c r="Y27" i="25"/>
  <c r="Y28" i="25"/>
  <c r="Y31" i="25"/>
  <c r="W10" i="25"/>
  <c r="W12" i="25"/>
  <c r="W27" i="25"/>
  <c r="W28" i="25"/>
  <c r="U10" i="25"/>
  <c r="U12" i="25"/>
  <c r="U27" i="25"/>
  <c r="U28" i="25"/>
  <c r="S10" i="25"/>
  <c r="S12" i="25"/>
  <c r="S27" i="25"/>
  <c r="S28" i="25"/>
  <c r="S31" i="25"/>
  <c r="Q10" i="25"/>
  <c r="Q12" i="25"/>
  <c r="Q27" i="25"/>
  <c r="Q28" i="25"/>
  <c r="Q31" i="25"/>
  <c r="O10" i="25"/>
  <c r="O12" i="25"/>
  <c r="O27" i="25"/>
  <c r="O28" i="25"/>
  <c r="M10" i="25"/>
  <c r="M12" i="25"/>
  <c r="M27" i="25"/>
  <c r="M28" i="25"/>
  <c r="K10" i="25"/>
  <c r="K12" i="25"/>
  <c r="K27" i="25"/>
  <c r="K28" i="25"/>
  <c r="K31" i="25"/>
  <c r="I10" i="25"/>
  <c r="I12" i="25"/>
  <c r="I27" i="25"/>
  <c r="I28" i="25"/>
  <c r="I31" i="25"/>
  <c r="G10" i="25"/>
  <c r="G12" i="25"/>
  <c r="G27" i="25"/>
  <c r="G28" i="25"/>
  <c r="E27" i="25"/>
  <c r="E28" i="25"/>
  <c r="AA10" i="25"/>
  <c r="AC10" i="25"/>
  <c r="AA27" i="25"/>
  <c r="AC29" i="25"/>
  <c r="AC30" i="25"/>
  <c r="E31" i="25"/>
  <c r="G31" i="25"/>
  <c r="M31" i="25"/>
  <c r="O31" i="25"/>
  <c r="U31" i="25"/>
  <c r="W31" i="25"/>
  <c r="AC8" i="25"/>
  <c r="AC9" i="25"/>
  <c r="AC11" i="25"/>
  <c r="AC13" i="25"/>
  <c r="AC14" i="25"/>
  <c r="AC15" i="25"/>
  <c r="AC16" i="25"/>
  <c r="AC17" i="25"/>
  <c r="AC18" i="25"/>
  <c r="AC19" i="25"/>
  <c r="AC20" i="25"/>
  <c r="AC21" i="25"/>
  <c r="AC22" i="25"/>
  <c r="AC23" i="25"/>
  <c r="AC27" i="25"/>
  <c r="AC7" i="25"/>
  <c r="D32" i="21"/>
  <c r="D9" i="23"/>
  <c r="E9" i="23"/>
  <c r="F9" i="23"/>
  <c r="G9" i="23"/>
  <c r="H9" i="23"/>
  <c r="E5" i="23"/>
  <c r="F5" i="23"/>
  <c r="G5" i="23"/>
  <c r="H5" i="23"/>
  <c r="B36" i="21"/>
  <c r="D33" i="21"/>
  <c r="N21" i="21"/>
  <c r="N22" i="21"/>
  <c r="N23" i="21"/>
  <c r="N24" i="21"/>
  <c r="N25" i="21"/>
  <c r="N20" i="21"/>
  <c r="L21" i="21"/>
  <c r="L22" i="21"/>
  <c r="L23" i="21"/>
  <c r="L24" i="21"/>
  <c r="L25" i="21"/>
  <c r="L20" i="21"/>
  <c r="J21" i="21"/>
  <c r="J22" i="21"/>
  <c r="J23" i="21"/>
  <c r="J24" i="21"/>
  <c r="J25" i="21"/>
  <c r="H20" i="21"/>
  <c r="D23" i="21"/>
  <c r="D22" i="21"/>
  <c r="D21" i="21"/>
  <c r="J7" i="21"/>
  <c r="F20" i="1"/>
  <c r="D4" i="22"/>
  <c r="Q4" i="22"/>
  <c r="R4" i="22"/>
  <c r="S4" i="22"/>
  <c r="T4" i="22"/>
  <c r="C38" i="20"/>
  <c r="C39" i="20"/>
  <c r="C24" i="20"/>
  <c r="I22" i="20"/>
  <c r="H22" i="20"/>
  <c r="G22" i="20"/>
  <c r="F22" i="20"/>
  <c r="E22" i="20"/>
  <c r="D22" i="20"/>
  <c r="B21" i="20"/>
  <c r="B20" i="20"/>
  <c r="B19" i="20"/>
  <c r="B18" i="20"/>
  <c r="B17" i="20"/>
  <c r="B16" i="20"/>
  <c r="B15" i="20"/>
  <c r="B14" i="20"/>
  <c r="B13" i="20"/>
  <c r="B12" i="20"/>
  <c r="B11" i="20"/>
  <c r="B10" i="20"/>
  <c r="B9" i="20"/>
  <c r="B8" i="20"/>
  <c r="B7" i="20"/>
  <c r="C24" i="19"/>
  <c r="O9" i="19"/>
  <c r="O13" i="19"/>
  <c r="O17" i="19"/>
  <c r="O21" i="19"/>
  <c r="I22" i="19"/>
  <c r="H22" i="19"/>
  <c r="G22" i="19"/>
  <c r="F22" i="19"/>
  <c r="E22" i="19"/>
  <c r="D22" i="19"/>
  <c r="B21" i="19"/>
  <c r="B20" i="19"/>
  <c r="B19" i="19"/>
  <c r="B18" i="19"/>
  <c r="B17" i="19"/>
  <c r="B16" i="19"/>
  <c r="B15" i="19"/>
  <c r="B14" i="19"/>
  <c r="B13" i="19"/>
  <c r="B12" i="19"/>
  <c r="B11" i="19"/>
  <c r="B10" i="19"/>
  <c r="B9" i="19"/>
  <c r="B8" i="19"/>
  <c r="B7" i="19"/>
  <c r="F25" i="18"/>
  <c r="G25" i="18"/>
  <c r="H25" i="18"/>
  <c r="I25" i="18"/>
  <c r="C38" i="18"/>
  <c r="C39" i="18"/>
  <c r="C24" i="18"/>
  <c r="O8" i="18"/>
  <c r="O10" i="18"/>
  <c r="O12" i="18"/>
  <c r="O14" i="18"/>
  <c r="O16" i="18"/>
  <c r="O18" i="18"/>
  <c r="O20" i="18"/>
  <c r="I22" i="18"/>
  <c r="H22" i="18"/>
  <c r="G22" i="18"/>
  <c r="F22" i="18"/>
  <c r="E22" i="18"/>
  <c r="D22" i="18"/>
  <c r="B21" i="18"/>
  <c r="B20" i="18"/>
  <c r="B19" i="18"/>
  <c r="B18" i="18"/>
  <c r="B17" i="18"/>
  <c r="B16" i="18"/>
  <c r="B15" i="18"/>
  <c r="B14" i="18"/>
  <c r="B13" i="18"/>
  <c r="B12" i="18"/>
  <c r="B11" i="18"/>
  <c r="B10" i="18"/>
  <c r="B9" i="18"/>
  <c r="B8" i="18"/>
  <c r="D25" i="17"/>
  <c r="C24" i="17"/>
  <c r="I22" i="17"/>
  <c r="H22" i="17"/>
  <c r="G22" i="17"/>
  <c r="F22" i="17"/>
  <c r="E22" i="17"/>
  <c r="D22" i="17"/>
  <c r="D4" i="16"/>
  <c r="E4" i="16"/>
  <c r="R4" i="16"/>
  <c r="S4" i="16"/>
  <c r="T4" i="16"/>
  <c r="U4" i="16"/>
  <c r="D36" i="16"/>
  <c r="Q28" i="16"/>
  <c r="Q17" i="16"/>
  <c r="Q15" i="16"/>
  <c r="Q14" i="16"/>
  <c r="U12" i="16"/>
  <c r="T12" i="16"/>
  <c r="S12" i="16"/>
  <c r="R12" i="16"/>
  <c r="Q9" i="16"/>
  <c r="Q8" i="16"/>
  <c r="D7" i="15"/>
  <c r="E6" i="15"/>
  <c r="J6" i="15"/>
  <c r="K6" i="15"/>
  <c r="L6" i="15"/>
  <c r="M6" i="15"/>
  <c r="I44" i="15"/>
  <c r="I9" i="15"/>
  <c r="I10" i="15"/>
  <c r="I11" i="15"/>
  <c r="I12" i="15"/>
  <c r="I13" i="15"/>
  <c r="I14" i="15"/>
  <c r="I15" i="15"/>
  <c r="I16" i="15"/>
  <c r="I17" i="15"/>
  <c r="I18" i="15"/>
  <c r="I19" i="15"/>
  <c r="I20" i="15"/>
  <c r="I21" i="15"/>
  <c r="I22" i="15"/>
  <c r="I23" i="15"/>
  <c r="B24" i="15"/>
  <c r="J44" i="15"/>
  <c r="K44" i="15"/>
  <c r="L44" i="15"/>
  <c r="M44" i="15"/>
  <c r="R111" i="11"/>
  <c r="R115" i="11"/>
  <c r="R119" i="11"/>
  <c r="Q111" i="11"/>
  <c r="Q112" i="11"/>
  <c r="Q113" i="11"/>
  <c r="Q114" i="11"/>
  <c r="Q115" i="11"/>
  <c r="Q116" i="11"/>
  <c r="Q119" i="11"/>
  <c r="Q120" i="11"/>
  <c r="P111" i="11"/>
  <c r="P112" i="11"/>
  <c r="P113" i="11"/>
  <c r="P114" i="11"/>
  <c r="P115" i="11"/>
  <c r="P116" i="11"/>
  <c r="P117" i="11"/>
  <c r="P119" i="11"/>
  <c r="P120" i="11"/>
  <c r="N111" i="11"/>
  <c r="N112" i="11"/>
  <c r="N113" i="11"/>
  <c r="N114" i="11"/>
  <c r="N115" i="11"/>
  <c r="N116" i="11"/>
  <c r="N117" i="11"/>
  <c r="N119" i="11"/>
  <c r="N120" i="11"/>
  <c r="R97" i="11"/>
  <c r="R98" i="11"/>
  <c r="R99" i="11"/>
  <c r="R100" i="11"/>
  <c r="R101" i="11"/>
  <c r="R102" i="11"/>
  <c r="R103" i="11"/>
  <c r="R104" i="11"/>
  <c r="R105" i="11"/>
  <c r="R106" i="11"/>
  <c r="R107" i="11"/>
  <c r="Q98" i="11"/>
  <c r="Q99" i="11"/>
  <c r="Q100" i="11"/>
  <c r="Q101" i="11"/>
  <c r="Q102" i="11"/>
  <c r="Q103" i="11"/>
  <c r="Q104" i="11"/>
  <c r="Q105" i="11"/>
  <c r="Q106" i="11"/>
  <c r="N98" i="11"/>
  <c r="N99" i="11"/>
  <c r="N100" i="11"/>
  <c r="N101" i="11"/>
  <c r="N102" i="11"/>
  <c r="N103" i="11"/>
  <c r="N104" i="11"/>
  <c r="N105" i="11"/>
  <c r="N106" i="11"/>
  <c r="Q4" i="3"/>
  <c r="C5" i="2"/>
  <c r="E8" i="8"/>
  <c r="J119" i="3"/>
  <c r="J118" i="3"/>
  <c r="J108" i="3"/>
  <c r="J103" i="3"/>
  <c r="J102" i="3"/>
  <c r="J91" i="3"/>
  <c r="J90" i="3"/>
  <c r="J89" i="3"/>
  <c r="J88" i="3"/>
  <c r="J87" i="3"/>
  <c r="J85" i="3"/>
  <c r="J84" i="3"/>
  <c r="J82" i="3"/>
  <c r="J81" i="3"/>
  <c r="J54" i="3"/>
  <c r="J53" i="3"/>
  <c r="F18" i="2"/>
  <c r="I41" i="1"/>
  <c r="H41" i="1"/>
  <c r="G41" i="1"/>
  <c r="G40" i="1"/>
  <c r="G36" i="1"/>
  <c r="G35" i="1"/>
  <c r="G34" i="1"/>
  <c r="G33" i="1"/>
  <c r="G32" i="1"/>
  <c r="G31" i="1"/>
  <c r="G30" i="1"/>
  <c r="G29" i="1"/>
  <c r="G28" i="1"/>
  <c r="F22" i="1"/>
  <c r="F21" i="1"/>
  <c r="D8" i="25"/>
  <c r="L7" i="21"/>
  <c r="O19" i="18"/>
  <c r="O15" i="18"/>
  <c r="O11" i="18"/>
  <c r="O7" i="18"/>
  <c r="O13" i="18"/>
  <c r="O17" i="18"/>
  <c r="O21" i="18"/>
  <c r="O22" i="18"/>
  <c r="J45" i="15"/>
  <c r="J51" i="15"/>
  <c r="N7" i="21"/>
  <c r="C34" i="18"/>
  <c r="C36" i="18"/>
  <c r="O18" i="19"/>
  <c r="O14" i="19"/>
  <c r="O10" i="19"/>
  <c r="O20" i="19"/>
  <c r="O16" i="19"/>
  <c r="O12" i="19"/>
  <c r="O8" i="19"/>
  <c r="C25" i="19"/>
  <c r="C34" i="19"/>
  <c r="O19" i="19"/>
  <c r="O15" i="19"/>
  <c r="O11" i="19"/>
  <c r="O13" i="17"/>
  <c r="O21" i="17"/>
  <c r="C25" i="17"/>
  <c r="C36" i="17"/>
  <c r="O14" i="17"/>
  <c r="O10" i="17"/>
  <c r="O18" i="17"/>
  <c r="O9" i="17"/>
  <c r="O17" i="17"/>
  <c r="M45" i="15"/>
  <c r="M51" i="15"/>
  <c r="L45" i="15"/>
  <c r="L51" i="15"/>
  <c r="K45" i="15"/>
  <c r="K51" i="15"/>
  <c r="Q12" i="16"/>
  <c r="Q18" i="16"/>
  <c r="I63" i="13"/>
  <c r="B29" i="21"/>
  <c r="B50" i="21"/>
  <c r="B24" i="25"/>
  <c r="B21" i="21"/>
  <c r="B42" i="21"/>
  <c r="B16" i="25"/>
  <c r="AB26" i="25"/>
  <c r="AB8" i="25"/>
  <c r="E24" i="21"/>
  <c r="F53" i="21"/>
  <c r="AB25" i="25"/>
  <c r="AB24" i="25"/>
  <c r="E48" i="11"/>
  <c r="E52" i="11"/>
  <c r="E53" i="11"/>
  <c r="E54" i="11"/>
  <c r="E9" i="11"/>
  <c r="D51" i="11"/>
  <c r="S110" i="11"/>
  <c r="M114" i="11"/>
  <c r="O114" i="11"/>
  <c r="E114" i="11"/>
  <c r="E113" i="11"/>
  <c r="O117" i="11"/>
  <c r="E117" i="11"/>
  <c r="E115" i="11"/>
  <c r="E116" i="11"/>
  <c r="D15" i="16"/>
  <c r="R118" i="11"/>
  <c r="B31" i="21"/>
  <c r="B52" i="21"/>
  <c r="B26" i="25"/>
  <c r="O118" i="11"/>
  <c r="M118" i="11"/>
  <c r="E118" i="11"/>
  <c r="E112" i="11"/>
  <c r="O19" i="17"/>
  <c r="O15" i="17"/>
  <c r="O11" i="17"/>
  <c r="O7" i="17"/>
  <c r="P8" i="22"/>
  <c r="F7" i="21"/>
  <c r="N97" i="11"/>
  <c r="N107" i="11"/>
  <c r="N118" i="11"/>
  <c r="N121" i="11"/>
  <c r="P118" i="11"/>
  <c r="P121" i="11"/>
  <c r="Q117" i="11"/>
  <c r="Q118" i="11"/>
  <c r="Q121" i="11"/>
  <c r="R120" i="11"/>
  <c r="R116" i="11"/>
  <c r="R112" i="11"/>
  <c r="R113" i="11"/>
  <c r="R114" i="11"/>
  <c r="R117" i="11"/>
  <c r="R121" i="11"/>
  <c r="D25" i="19"/>
  <c r="E25" i="19"/>
  <c r="C36" i="19"/>
  <c r="D25" i="20"/>
  <c r="B27" i="21"/>
  <c r="B48" i="21"/>
  <c r="B22" i="25"/>
  <c r="B19" i="21"/>
  <c r="B40" i="21"/>
  <c r="B14" i="25"/>
  <c r="AB30" i="25"/>
  <c r="AB29" i="25"/>
  <c r="E55" i="11"/>
  <c r="E59" i="11"/>
  <c r="I25" i="20"/>
  <c r="H25" i="20"/>
  <c r="C35" i="19"/>
  <c r="E25" i="20"/>
  <c r="B23" i="21"/>
  <c r="B44" i="21"/>
  <c r="B18" i="25"/>
  <c r="AB9" i="25"/>
  <c r="D48" i="11"/>
  <c r="D52" i="11"/>
  <c r="K44" i="11"/>
  <c r="K59" i="11"/>
  <c r="H7" i="21"/>
  <c r="E111" i="11"/>
  <c r="M97" i="11"/>
  <c r="M107" i="11"/>
  <c r="O97" i="11"/>
  <c r="O107" i="11"/>
  <c r="G25" i="19"/>
  <c r="F25" i="19"/>
  <c r="O20" i="17"/>
  <c r="O16" i="17"/>
  <c r="O12" i="17"/>
  <c r="O8" i="17"/>
  <c r="Q97" i="11"/>
  <c r="Q107" i="11"/>
  <c r="I25" i="19"/>
  <c r="G25" i="20"/>
  <c r="AA12" i="25"/>
  <c r="B25" i="21"/>
  <c r="B46" i="21"/>
  <c r="B20" i="25"/>
  <c r="H22" i="10"/>
  <c r="H18" i="10"/>
  <c r="H23" i="10"/>
  <c r="H24" i="10"/>
  <c r="D9" i="10"/>
  <c r="K38" i="11"/>
  <c r="K57" i="11"/>
  <c r="H23" i="25"/>
  <c r="AB23" i="25"/>
  <c r="E120" i="11"/>
  <c r="E119" i="11"/>
  <c r="K56" i="11"/>
  <c r="T96" i="11"/>
  <c r="S98" i="11"/>
  <c r="S102" i="11"/>
  <c r="S106" i="11"/>
  <c r="S97" i="11"/>
  <c r="S99" i="11"/>
  <c r="S103" i="11"/>
  <c r="S107" i="11"/>
  <c r="K54" i="11"/>
  <c r="O121" i="11"/>
  <c r="I25" i="17"/>
  <c r="H25" i="17"/>
  <c r="H52" i="1"/>
  <c r="I13" i="2"/>
  <c r="D6" i="21"/>
  <c r="D7" i="21"/>
  <c r="E97" i="11"/>
  <c r="E98" i="11"/>
  <c r="E99" i="11"/>
  <c r="E100" i="11"/>
  <c r="E101" i="11"/>
  <c r="E102" i="11"/>
  <c r="E103" i="11"/>
  <c r="E104" i="11"/>
  <c r="E105" i="11"/>
  <c r="E106" i="11"/>
  <c r="O22" i="19"/>
  <c r="C34" i="17"/>
  <c r="C35" i="17"/>
  <c r="Q19" i="16"/>
  <c r="O22" i="17"/>
  <c r="C25" i="20"/>
  <c r="O9" i="20"/>
  <c r="O13" i="20"/>
  <c r="O17" i="20"/>
  <c r="O21" i="20"/>
  <c r="O8" i="20"/>
  <c r="O12" i="20"/>
  <c r="O16" i="20"/>
  <c r="O20" i="20"/>
  <c r="O11" i="20"/>
  <c r="O19" i="20"/>
  <c r="O14" i="20"/>
  <c r="O10" i="20"/>
  <c r="O18" i="20"/>
  <c r="O7" i="20"/>
  <c r="O15" i="20"/>
  <c r="K36" i="11"/>
  <c r="H48" i="1"/>
  <c r="L6" i="2"/>
  <c r="C11" i="26"/>
  <c r="D6" i="16"/>
  <c r="H11" i="3"/>
  <c r="F8" i="1"/>
  <c r="M121" i="11"/>
  <c r="E10" i="11"/>
  <c r="D55" i="11"/>
  <c r="D59" i="11"/>
  <c r="D60" i="11"/>
  <c r="D53" i="11"/>
  <c r="D54" i="11"/>
  <c r="L21" i="2"/>
  <c r="I22" i="2"/>
  <c r="L17" i="2"/>
  <c r="T97" i="11"/>
  <c r="T98" i="11"/>
  <c r="T100" i="11"/>
  <c r="T102" i="11"/>
  <c r="T104" i="11"/>
  <c r="T106" i="11"/>
  <c r="U96" i="11"/>
  <c r="T101" i="11"/>
  <c r="T99" i="11"/>
  <c r="T103" i="11"/>
  <c r="T105" i="11"/>
  <c r="K39" i="11"/>
  <c r="E7" i="11"/>
  <c r="B14" i="3"/>
  <c r="AA28" i="25"/>
  <c r="AC12" i="25"/>
  <c r="I45" i="15"/>
  <c r="I51" i="15"/>
  <c r="D19" i="23"/>
  <c r="C26" i="23"/>
  <c r="H20" i="23"/>
  <c r="T110" i="11"/>
  <c r="S112" i="11"/>
  <c r="S116" i="11"/>
  <c r="S120" i="11"/>
  <c r="S111" i="11"/>
  <c r="S113" i="11"/>
  <c r="S117" i="11"/>
  <c r="S115" i="11"/>
  <c r="S114" i="11"/>
  <c r="S119" i="11"/>
  <c r="S118" i="11"/>
  <c r="E6" i="16"/>
  <c r="Q21" i="16"/>
  <c r="F19" i="23"/>
  <c r="E19" i="23"/>
  <c r="C35" i="20"/>
  <c r="C36" i="20"/>
  <c r="C34" i="20"/>
  <c r="AA31" i="25"/>
  <c r="AC28" i="25"/>
  <c r="AC31" i="25"/>
  <c r="H51" i="1"/>
  <c r="I6" i="2"/>
  <c r="H49" i="1"/>
  <c r="F10" i="2"/>
  <c r="H46" i="1"/>
  <c r="C14" i="2"/>
  <c r="S121" i="11"/>
  <c r="T111" i="11"/>
  <c r="T112" i="11"/>
  <c r="T113" i="11"/>
  <c r="T114" i="11"/>
  <c r="T115" i="11"/>
  <c r="T116" i="11"/>
  <c r="T117" i="11"/>
  <c r="T118" i="11"/>
  <c r="T119" i="11"/>
  <c r="T120" i="11"/>
  <c r="U110" i="11"/>
  <c r="V96" i="11"/>
  <c r="U99" i="11"/>
  <c r="U103" i="11"/>
  <c r="U100" i="11"/>
  <c r="U104" i="11"/>
  <c r="U98" i="11"/>
  <c r="U102" i="11"/>
  <c r="U106" i="11"/>
  <c r="U105" i="11"/>
  <c r="U97" i="11"/>
  <c r="U101" i="11"/>
  <c r="F103" i="11"/>
  <c r="D103" i="11"/>
  <c r="B103" i="11"/>
  <c r="F106" i="11"/>
  <c r="D106" i="11"/>
  <c r="B106" i="11"/>
  <c r="F104" i="11"/>
  <c r="D104" i="11"/>
  <c r="B104" i="11"/>
  <c r="F105" i="11"/>
  <c r="D105" i="11"/>
  <c r="B105" i="11"/>
  <c r="F102" i="11"/>
  <c r="D102" i="11"/>
  <c r="B102" i="11"/>
  <c r="F99" i="11"/>
  <c r="D99" i="11"/>
  <c r="B99" i="11"/>
  <c r="F97" i="11"/>
  <c r="D97" i="11"/>
  <c r="B97" i="11"/>
  <c r="F101" i="11"/>
  <c r="D101" i="11"/>
  <c r="B101" i="11"/>
  <c r="F98" i="11"/>
  <c r="D98" i="11"/>
  <c r="B98" i="11"/>
  <c r="F100" i="11"/>
  <c r="D100" i="11"/>
  <c r="B100" i="11"/>
  <c r="L25" i="2"/>
  <c r="K41" i="11"/>
  <c r="K30" i="11"/>
  <c r="K31" i="11"/>
  <c r="K40" i="11"/>
  <c r="T107" i="11"/>
  <c r="O22" i="20"/>
  <c r="G19" i="23"/>
  <c r="V110" i="11"/>
  <c r="U113" i="11"/>
  <c r="U117" i="11"/>
  <c r="U114" i="11"/>
  <c r="U118" i="11"/>
  <c r="U112" i="11"/>
  <c r="U119" i="11"/>
  <c r="U116" i="11"/>
  <c r="U111" i="11"/>
  <c r="U115" i="11"/>
  <c r="U120" i="11"/>
  <c r="U121" i="11"/>
  <c r="F111" i="11"/>
  <c r="D111" i="11"/>
  <c r="B111" i="11"/>
  <c r="F115" i="11"/>
  <c r="D115" i="11"/>
  <c r="B115" i="11"/>
  <c r="F119" i="11"/>
  <c r="D119" i="11"/>
  <c r="B119" i="11"/>
  <c r="F116" i="11"/>
  <c r="D116" i="11"/>
  <c r="B116" i="11"/>
  <c r="F113" i="11"/>
  <c r="D113" i="11"/>
  <c r="B113" i="11"/>
  <c r="F114" i="11"/>
  <c r="D114" i="11"/>
  <c r="B114" i="11"/>
  <c r="F118" i="11"/>
  <c r="D118" i="11"/>
  <c r="B118" i="11"/>
  <c r="F112" i="11"/>
  <c r="D112" i="11"/>
  <c r="B112" i="11"/>
  <c r="F120" i="11"/>
  <c r="D120" i="11"/>
  <c r="B120" i="11"/>
  <c r="F117" i="11"/>
  <c r="D117" i="11"/>
  <c r="B117" i="11"/>
  <c r="C27" i="23"/>
  <c r="C31" i="23"/>
  <c r="C30" i="23"/>
  <c r="V98" i="11"/>
  <c r="V102" i="11"/>
  <c r="V106" i="11"/>
  <c r="V99" i="11"/>
  <c r="V97" i="11"/>
  <c r="V101" i="11"/>
  <c r="V105" i="11"/>
  <c r="V103" i="11"/>
  <c r="W96" i="11"/>
  <c r="V104" i="11"/>
  <c r="V100" i="11"/>
  <c r="T121" i="11"/>
  <c r="B107" i="11"/>
  <c r="K49" i="11"/>
  <c r="U107" i="11"/>
  <c r="B121" i="11"/>
  <c r="K48" i="11"/>
  <c r="F6" i="16"/>
  <c r="V111" i="11"/>
  <c r="V115" i="11"/>
  <c r="V119" i="11"/>
  <c r="V112" i="11"/>
  <c r="V120" i="11"/>
  <c r="W110" i="11"/>
  <c r="V114" i="11"/>
  <c r="V118" i="11"/>
  <c r="V116" i="11"/>
  <c r="V117" i="11"/>
  <c r="V113" i="11"/>
  <c r="H19" i="23"/>
  <c r="K50" i="11"/>
  <c r="E8" i="11"/>
  <c r="E11" i="11"/>
  <c r="X96" i="11"/>
  <c r="W97" i="11"/>
  <c r="W101" i="11"/>
  <c r="W105" i="11"/>
  <c r="W102" i="11"/>
  <c r="W100" i="11"/>
  <c r="W104" i="11"/>
  <c r="W98" i="11"/>
  <c r="W106" i="11"/>
  <c r="W99" i="11"/>
  <c r="W103" i="11"/>
  <c r="V107" i="11"/>
  <c r="H30" i="10"/>
  <c r="D10" i="10"/>
  <c r="E12" i="11"/>
  <c r="W114" i="11"/>
  <c r="W118" i="11"/>
  <c r="X110" i="11"/>
  <c r="W115" i="11"/>
  <c r="W113" i="11"/>
  <c r="W117" i="11"/>
  <c r="W111" i="11"/>
  <c r="W119" i="11"/>
  <c r="W112" i="11"/>
  <c r="W120" i="11"/>
  <c r="W116" i="11"/>
  <c r="V121" i="11"/>
  <c r="W107" i="11"/>
  <c r="D11" i="25"/>
  <c r="X100" i="11"/>
  <c r="X104" i="11"/>
  <c r="X97" i="11"/>
  <c r="X105" i="11"/>
  <c r="X99" i="11"/>
  <c r="X103" i="11"/>
  <c r="X101" i="11"/>
  <c r="X98" i="11"/>
  <c r="X102" i="11"/>
  <c r="X106" i="11"/>
  <c r="X107" i="11"/>
  <c r="D7" i="25"/>
  <c r="W121" i="11"/>
  <c r="X113" i="11"/>
  <c r="X117" i="11"/>
  <c r="X118" i="11"/>
  <c r="X112" i="11"/>
  <c r="X116" i="11"/>
  <c r="X120" i="11"/>
  <c r="X114" i="11"/>
  <c r="X111" i="11"/>
  <c r="X115" i="11"/>
  <c r="X119" i="11"/>
  <c r="X121" i="11"/>
  <c r="D11" i="10"/>
  <c r="E8" i="10"/>
  <c r="E9" i="10"/>
  <c r="D17" i="25"/>
  <c r="D20" i="25"/>
  <c r="G6" i="16"/>
  <c r="D10" i="25"/>
  <c r="D18" i="25"/>
  <c r="D15" i="25"/>
  <c r="E10" i="10"/>
  <c r="D19" i="25"/>
  <c r="D16" i="25"/>
  <c r="D12" i="25"/>
  <c r="F11" i="25"/>
  <c r="F7" i="25"/>
  <c r="F17" i="25"/>
  <c r="F15" i="25"/>
  <c r="F20" i="25"/>
  <c r="F10" i="25"/>
  <c r="F16" i="25"/>
  <c r="H6" i="16"/>
  <c r="F19" i="25"/>
  <c r="F18" i="25"/>
  <c r="H11" i="25"/>
  <c r="F12" i="25"/>
  <c r="C40" i="17"/>
  <c r="C49" i="17"/>
  <c r="C32" i="17"/>
  <c r="C33" i="17"/>
  <c r="H7" i="25"/>
  <c r="H18" i="25"/>
  <c r="H10" i="25"/>
  <c r="H16" i="25"/>
  <c r="H20" i="25"/>
  <c r="H15" i="25"/>
  <c r="H19" i="25"/>
  <c r="I6" i="16"/>
  <c r="H17" i="25"/>
  <c r="L12" i="17"/>
  <c r="C37" i="17"/>
  <c r="C43" i="17"/>
  <c r="C44" i="17"/>
  <c r="J11" i="25"/>
  <c r="C48" i="17"/>
  <c r="H12" i="25"/>
  <c r="L10" i="17"/>
  <c r="L16" i="17"/>
  <c r="L11" i="17"/>
  <c r="L13" i="17"/>
  <c r="L17" i="17"/>
  <c r="L8" i="17"/>
  <c r="L14" i="17"/>
  <c r="L18" i="17"/>
  <c r="J7" i="25"/>
  <c r="C45" i="17"/>
  <c r="C46" i="17"/>
  <c r="L15" i="17"/>
  <c r="L9" i="17"/>
  <c r="L20" i="17"/>
  <c r="L21" i="17"/>
  <c r="L19" i="17"/>
  <c r="J22" i="17"/>
  <c r="J20" i="25"/>
  <c r="J19" i="25"/>
  <c r="J16" i="25"/>
  <c r="J17" i="25"/>
  <c r="L7" i="17"/>
  <c r="J10" i="25"/>
  <c r="J18" i="25"/>
  <c r="J15" i="25"/>
  <c r="L11" i="25"/>
  <c r="J12" i="25"/>
  <c r="J6" i="16"/>
  <c r="F13" i="25"/>
  <c r="D13" i="25"/>
  <c r="N11" i="25"/>
  <c r="H13" i="25"/>
  <c r="H27" i="25"/>
  <c r="H28" i="25"/>
  <c r="H31" i="25"/>
  <c r="L7" i="25"/>
  <c r="D27" i="25"/>
  <c r="D28" i="25"/>
  <c r="D31" i="25"/>
  <c r="F27" i="25"/>
  <c r="F28" i="25"/>
  <c r="F31" i="25"/>
  <c r="K6" i="16"/>
  <c r="P11" i="25"/>
  <c r="L20" i="25"/>
  <c r="L17" i="25"/>
  <c r="L18" i="25"/>
  <c r="L10" i="25"/>
  <c r="L16" i="25"/>
  <c r="L19" i="25"/>
  <c r="L15" i="25"/>
  <c r="C40" i="18"/>
  <c r="C49" i="18"/>
  <c r="L6" i="16"/>
  <c r="L12" i="25"/>
  <c r="N15" i="25"/>
  <c r="N16" i="25"/>
  <c r="N18" i="25"/>
  <c r="N20" i="25"/>
  <c r="N19" i="25"/>
  <c r="N7" i="25"/>
  <c r="N17" i="25"/>
  <c r="C32" i="18"/>
  <c r="C33" i="18"/>
  <c r="L15" i="18"/>
  <c r="C37" i="18"/>
  <c r="R11" i="25"/>
  <c r="C48" i="18"/>
  <c r="C43" i="18"/>
  <c r="N10" i="25"/>
  <c r="C44" i="18"/>
  <c r="L21" i="18"/>
  <c r="L20" i="18"/>
  <c r="L13" i="18"/>
  <c r="L8" i="18"/>
  <c r="L11" i="18"/>
  <c r="L10" i="18"/>
  <c r="L12" i="18"/>
  <c r="L17" i="18"/>
  <c r="L14" i="18"/>
  <c r="N12" i="25"/>
  <c r="L18" i="18"/>
  <c r="L19" i="18"/>
  <c r="L9" i="18"/>
  <c r="J22" i="18"/>
  <c r="C46" i="18"/>
  <c r="C45" i="18"/>
  <c r="L16" i="18"/>
  <c r="P16" i="25"/>
  <c r="P20" i="25"/>
  <c r="P18" i="25"/>
  <c r="P15" i="25"/>
  <c r="P7" i="25"/>
  <c r="P19" i="25"/>
  <c r="P17" i="25"/>
  <c r="T11" i="25"/>
  <c r="M6" i="16"/>
  <c r="P10" i="25"/>
  <c r="L7" i="18"/>
  <c r="R19" i="25"/>
  <c r="P12" i="25"/>
  <c r="R16" i="25"/>
  <c r="R17" i="25"/>
  <c r="R18" i="25"/>
  <c r="R20" i="25"/>
  <c r="R15" i="25"/>
  <c r="R7" i="25"/>
  <c r="N13" i="25"/>
  <c r="N6" i="16"/>
  <c r="J13" i="25"/>
  <c r="L13" i="25"/>
  <c r="R10" i="25"/>
  <c r="R12" i="25"/>
  <c r="V11" i="25"/>
  <c r="N27" i="25"/>
  <c r="N28" i="25"/>
  <c r="N31" i="25"/>
  <c r="L27" i="25"/>
  <c r="L28" i="25"/>
  <c r="L31" i="25"/>
  <c r="J27" i="25"/>
  <c r="J28" i="25"/>
  <c r="J31" i="25"/>
  <c r="O6" i="16"/>
  <c r="C40" i="19"/>
  <c r="C49" i="19"/>
  <c r="C32" i="19"/>
  <c r="C33" i="19"/>
  <c r="T15" i="25"/>
  <c r="T16" i="25"/>
  <c r="T18" i="25"/>
  <c r="T20" i="25"/>
  <c r="T17" i="25"/>
  <c r="T19" i="25"/>
  <c r="T7" i="25"/>
  <c r="L16" i="19"/>
  <c r="C48" i="19"/>
  <c r="T10" i="25"/>
  <c r="C37" i="19"/>
  <c r="X11" i="25"/>
  <c r="C43" i="19"/>
  <c r="C44" i="19"/>
  <c r="V18" i="25"/>
  <c r="L18" i="19"/>
  <c r="C46" i="19"/>
  <c r="C45" i="19"/>
  <c r="L11" i="19"/>
  <c r="L13" i="19"/>
  <c r="L8" i="19"/>
  <c r="L15" i="19"/>
  <c r="L20" i="19"/>
  <c r="L10" i="19"/>
  <c r="J22" i="19"/>
  <c r="L19" i="19"/>
  <c r="L9" i="19"/>
  <c r="L14" i="19"/>
  <c r="T12" i="25"/>
  <c r="L21" i="19"/>
  <c r="L17" i="19"/>
  <c r="L12" i="19"/>
  <c r="V7" i="25"/>
  <c r="V16" i="25"/>
  <c r="V20" i="25"/>
  <c r="V19" i="25"/>
  <c r="V17" i="25"/>
  <c r="V15" i="25"/>
  <c r="P6" i="16"/>
  <c r="L7" i="19"/>
  <c r="V10" i="25"/>
  <c r="V12" i="25"/>
  <c r="Q23" i="16"/>
  <c r="R13" i="25"/>
  <c r="X17" i="25"/>
  <c r="X19" i="25"/>
  <c r="X18" i="25"/>
  <c r="X15" i="25"/>
  <c r="X16" i="25"/>
  <c r="X7" i="25"/>
  <c r="X20" i="25"/>
  <c r="T13" i="25"/>
  <c r="P13" i="25"/>
  <c r="Q29" i="16"/>
  <c r="R27" i="25"/>
  <c r="R28" i="25"/>
  <c r="R31" i="25"/>
  <c r="P27" i="25"/>
  <c r="P28" i="25"/>
  <c r="P31" i="25"/>
  <c r="T27" i="25"/>
  <c r="T28" i="25"/>
  <c r="T31" i="25"/>
  <c r="X10" i="25"/>
  <c r="X12" i="25"/>
  <c r="P7" i="22"/>
  <c r="Z11" i="25"/>
  <c r="AB11" i="25"/>
  <c r="Q36" i="16"/>
  <c r="C40" i="20"/>
  <c r="C49" i="20"/>
  <c r="C32" i="20"/>
  <c r="C33" i="20"/>
  <c r="Z7" i="25"/>
  <c r="AB7" i="25"/>
  <c r="F6" i="21"/>
  <c r="Z16" i="25"/>
  <c r="AB16" i="25"/>
  <c r="Z17" i="25"/>
  <c r="AB17" i="25"/>
  <c r="Z18" i="25"/>
  <c r="AB18" i="25"/>
  <c r="Z15" i="25"/>
  <c r="AB15" i="25"/>
  <c r="Z10" i="25"/>
  <c r="AB10" i="25"/>
  <c r="Z20" i="25"/>
  <c r="AB20" i="25"/>
  <c r="Z19" i="25"/>
  <c r="AB19" i="25"/>
  <c r="L13" i="20"/>
  <c r="C48" i="20"/>
  <c r="L10" i="20"/>
  <c r="L8" i="20"/>
  <c r="C43" i="20"/>
  <c r="C44" i="20"/>
  <c r="C45" i="20"/>
  <c r="Z12" i="25"/>
  <c r="AB12" i="25"/>
  <c r="C37" i="20"/>
  <c r="L11" i="20"/>
  <c r="L14" i="20"/>
  <c r="L17" i="20"/>
  <c r="C46" i="20"/>
  <c r="L19" i="20"/>
  <c r="L15" i="20"/>
  <c r="L20" i="20"/>
  <c r="L21" i="20"/>
  <c r="L12" i="20"/>
  <c r="L16" i="20"/>
  <c r="J22" i="20"/>
  <c r="L9" i="20"/>
  <c r="L18" i="20"/>
  <c r="L7" i="20"/>
  <c r="V13" i="25"/>
  <c r="X13" i="25"/>
  <c r="Z13" i="25"/>
  <c r="V27" i="25"/>
  <c r="V28" i="25"/>
  <c r="V31" i="25"/>
  <c r="Z27" i="25"/>
  <c r="Z28" i="25"/>
  <c r="AB13" i="25"/>
  <c r="X27" i="25"/>
  <c r="X28" i="25"/>
  <c r="X31" i="25"/>
  <c r="AB28" i="25"/>
  <c r="AB31" i="25"/>
  <c r="Z31" i="25"/>
  <c r="AB27" i="25"/>
  <c r="G33" i="21"/>
  <c r="I20" i="21"/>
  <c r="I21" i="21"/>
  <c r="I22" i="21"/>
  <c r="I23" i="21"/>
  <c r="I24" i="21"/>
  <c r="I18" i="21"/>
  <c r="I29" i="21"/>
  <c r="H15" i="21"/>
  <c r="E7" i="23"/>
  <c r="E6" i="23"/>
  <c r="E8" i="23"/>
  <c r="E24" i="23"/>
  <c r="E28" i="23"/>
  <c r="K20" i="21"/>
  <c r="K21" i="21"/>
  <c r="K22" i="21"/>
  <c r="K23" i="21"/>
  <c r="K24" i="21"/>
  <c r="K18" i="21"/>
  <c r="K29" i="21"/>
  <c r="J15" i="21"/>
  <c r="F7" i="23"/>
  <c r="F6" i="23"/>
  <c r="F8" i="23"/>
  <c r="F24" i="23"/>
  <c r="F28" i="23"/>
  <c r="M20" i="21"/>
  <c r="M21" i="21"/>
  <c r="M22" i="21"/>
  <c r="M23" i="21"/>
  <c r="M24" i="21"/>
  <c r="M18" i="21"/>
  <c r="M29" i="21"/>
  <c r="L15" i="21"/>
  <c r="G7" i="23"/>
  <c r="G6" i="23"/>
  <c r="G8" i="23"/>
  <c r="G24" i="23"/>
  <c r="G28" i="23"/>
  <c r="I33" i="21"/>
  <c r="H16" i="21"/>
  <c r="H33" i="21"/>
  <c r="F35" i="40"/>
  <c r="G35" i="40"/>
  <c r="H35" i="40"/>
  <c r="L32" i="21"/>
  <c r="R43" i="16"/>
  <c r="R36" i="16"/>
  <c r="H6" i="21"/>
  <c r="H28" i="21"/>
  <c r="H19" i="21"/>
  <c r="H30" i="21"/>
  <c r="H26" i="21"/>
  <c r="H31" i="21"/>
  <c r="H27" i="21"/>
  <c r="S36" i="16"/>
  <c r="H29" i="21"/>
  <c r="S43" i="16"/>
  <c r="J6" i="21"/>
  <c r="E27" i="23"/>
  <c r="J29" i="21"/>
  <c r="T43" i="16"/>
  <c r="T36" i="16"/>
  <c r="J16" i="21"/>
  <c r="J18" i="21"/>
  <c r="J27" i="21"/>
  <c r="J31" i="21"/>
  <c r="J30" i="21"/>
  <c r="J28" i="21"/>
  <c r="J26" i="21"/>
  <c r="J19" i="21"/>
  <c r="H18" i="21"/>
  <c r="J32" i="21"/>
  <c r="E26" i="23"/>
  <c r="E31" i="23"/>
  <c r="E30" i="23"/>
  <c r="H32" i="21"/>
  <c r="F27" i="23"/>
  <c r="J33" i="21"/>
  <c r="K33" i="21"/>
  <c r="L6" i="21"/>
  <c r="L29" i="21"/>
  <c r="F31" i="23"/>
  <c r="F30" i="23"/>
  <c r="F26" i="23"/>
  <c r="M33" i="21"/>
  <c r="L16" i="21"/>
  <c r="L18" i="21"/>
  <c r="L26" i="21"/>
  <c r="L28" i="21"/>
  <c r="L27" i="21"/>
  <c r="L19" i="21"/>
  <c r="L30" i="21"/>
  <c r="L31" i="21"/>
  <c r="L33" i="21"/>
  <c r="G27" i="23"/>
  <c r="G30" i="23"/>
  <c r="G31" i="23"/>
  <c r="G26" i="23"/>
  <c r="D33" i="16"/>
  <c r="D31" i="23"/>
  <c r="D30" i="23"/>
  <c r="F32" i="21"/>
  <c r="F16" i="21"/>
  <c r="F33" i="21"/>
  <c r="I38" i="21"/>
  <c r="C39" i="21"/>
  <c r="C40" i="21"/>
  <c r="C41" i="21"/>
  <c r="C42" i="21"/>
  <c r="C43" i="21"/>
  <c r="C44" i="21"/>
  <c r="C45" i="21"/>
  <c r="C46" i="21"/>
  <c r="C47" i="21"/>
  <c r="C48" i="21"/>
  <c r="C49" i="21"/>
  <c r="C50" i="21"/>
  <c r="C51" i="21"/>
  <c r="C52" i="21"/>
  <c r="C53" i="21"/>
  <c r="E39" i="21"/>
  <c r="E40" i="21"/>
  <c r="E41" i="21"/>
  <c r="E42" i="21"/>
  <c r="E43" i="21"/>
  <c r="E44" i="21"/>
  <c r="E45" i="21"/>
  <c r="E46" i="21"/>
  <c r="E47" i="21"/>
  <c r="E48" i="21"/>
  <c r="E49" i="21"/>
  <c r="E50" i="21"/>
  <c r="E51" i="21"/>
  <c r="E52" i="21"/>
  <c r="E53" i="21"/>
  <c r="F18" i="21"/>
  <c r="D39" i="21"/>
  <c r="D40" i="21"/>
  <c r="D41" i="21"/>
  <c r="D42" i="21"/>
  <c r="D43" i="21"/>
  <c r="D44" i="21"/>
  <c r="D45" i="21"/>
  <c r="D46" i="21"/>
  <c r="D47" i="21"/>
  <c r="D48" i="21"/>
  <c r="D49" i="21"/>
  <c r="D50" i="21"/>
  <c r="D51" i="21"/>
  <c r="D52" i="21"/>
  <c r="D53" i="21"/>
  <c r="D27" i="23"/>
  <c r="F30" i="21"/>
  <c r="F26" i="21"/>
  <c r="F27" i="21"/>
  <c r="F28" i="21"/>
  <c r="F31" i="21"/>
  <c r="F29" i="21"/>
  <c r="F19" i="21"/>
  <c r="N9" i="21"/>
  <c r="N10" i="21"/>
  <c r="N12" i="21"/>
  <c r="N14" i="21"/>
  <c r="H6" i="23"/>
  <c r="O18" i="21"/>
  <c r="O20" i="21"/>
  <c r="O21" i="21"/>
  <c r="O22" i="21"/>
  <c r="O23" i="21"/>
  <c r="O24" i="21"/>
  <c r="O29" i="21"/>
  <c r="N15" i="21"/>
  <c r="H7" i="23"/>
  <c r="H8" i="23"/>
  <c r="H24" i="23"/>
  <c r="H31" i="23"/>
  <c r="H30" i="23"/>
  <c r="H26" i="23"/>
  <c r="H27" i="23"/>
  <c r="N32" i="21"/>
  <c r="N16" i="21"/>
  <c r="N33" i="21"/>
  <c r="O33" i="21"/>
  <c r="N29" i="21"/>
  <c r="N28" i="21"/>
  <c r="N26" i="21"/>
  <c r="N30" i="21"/>
  <c r="N31" i="21"/>
  <c r="N19" i="21"/>
  <c r="N27" i="21"/>
  <c r="N18" i="21"/>
  <c r="N6" i="21"/>
  <c r="U43" i="16"/>
  <c r="E32" i="40"/>
  <c r="E37" i="40"/>
  <c r="H28" i="23"/>
  <c r="E38" i="40"/>
  <c r="I35" i="40"/>
  <c r="U36" i="16"/>
  <c r="T16" i="22"/>
  <c r="T11" i="22"/>
</calcChain>
</file>

<file path=xl/comments1.xml><?xml version="1.0" encoding="utf-8"?>
<comments xmlns="http://schemas.openxmlformats.org/spreadsheetml/2006/main">
  <authors>
    <author>Paulo Fernando Machado</author>
    <author>HP</author>
  </authors>
  <commentList>
    <comment ref="B22" authorId="0">
      <text>
        <r>
          <rPr>
            <b/>
            <sz val="9"/>
            <color indexed="81"/>
            <rFont val="Arial"/>
            <family val="2"/>
          </rPr>
          <t>Paulo Fernando Machado:</t>
        </r>
        <r>
          <rPr>
            <sz val="9"/>
            <color indexed="81"/>
            <rFont val="Arial"/>
            <family val="2"/>
          </rPr>
          <t xml:space="preserve">
Excluir animais comprados</t>
        </r>
      </text>
    </comment>
    <comment ref="B47" authorId="1">
      <text>
        <r>
          <rPr>
            <b/>
            <sz val="9"/>
            <color indexed="81"/>
            <rFont val="Segoe UI"/>
            <family val="2"/>
          </rPr>
          <t>Esse valor será calculado após o preenchimento dos dados do rebanho atual</t>
        </r>
      </text>
    </comment>
  </commentList>
</comments>
</file>

<file path=xl/comments2.xml><?xml version="1.0" encoding="utf-8"?>
<comments xmlns="http://schemas.openxmlformats.org/spreadsheetml/2006/main">
  <authors>
    <author>Paulo Fernando Machado</author>
    <author>Augusto Lima</author>
    <author>John Fetrow VMD, MBA</author>
  </authors>
  <commentList>
    <comment ref="D17" authorId="0">
      <text>
        <r>
          <rPr>
            <b/>
            <sz val="9"/>
            <color indexed="81"/>
            <rFont val="Arial"/>
            <family val="2"/>
          </rPr>
          <t>Paulo Fernando Machado:</t>
        </r>
        <r>
          <rPr>
            <sz val="9"/>
            <color indexed="81"/>
            <rFont val="Arial"/>
            <family val="2"/>
          </rPr>
          <t xml:space="preserve">
Ano anterior em dezembro</t>
        </r>
      </text>
    </comment>
    <comment ref="D19" authorId="0">
      <text>
        <r>
          <rPr>
            <b/>
            <sz val="9"/>
            <color indexed="81"/>
            <rFont val="Arial"/>
            <family val="2"/>
          </rPr>
          <t>Paulo Fernando Machado:</t>
        </r>
        <r>
          <rPr>
            <sz val="9"/>
            <color indexed="81"/>
            <rFont val="Arial"/>
            <family val="2"/>
          </rPr>
          <t xml:space="preserve">
Ano anterior em dezembro</t>
        </r>
      </text>
    </comment>
    <comment ref="G23" authorId="1">
      <text>
        <r>
          <rPr>
            <b/>
            <sz val="10"/>
            <color indexed="81"/>
            <rFont val="Calibri"/>
          </rPr>
          <t>Gerencial R</t>
        </r>
      </text>
    </comment>
    <comment ref="D24" authorId="0">
      <text>
        <r>
          <rPr>
            <b/>
            <sz val="9"/>
            <color indexed="81"/>
            <rFont val="Arial"/>
            <family val="2"/>
          </rPr>
          <t>Paulo Fernando Machado:</t>
        </r>
        <r>
          <rPr>
            <sz val="9"/>
            <color indexed="81"/>
            <rFont val="Arial"/>
            <family val="2"/>
          </rPr>
          <t xml:space="preserve">
Ano anterior em dezembro</t>
        </r>
      </text>
    </comment>
    <comment ref="G31" authorId="2">
      <text>
        <r>
          <rPr>
            <b/>
            <sz val="14"/>
            <color indexed="81"/>
            <rFont val="Tahoma"/>
            <family val="2"/>
          </rPr>
          <t>Tipicamente menos de 2% ao mês</t>
        </r>
      </text>
    </comment>
    <comment ref="G49" authorId="2">
      <text>
        <r>
          <rPr>
            <b/>
            <sz val="14"/>
            <color indexed="81"/>
            <rFont val="Tahoma"/>
            <family val="2"/>
          </rPr>
          <t>Custo de alimentação do animal na maternidade</t>
        </r>
      </text>
    </comment>
    <comment ref="G58" authorId="2">
      <text>
        <r>
          <rPr>
            <sz val="14"/>
            <color indexed="81"/>
            <rFont val="Tahoma"/>
            <family val="2"/>
          </rPr>
          <t xml:space="preserve">
Em média 6 dias para casos sem febre e 14 dias para casos com febre.</t>
        </r>
      </text>
    </comment>
    <comment ref="G59" authorId="2">
      <text>
        <r>
          <rPr>
            <b/>
            <sz val="14"/>
            <color indexed="81"/>
            <rFont val="Tahoma"/>
            <family val="2"/>
          </rPr>
          <t>Se o leite é jogado fora considerar R$0,00. Se for fornecido para bezerros considerar 1/3 do valor de venda.</t>
        </r>
      </text>
    </comment>
  </commentList>
</comments>
</file>

<file path=xl/comments3.xml><?xml version="1.0" encoding="utf-8"?>
<comments xmlns="http://schemas.openxmlformats.org/spreadsheetml/2006/main">
  <authors>
    <author>Paulo Fernando Machado</author>
  </authors>
  <commentList>
    <comment ref="G14" authorId="0">
      <text>
        <r>
          <rPr>
            <sz val="9"/>
            <color indexed="81"/>
            <rFont val="Arial"/>
            <family val="2"/>
          </rPr>
          <t xml:space="preserve">Inclui custo de alimentação
</t>
        </r>
      </text>
    </comment>
    <comment ref="G24" authorId="0">
      <text>
        <r>
          <rPr>
            <sz val="9"/>
            <color indexed="81"/>
            <rFont val="Arial"/>
            <family val="2"/>
          </rPr>
          <t xml:space="preserve">
Inclui custo de alimentação</t>
        </r>
      </text>
    </comment>
  </commentList>
</comments>
</file>

<file path=xl/comments4.xml><?xml version="1.0" encoding="utf-8"?>
<comments xmlns="http://schemas.openxmlformats.org/spreadsheetml/2006/main">
  <authors>
    <author>John Fetrow VMD, MBA</author>
    <author>John Fetrow</author>
  </authors>
  <commentList>
    <comment ref="C20" authorId="0">
      <text>
        <r>
          <rPr>
            <b/>
            <sz val="14"/>
            <color indexed="81"/>
            <rFont val="Tahoma"/>
            <family val="2"/>
          </rPr>
          <t>Tipicamente menos de 2% ao mês</t>
        </r>
      </text>
    </comment>
    <comment ref="J30" authorId="0">
      <text>
        <r>
          <rPr>
            <b/>
            <sz val="14"/>
            <color indexed="81"/>
            <rFont val="Tahoma"/>
            <family val="2"/>
          </rPr>
          <t>Tipicamente menos de 1% ao ano</t>
        </r>
      </text>
    </comment>
    <comment ref="J31" authorId="0">
      <text>
        <r>
          <rPr>
            <b/>
            <sz val="14"/>
            <color indexed="81"/>
            <rFont val="Tahoma"/>
            <family val="2"/>
          </rPr>
          <t>Tipicamente menos de 5% ao ano</t>
        </r>
      </text>
    </comment>
    <comment ref="C39" authorId="0">
      <text>
        <r>
          <rPr>
            <b/>
            <sz val="14"/>
            <color indexed="81"/>
            <rFont val="Tahoma"/>
            <family val="2"/>
          </rPr>
          <t>Custo de alimentação do animal na maternidade</t>
        </r>
      </text>
    </comment>
    <comment ref="J44" authorId="1">
      <text>
        <r>
          <rPr>
            <b/>
            <sz val="14"/>
            <color indexed="81"/>
            <rFont val="Tahoma"/>
            <family val="2"/>
          </rPr>
          <t>Leva em consideração um custo marginal de R$12,00 para cada 100 kg de leite</t>
        </r>
      </text>
    </comment>
    <comment ref="C48" authorId="0">
      <text>
        <r>
          <rPr>
            <b/>
            <sz val="14"/>
            <color indexed="81"/>
            <rFont val="Tahoma"/>
            <family val="2"/>
          </rPr>
          <t>A produção cai para 2/3 em casos de mastite sem febre e para 1/2 em casos de mastite com febre.</t>
        </r>
      </text>
    </comment>
    <comment ref="C49" authorId="0">
      <text>
        <r>
          <rPr>
            <sz val="14"/>
            <color indexed="81"/>
            <rFont val="Tahoma"/>
            <family val="2"/>
          </rPr>
          <t xml:space="preserve">
Em média 6 dias para casos sem febre e 14 dias para casos com febre.</t>
        </r>
      </text>
    </comment>
    <comment ref="C50" authorId="0">
      <text>
        <r>
          <rPr>
            <b/>
            <sz val="14"/>
            <color indexed="81"/>
            <rFont val="Tahoma"/>
            <family val="2"/>
          </rPr>
          <t>Se o leite é jogado fora considerar R$0,00. Se for fornecido para bezerros considerar 1/3 do valor de venda.</t>
        </r>
      </text>
    </comment>
    <comment ref="C54" authorId="0">
      <text>
        <r>
          <rPr>
            <b/>
            <sz val="14"/>
            <color indexed="81"/>
            <rFont val="Tahoma"/>
            <family val="2"/>
          </rPr>
          <t>Esta é a estimativa de perda em 305 dias.</t>
        </r>
      </text>
    </comment>
  </commentList>
</comments>
</file>

<file path=xl/comments5.xml><?xml version="1.0" encoding="utf-8"?>
<comments xmlns="http://schemas.openxmlformats.org/spreadsheetml/2006/main">
  <authors>
    <author>Paulo Fernando Machado</author>
  </authors>
  <commentList>
    <comment ref="C3" authorId="0">
      <text>
        <r>
          <rPr>
            <sz val="12"/>
            <color indexed="81"/>
            <rFont val="Arial"/>
            <family val="2"/>
          </rPr>
          <t>Sua visão dos rumos do mercado. Razões que fazem com que seu negócio possa melhorar. Percepção do seu negócio pelos compardores de leite. Melhoria da região como produtora de leite. Novas indústrias chegando à região.</t>
        </r>
      </text>
    </comment>
    <comment ref="G3" authorId="0">
      <text>
        <r>
          <rPr>
            <sz val="9"/>
            <color indexed="81"/>
            <rFont val="Arial"/>
            <family val="2"/>
          </rPr>
          <t>Fatores externos além do seu controle que podem afetar seu negócio. Novos competidores. Queda de preço do leite. Aumento de preço de insumos. Fornecedores problemas.</t>
        </r>
      </text>
    </comment>
    <comment ref="C12" authorId="0">
      <text>
        <r>
          <rPr>
            <sz val="9"/>
            <color indexed="81"/>
            <rFont val="Calibri"/>
            <family val="2"/>
          </rPr>
          <t>Atributos positivos, tangíveis e intangíveis, internos. Estão sob o seu controle. Conhecimento, reputação, habilidades, capital, credito, tecnologia.</t>
        </r>
      </text>
    </comment>
    <comment ref="G12" authorId="0">
      <text>
        <r>
          <rPr>
            <sz val="9"/>
            <color indexed="81"/>
            <rFont val="Calibri"/>
            <family val="2"/>
          </rPr>
          <t>Coisas que reduzem sua competitividade. Coisas que você precisa melhorar. Áreas que você precisa melhorar para se tornar entre os 20% melhores de sua região. Localização ruím, baixos recursos, instalações inadequadas, genética ruím</t>
        </r>
      </text>
    </comment>
  </commentList>
</comments>
</file>

<file path=xl/comments6.xml><?xml version="1.0" encoding="utf-8"?>
<comments xmlns="http://schemas.openxmlformats.org/spreadsheetml/2006/main">
  <authors>
    <author>Augusto Lima</author>
  </authors>
  <commentList>
    <comment ref="K8" authorId="0">
      <text>
        <r>
          <rPr>
            <sz val="10"/>
            <color indexed="81"/>
            <rFont val="Calibri"/>
          </rPr>
          <t xml:space="preserve">Esse critério avalia o grau de importância da ação. Devem ser ponderados: Impactos no problema, no processo, no cliente, redução de custo, etc.
</t>
        </r>
      </text>
    </comment>
    <comment ref="L8" authorId="0">
      <text>
        <r>
          <rPr>
            <sz val="10"/>
            <color indexed="81"/>
            <rFont val="Calibri"/>
          </rPr>
          <t xml:space="preserve">Esse critério avalia a autonomia da operação para implementar a solução que está sendo planejada.
</t>
        </r>
      </text>
    </comment>
    <comment ref="M8" authorId="0">
      <text>
        <r>
          <rPr>
            <sz val="10"/>
            <color indexed="81"/>
            <rFont val="Calibri"/>
          </rPr>
          <t xml:space="preserve">Esse critério avalia a complexidade para implementar a ação. Devem ser ponderados: Etapas necessárias, áreas envolvidas, custos para implantação, tempo para implantar e para obter resultados, etc.
</t>
        </r>
      </text>
    </comment>
  </commentList>
</comments>
</file>

<file path=xl/comments7.xml><?xml version="1.0" encoding="utf-8"?>
<comments xmlns="http://schemas.openxmlformats.org/spreadsheetml/2006/main">
  <authors>
    <author>Paulo Fernando Machado</author>
  </authors>
  <commentList>
    <comment ref="D27" authorId="0">
      <text>
        <r>
          <rPr>
            <b/>
            <sz val="9"/>
            <color indexed="81"/>
            <rFont val="Arial"/>
            <family val="2"/>
          </rPr>
          <t>Paulo Fernando Machado:</t>
        </r>
        <r>
          <rPr>
            <sz val="9"/>
            <color indexed="81"/>
            <rFont val="Arial"/>
            <family val="2"/>
          </rPr>
          <t xml:space="preserve">
Ano anterior em dezembro</t>
        </r>
      </text>
    </comment>
    <comment ref="D30" authorId="0">
      <text>
        <r>
          <rPr>
            <b/>
            <sz val="9"/>
            <color indexed="81"/>
            <rFont val="Arial"/>
            <family val="2"/>
          </rPr>
          <t>Paulo Fernando Machado:</t>
        </r>
        <r>
          <rPr>
            <sz val="9"/>
            <color indexed="81"/>
            <rFont val="Arial"/>
            <family val="2"/>
          </rPr>
          <t xml:space="preserve">
Ano anterior em dezembro</t>
        </r>
      </text>
    </comment>
    <comment ref="D39" authorId="0">
      <text>
        <r>
          <rPr>
            <b/>
            <sz val="9"/>
            <color indexed="81"/>
            <rFont val="Arial"/>
            <family val="2"/>
          </rPr>
          <t>Paulo Fernando Machado:</t>
        </r>
        <r>
          <rPr>
            <sz val="9"/>
            <color indexed="81"/>
            <rFont val="Arial"/>
            <family val="2"/>
          </rPr>
          <t xml:space="preserve">
Ano anterior em dezembro</t>
        </r>
      </text>
    </comment>
    <comment ref="D40" authorId="0">
      <text>
        <r>
          <rPr>
            <b/>
            <sz val="9"/>
            <color indexed="81"/>
            <rFont val="Arial"/>
            <family val="2"/>
          </rPr>
          <t>Paulo Fernando Machado:</t>
        </r>
        <r>
          <rPr>
            <sz val="9"/>
            <color indexed="81"/>
            <rFont val="Arial"/>
            <family val="2"/>
          </rPr>
          <t xml:space="preserve">
Ano anterior em dezembro</t>
        </r>
      </text>
    </comment>
    <comment ref="D41" authorId="0">
      <text>
        <r>
          <rPr>
            <b/>
            <sz val="9"/>
            <color indexed="81"/>
            <rFont val="Arial"/>
            <family val="2"/>
          </rPr>
          <t>Paulo Fernando Machado:</t>
        </r>
        <r>
          <rPr>
            <sz val="9"/>
            <color indexed="81"/>
            <rFont val="Arial"/>
            <family val="2"/>
          </rPr>
          <t xml:space="preserve">
Ano anterior em dezembro</t>
        </r>
      </text>
    </comment>
  </commentList>
</comments>
</file>

<file path=xl/comments8.xml><?xml version="1.0" encoding="utf-8"?>
<comments xmlns="http://schemas.openxmlformats.org/spreadsheetml/2006/main">
  <authors>
    <author>Paulo Fernando Machado</author>
  </authors>
  <commentList>
    <comment ref="C6" authorId="0">
      <text>
        <r>
          <rPr>
            <b/>
            <sz val="9"/>
            <color indexed="81"/>
            <rFont val="Arial"/>
            <family val="2"/>
          </rPr>
          <t>Paulo Fernando Machado:</t>
        </r>
        <r>
          <rPr>
            <sz val="9"/>
            <color indexed="81"/>
            <rFont val="Arial"/>
            <family val="2"/>
          </rPr>
          <t xml:space="preserve">
Digitar valores como % da matéria original</t>
        </r>
      </text>
    </comment>
    <comment ref="D6" authorId="0">
      <text>
        <r>
          <rPr>
            <b/>
            <sz val="9"/>
            <color indexed="81"/>
            <rFont val="Arial"/>
            <family val="2"/>
          </rPr>
          <t>Paulo Fernando Machado:</t>
        </r>
        <r>
          <rPr>
            <sz val="9"/>
            <color indexed="81"/>
            <rFont val="Arial"/>
            <family val="2"/>
          </rPr>
          <t xml:space="preserve">
Digitar valores como Kg de matéria original por cabeça/dia</t>
        </r>
      </text>
    </comment>
    <comment ref="E6" authorId="0">
      <text>
        <r>
          <rPr>
            <b/>
            <sz val="9"/>
            <color indexed="81"/>
            <rFont val="Arial"/>
            <family val="2"/>
          </rPr>
          <t>Paulo Fernando Machado:</t>
        </r>
        <r>
          <rPr>
            <sz val="9"/>
            <color indexed="81"/>
            <rFont val="Arial"/>
            <family val="2"/>
          </rPr>
          <t xml:space="preserve">
Digitar valores como kg de matéria original por cabeça/dia</t>
        </r>
      </text>
    </comment>
    <comment ref="F6" authorId="0">
      <text>
        <r>
          <rPr>
            <b/>
            <sz val="9"/>
            <color indexed="81"/>
            <rFont val="Arial"/>
            <family val="2"/>
          </rPr>
          <t>Paulo Fernando Machado:</t>
        </r>
        <r>
          <rPr>
            <sz val="9"/>
            <color indexed="81"/>
            <rFont val="Arial"/>
            <family val="2"/>
          </rPr>
          <t xml:space="preserve">
Digitar valores como kg por cabeça/diade matéria original </t>
        </r>
      </text>
    </comment>
    <comment ref="G6" authorId="0">
      <text>
        <r>
          <rPr>
            <b/>
            <sz val="9"/>
            <color indexed="81"/>
            <rFont val="Arial"/>
            <family val="2"/>
          </rPr>
          <t>Paulo Fernando Machado:</t>
        </r>
        <r>
          <rPr>
            <sz val="9"/>
            <color indexed="81"/>
            <rFont val="Arial"/>
            <family val="2"/>
          </rPr>
          <t xml:space="preserve">
Digitar valores como kg por cabeça/diade matéria original </t>
        </r>
      </text>
    </comment>
    <comment ref="H6" authorId="0">
      <text>
        <r>
          <rPr>
            <b/>
            <sz val="9"/>
            <color indexed="81"/>
            <rFont val="Arial"/>
            <family val="2"/>
          </rPr>
          <t>Paulo Fernando Machado:</t>
        </r>
        <r>
          <rPr>
            <sz val="9"/>
            <color indexed="81"/>
            <rFont val="Arial"/>
            <family val="2"/>
          </rPr>
          <t xml:space="preserve">
Digitar valores como kg de matéria original por cabeça/dia</t>
        </r>
      </text>
    </comment>
    <comment ref="I6" authorId="0">
      <text>
        <r>
          <rPr>
            <b/>
            <sz val="9"/>
            <color indexed="81"/>
            <rFont val="Arial"/>
            <family val="2"/>
          </rPr>
          <t>Paulo Fernando Machado:</t>
        </r>
        <r>
          <rPr>
            <sz val="9"/>
            <color indexed="81"/>
            <rFont val="Arial"/>
            <family val="2"/>
          </rPr>
          <t xml:space="preserve">
Digitar valores como kg de matéria original por cabeça/dia</t>
        </r>
      </text>
    </comment>
  </commentList>
</comments>
</file>

<file path=xl/comments9.xml><?xml version="1.0" encoding="utf-8"?>
<comments xmlns="http://schemas.openxmlformats.org/spreadsheetml/2006/main">
  <authors>
    <author>Paulo Fernando Machado</author>
  </authors>
  <commentList>
    <comment ref="C6" authorId="0">
      <text>
        <r>
          <rPr>
            <b/>
            <sz val="9"/>
            <color indexed="81"/>
            <rFont val="Arial"/>
            <family val="2"/>
          </rPr>
          <t>Paulo Fernando Machado:</t>
        </r>
        <r>
          <rPr>
            <sz val="9"/>
            <color indexed="81"/>
            <rFont val="Arial"/>
            <family val="2"/>
          </rPr>
          <t xml:space="preserve">
Digitar valores como % da matéria original</t>
        </r>
      </text>
    </comment>
    <comment ref="D6" authorId="0">
      <text>
        <r>
          <rPr>
            <b/>
            <sz val="9"/>
            <color indexed="81"/>
            <rFont val="Arial"/>
            <family val="2"/>
          </rPr>
          <t>Paulo Fernando Machado:</t>
        </r>
        <r>
          <rPr>
            <sz val="9"/>
            <color indexed="81"/>
            <rFont val="Arial"/>
            <family val="2"/>
          </rPr>
          <t xml:space="preserve">
Digitar valores como Kg de matéria original por cabeça/dia</t>
        </r>
      </text>
    </comment>
    <comment ref="E6" authorId="0">
      <text>
        <r>
          <rPr>
            <b/>
            <sz val="9"/>
            <color indexed="81"/>
            <rFont val="Arial"/>
            <family val="2"/>
          </rPr>
          <t>Paulo Fernando Machado:</t>
        </r>
        <r>
          <rPr>
            <sz val="9"/>
            <color indexed="81"/>
            <rFont val="Arial"/>
            <family val="2"/>
          </rPr>
          <t xml:space="preserve">
Digitar valores como kg de matéria original por cabeça/dia</t>
        </r>
      </text>
    </comment>
    <comment ref="F6" authorId="0">
      <text>
        <r>
          <rPr>
            <b/>
            <sz val="9"/>
            <color indexed="81"/>
            <rFont val="Arial"/>
            <family val="2"/>
          </rPr>
          <t>Paulo Fernando Machado:</t>
        </r>
        <r>
          <rPr>
            <sz val="9"/>
            <color indexed="81"/>
            <rFont val="Arial"/>
            <family val="2"/>
          </rPr>
          <t xml:space="preserve">
Digitar valores como kg por cabeça/diade matéria original </t>
        </r>
      </text>
    </comment>
    <comment ref="G6" authorId="0">
      <text>
        <r>
          <rPr>
            <b/>
            <sz val="9"/>
            <color indexed="81"/>
            <rFont val="Arial"/>
            <family val="2"/>
          </rPr>
          <t>Paulo Fernando Machado:</t>
        </r>
        <r>
          <rPr>
            <sz val="9"/>
            <color indexed="81"/>
            <rFont val="Arial"/>
            <family val="2"/>
          </rPr>
          <t xml:space="preserve">
Digitar valores como kg por cabeça/diade matéria original </t>
        </r>
      </text>
    </comment>
    <comment ref="H6" authorId="0">
      <text>
        <r>
          <rPr>
            <b/>
            <sz val="9"/>
            <color indexed="81"/>
            <rFont val="Arial"/>
            <family val="2"/>
          </rPr>
          <t>Paulo Fernando Machado:</t>
        </r>
        <r>
          <rPr>
            <sz val="9"/>
            <color indexed="81"/>
            <rFont val="Arial"/>
            <family val="2"/>
          </rPr>
          <t xml:space="preserve">
Digitar valores como kg de matéria original por cabeça/dia</t>
        </r>
      </text>
    </comment>
    <comment ref="I6" authorId="0">
      <text>
        <r>
          <rPr>
            <b/>
            <sz val="9"/>
            <color indexed="81"/>
            <rFont val="Arial"/>
            <family val="2"/>
          </rPr>
          <t>Paulo Fernando Machado:</t>
        </r>
        <r>
          <rPr>
            <sz val="9"/>
            <color indexed="81"/>
            <rFont val="Arial"/>
            <family val="2"/>
          </rPr>
          <t xml:space="preserve">
Digitar valores como kg de matéria original por cabeça/dia</t>
        </r>
      </text>
    </comment>
  </commentList>
</comments>
</file>

<file path=xl/comments10.xml><?xml version="1.0" encoding="utf-8"?>
<comments xmlns="http://schemas.openxmlformats.org/spreadsheetml/2006/main">
  <authors>
    <author>Paulo Fernando Machado</author>
  </authors>
  <commentList>
    <comment ref="C6" authorId="0">
      <text>
        <r>
          <rPr>
            <b/>
            <sz val="9"/>
            <color indexed="81"/>
            <rFont val="Arial"/>
            <family val="2"/>
          </rPr>
          <t>Paulo Fernando Machado:</t>
        </r>
        <r>
          <rPr>
            <sz val="9"/>
            <color indexed="81"/>
            <rFont val="Arial"/>
            <family val="2"/>
          </rPr>
          <t xml:space="preserve">
Digitar valores como % da matéria original</t>
        </r>
      </text>
    </comment>
    <comment ref="D6" authorId="0">
      <text>
        <r>
          <rPr>
            <b/>
            <sz val="9"/>
            <color indexed="81"/>
            <rFont val="Arial"/>
            <family val="2"/>
          </rPr>
          <t>Paulo Fernando Machado:</t>
        </r>
        <r>
          <rPr>
            <sz val="9"/>
            <color indexed="81"/>
            <rFont val="Arial"/>
            <family val="2"/>
          </rPr>
          <t xml:space="preserve">
Digitar valores como Kg de matéria original por cabeça/dia</t>
        </r>
      </text>
    </comment>
    <comment ref="E6" authorId="0">
      <text>
        <r>
          <rPr>
            <b/>
            <sz val="9"/>
            <color indexed="81"/>
            <rFont val="Arial"/>
            <family val="2"/>
          </rPr>
          <t>Paulo Fernando Machado:</t>
        </r>
        <r>
          <rPr>
            <sz val="9"/>
            <color indexed="81"/>
            <rFont val="Arial"/>
            <family val="2"/>
          </rPr>
          <t xml:space="preserve">
Digitar valores como kg de matéria original por cabeça/dia</t>
        </r>
      </text>
    </comment>
    <comment ref="F6" authorId="0">
      <text>
        <r>
          <rPr>
            <b/>
            <sz val="9"/>
            <color indexed="81"/>
            <rFont val="Arial"/>
            <family val="2"/>
          </rPr>
          <t>Paulo Fernando Machado:</t>
        </r>
        <r>
          <rPr>
            <sz val="9"/>
            <color indexed="81"/>
            <rFont val="Arial"/>
            <family val="2"/>
          </rPr>
          <t xml:space="preserve">
Digitar valores como kg por cabeça/diade matéria original </t>
        </r>
      </text>
    </comment>
    <comment ref="G6" authorId="0">
      <text>
        <r>
          <rPr>
            <b/>
            <sz val="9"/>
            <color indexed="81"/>
            <rFont val="Arial"/>
            <family val="2"/>
          </rPr>
          <t>Paulo Fernando Machado:</t>
        </r>
        <r>
          <rPr>
            <sz val="9"/>
            <color indexed="81"/>
            <rFont val="Arial"/>
            <family val="2"/>
          </rPr>
          <t xml:space="preserve">
Digitar valores como kg por cabeça/diade matéria original </t>
        </r>
      </text>
    </comment>
    <comment ref="H6" authorId="0">
      <text>
        <r>
          <rPr>
            <b/>
            <sz val="9"/>
            <color indexed="81"/>
            <rFont val="Arial"/>
            <family val="2"/>
          </rPr>
          <t>Paulo Fernando Machado:</t>
        </r>
        <r>
          <rPr>
            <sz val="9"/>
            <color indexed="81"/>
            <rFont val="Arial"/>
            <family val="2"/>
          </rPr>
          <t xml:space="preserve">
Digitar valores como kg de matéria original por cabeça/dia</t>
        </r>
      </text>
    </comment>
    <comment ref="I6" authorId="0">
      <text>
        <r>
          <rPr>
            <b/>
            <sz val="9"/>
            <color indexed="81"/>
            <rFont val="Arial"/>
            <family val="2"/>
          </rPr>
          <t>Paulo Fernando Machado:</t>
        </r>
        <r>
          <rPr>
            <sz val="9"/>
            <color indexed="81"/>
            <rFont val="Arial"/>
            <family val="2"/>
          </rPr>
          <t xml:space="preserve">
Digitar valores como kg de matéria original por cabeça/dia</t>
        </r>
      </text>
    </comment>
  </commentList>
</comments>
</file>

<file path=xl/comments11.xml><?xml version="1.0" encoding="utf-8"?>
<comments xmlns="http://schemas.openxmlformats.org/spreadsheetml/2006/main">
  <authors>
    <author>Paulo Fernando Machado</author>
  </authors>
  <commentList>
    <comment ref="C6" authorId="0">
      <text>
        <r>
          <rPr>
            <b/>
            <sz val="9"/>
            <color indexed="81"/>
            <rFont val="Arial"/>
            <family val="2"/>
          </rPr>
          <t>Paulo Fernando Machado:</t>
        </r>
        <r>
          <rPr>
            <sz val="9"/>
            <color indexed="81"/>
            <rFont val="Arial"/>
            <family val="2"/>
          </rPr>
          <t xml:space="preserve">
Digitar valores como % da matéria original</t>
        </r>
      </text>
    </comment>
    <comment ref="D6" authorId="0">
      <text>
        <r>
          <rPr>
            <b/>
            <sz val="9"/>
            <color indexed="81"/>
            <rFont val="Arial"/>
            <family val="2"/>
          </rPr>
          <t>Paulo Fernando Machado:</t>
        </r>
        <r>
          <rPr>
            <sz val="9"/>
            <color indexed="81"/>
            <rFont val="Arial"/>
            <family val="2"/>
          </rPr>
          <t xml:space="preserve">
Digitar valores como Kg de matéria original por cabeça/dia</t>
        </r>
      </text>
    </comment>
    <comment ref="E6" authorId="0">
      <text>
        <r>
          <rPr>
            <b/>
            <sz val="9"/>
            <color indexed="81"/>
            <rFont val="Arial"/>
            <family val="2"/>
          </rPr>
          <t>Paulo Fernando Machado:</t>
        </r>
        <r>
          <rPr>
            <sz val="9"/>
            <color indexed="81"/>
            <rFont val="Arial"/>
            <family val="2"/>
          </rPr>
          <t xml:space="preserve">
Digitar valores como kg de matéria original por cabeça/dia</t>
        </r>
      </text>
    </comment>
    <comment ref="F6" authorId="0">
      <text>
        <r>
          <rPr>
            <b/>
            <sz val="9"/>
            <color indexed="81"/>
            <rFont val="Arial"/>
            <family val="2"/>
          </rPr>
          <t>Paulo Fernando Machado:</t>
        </r>
        <r>
          <rPr>
            <sz val="9"/>
            <color indexed="81"/>
            <rFont val="Arial"/>
            <family val="2"/>
          </rPr>
          <t xml:space="preserve">
Digitar valores como kg por cabeça/diade matéria original </t>
        </r>
      </text>
    </comment>
    <comment ref="G6" authorId="0">
      <text>
        <r>
          <rPr>
            <b/>
            <sz val="9"/>
            <color indexed="81"/>
            <rFont val="Arial"/>
            <family val="2"/>
          </rPr>
          <t>Paulo Fernando Machado:</t>
        </r>
        <r>
          <rPr>
            <sz val="9"/>
            <color indexed="81"/>
            <rFont val="Arial"/>
            <family val="2"/>
          </rPr>
          <t xml:space="preserve">
Digitar valores como kg por cabeça/diade matéria original </t>
        </r>
      </text>
    </comment>
    <comment ref="H6" authorId="0">
      <text>
        <r>
          <rPr>
            <b/>
            <sz val="9"/>
            <color indexed="81"/>
            <rFont val="Arial"/>
            <family val="2"/>
          </rPr>
          <t>Paulo Fernando Machado:</t>
        </r>
        <r>
          <rPr>
            <sz val="9"/>
            <color indexed="81"/>
            <rFont val="Arial"/>
            <family val="2"/>
          </rPr>
          <t xml:space="preserve">
Digitar valores como kg de matéria original por cabeça/dia</t>
        </r>
      </text>
    </comment>
    <comment ref="I6" authorId="0">
      <text>
        <r>
          <rPr>
            <b/>
            <sz val="9"/>
            <color indexed="81"/>
            <rFont val="Arial"/>
            <family val="2"/>
          </rPr>
          <t>Paulo Fernando Machado:</t>
        </r>
        <r>
          <rPr>
            <sz val="9"/>
            <color indexed="81"/>
            <rFont val="Arial"/>
            <family val="2"/>
          </rPr>
          <t xml:space="preserve">
Digitar valores como kg de matéria original por cabeça/dia</t>
        </r>
      </text>
    </comment>
  </commentList>
</comments>
</file>

<file path=xl/comments12.xml><?xml version="1.0" encoding="utf-8"?>
<comments xmlns="http://schemas.openxmlformats.org/spreadsheetml/2006/main">
  <authors>
    <author>Augusto Lima</author>
  </authors>
  <commentList>
    <comment ref="M3" authorId="0">
      <text>
        <r>
          <rPr>
            <b/>
            <sz val="10"/>
            <color indexed="81"/>
            <rFont val="Calibri"/>
          </rPr>
          <t>línica do Leite</t>
        </r>
      </text>
    </comment>
    <comment ref="M6" authorId="0">
      <text>
        <r>
          <rPr>
            <b/>
            <sz val="10"/>
            <color indexed="81"/>
            <rFont val="Calibri"/>
          </rPr>
          <t>Augusto Lima:</t>
        </r>
        <r>
          <rPr>
            <sz val="10"/>
            <color indexed="81"/>
            <rFont val="Calibri"/>
          </rPr>
          <t xml:space="preserve">
Esta planliha </t>
        </r>
        <r>
          <rPr>
            <b/>
            <u/>
            <sz val="10"/>
            <color indexed="81"/>
            <rFont val="Calibri"/>
          </rPr>
          <t>NÃO</t>
        </r>
        <r>
          <rPr>
            <sz val="10"/>
            <color indexed="81"/>
            <rFont val="Calibri"/>
          </rPr>
          <t xml:space="preserve"> esta linkada às demais do Planner. Para preenchê-la, siga o passo a passo abaixo:
1) A partir do Agenda, gere o relatório Receitas/Despesas Caixa do ano atual
2) Oculto aqui no Planner, abra a planilha' Caixa Dinâmic'o e cole os dados do relatório obtido
3) Nesta planilha já virão preenchidas as linhas:
- Receitas operacionais para Entradas Caixa
- Despesas para Saídas Operacionais
4) Precisará preencher as Entradas não operacionais (Entrada de Financiamento), descontando os valores da linha acima
Você pode fazer as simulações para as Receitas e Despesas do próximo ano alteração o campo Variação e cadatrar a reserva do caixa que você gostaria de manter. Na linha 'Saldo Caixa Previsto' aparecerá a previsão do Caixa.</t>
        </r>
      </text>
    </comment>
  </commentList>
</comments>
</file>

<file path=xl/sharedStrings.xml><?xml version="1.0" encoding="utf-8"?>
<sst xmlns="http://schemas.openxmlformats.org/spreadsheetml/2006/main" count="1680" uniqueCount="613">
  <si>
    <t>Dados Gerais</t>
  </si>
  <si>
    <t>Leite EQ L/matriz</t>
  </si>
  <si>
    <t>Peso médio das vacas</t>
  </si>
  <si>
    <t>Número de funcionários</t>
  </si>
  <si>
    <t>Número Novilhas</t>
  </si>
  <si>
    <t xml:space="preserve">  Receitas</t>
  </si>
  <si>
    <t>R$/100 kg EQ leite</t>
  </si>
  <si>
    <t>Venda de leite</t>
  </si>
  <si>
    <t>Total</t>
  </si>
  <si>
    <t>Despesas</t>
  </si>
  <si>
    <t>Resultados (R$/ 100 Kg EQL)</t>
  </si>
  <si>
    <t>Referência</t>
  </si>
  <si>
    <t>Resultados</t>
  </si>
  <si>
    <t>BST</t>
  </si>
  <si>
    <t>Controles</t>
  </si>
  <si>
    <t>Manutenção de instalações</t>
  </si>
  <si>
    <t>Arrendamento de terra para o leite</t>
  </si>
  <si>
    <t>Patrimônio (valor atual)</t>
  </si>
  <si>
    <t>R$</t>
  </si>
  <si>
    <t>Indicadores</t>
  </si>
  <si>
    <t>Instalações</t>
  </si>
  <si>
    <t>Máquinas e equipamentos</t>
  </si>
  <si>
    <t>Resultado operacional anual</t>
  </si>
  <si>
    <t>Animais</t>
  </si>
  <si>
    <t>Resultado financeiro anual</t>
  </si>
  <si>
    <t>Terra</t>
  </si>
  <si>
    <t>Retorno sobre capital</t>
  </si>
  <si>
    <t>Capital em matrizes</t>
  </si>
  <si>
    <t>Margem operacional</t>
  </si>
  <si>
    <t xml:space="preserve">Giro (Receita Total/Patrimônio) </t>
  </si>
  <si>
    <t>Litros/funcionário/ano</t>
  </si>
  <si>
    <t>Pagos no ano</t>
  </si>
  <si>
    <t>Por pagar em 31 de dezembro</t>
  </si>
  <si>
    <t>Receita total (R$/EQL)</t>
  </si>
  <si>
    <t>Ano atual</t>
  </si>
  <si>
    <t>Item</t>
  </si>
  <si>
    <t>Valor</t>
  </si>
  <si>
    <t>Unidade</t>
  </si>
  <si>
    <t>no.</t>
  </si>
  <si>
    <t>Kg</t>
  </si>
  <si>
    <t>L</t>
  </si>
  <si>
    <t>R$/L</t>
  </si>
  <si>
    <t>-</t>
  </si>
  <si>
    <t>Valor médio das matrizes</t>
  </si>
  <si>
    <t>Volume de leite vendido no ano</t>
  </si>
  <si>
    <t xml:space="preserve">Valor médio das novilhas </t>
  </si>
  <si>
    <t xml:space="preserve">Valor médio do hectare </t>
  </si>
  <si>
    <t>Produção de silagem</t>
  </si>
  <si>
    <t xml:space="preserve">Ref. </t>
  </si>
  <si>
    <t>Ref.</t>
  </si>
  <si>
    <t>&gt; 30%</t>
  </si>
  <si>
    <t>Real</t>
  </si>
  <si>
    <t>&gt; 0,5</t>
  </si>
  <si>
    <t>Receita Total (R$/EQL)</t>
  </si>
  <si>
    <t>Margem Operacional</t>
  </si>
  <si>
    <t>Alimentação (R$/EQL)</t>
  </si>
  <si>
    <t>Custo Total (R$/EQL)</t>
  </si>
  <si>
    <t>Salários (R$/EQL)</t>
  </si>
  <si>
    <t>Outros custos (R$/EQL)</t>
  </si>
  <si>
    <t>Mastite</t>
  </si>
  <si>
    <t>Sanidade</t>
  </si>
  <si>
    <t>Transição</t>
  </si>
  <si>
    <t>G/P &gt; 1,4</t>
  </si>
  <si>
    <t>Parto ajudado</t>
  </si>
  <si>
    <t>CCS (milc./ml)</t>
  </si>
  <si>
    <t>Prevalência (%)</t>
  </si>
  <si>
    <t>Laminite (%)</t>
  </si>
  <si>
    <t>Cetose (G&gt;4,8)</t>
  </si>
  <si>
    <t>Descarte (%)</t>
  </si>
  <si>
    <t>1a. Cria</t>
  </si>
  <si>
    <t>Clinica (%)</t>
  </si>
  <si>
    <t>Aborto (%)</t>
  </si>
  <si>
    <t>Taxa cura (%)</t>
  </si>
  <si>
    <t>PL (kg/dia/vaca)</t>
  </si>
  <si>
    <t>Aborto</t>
  </si>
  <si>
    <t>Demais</t>
  </si>
  <si>
    <t>Criação</t>
  </si>
  <si>
    <t>Nutrição</t>
  </si>
  <si>
    <t>Reprodução</t>
  </si>
  <si>
    <t>Legenda</t>
  </si>
  <si>
    <t>Limites</t>
  </si>
  <si>
    <t>Melhor</t>
  </si>
  <si>
    <t>+</t>
  </si>
  <si>
    <t>&gt; +</t>
  </si>
  <si>
    <t>FINANCEIRO</t>
  </si>
  <si>
    <t>&gt; - e &lt; +</t>
  </si>
  <si>
    <t>Retorno sobre o capital (%)</t>
  </si>
  <si>
    <t>&lt; -</t>
  </si>
  <si>
    <t>Margem líquida (%)</t>
  </si>
  <si>
    <t>Giro do capital (ud)</t>
  </si>
  <si>
    <t>CLIENTES</t>
  </si>
  <si>
    <t xml:space="preserve">Gordura </t>
  </si>
  <si>
    <t xml:space="preserve">Proteína </t>
  </si>
  <si>
    <t>+/-</t>
  </si>
  <si>
    <t>CCS (mil céls/mL)</t>
  </si>
  <si>
    <t>&gt; 2 e &lt; +</t>
  </si>
  <si>
    <t>CBT (mil ufc/mL)</t>
  </si>
  <si>
    <t>&gt; 1 e &lt; 2</t>
  </si>
  <si>
    <t>&gt; - e &lt; 1</t>
  </si>
  <si>
    <t>PRODUÇÃO</t>
  </si>
  <si>
    <t>Média (kg/VL)</t>
  </si>
  <si>
    <t>Média 150 DEL (Kg/VL)</t>
  </si>
  <si>
    <t>1a. lactação</t>
  </si>
  <si>
    <t>10 - 40 DEL</t>
  </si>
  <si>
    <t>60 - 90 DEL</t>
  </si>
  <si>
    <t>240 - 270 DEL</t>
  </si>
  <si>
    <t>Demais lactações</t>
  </si>
  <si>
    <t>TRANSIÇÃO</t>
  </si>
  <si>
    <t>Gord/Prot &gt; 1,4</t>
  </si>
  <si>
    <t>1a. Lactação</t>
  </si>
  <si>
    <t>Retenção placenta (&gt;18h)</t>
  </si>
  <si>
    <t>NUTRIÇÃO</t>
  </si>
  <si>
    <t>Condição corporal</t>
  </si>
  <si>
    <t>Secagem</t>
  </si>
  <si>
    <t>Parto (1 a 2 dias)</t>
  </si>
  <si>
    <t>1a. cobertura</t>
  </si>
  <si>
    <t>Gordura (%)</t>
  </si>
  <si>
    <t>Proteína (%)</t>
  </si>
  <si>
    <t>Uréia (mg/100mL)</t>
  </si>
  <si>
    <t>Acidose (G/P&lt;1)</t>
  </si>
  <si>
    <t>REPRODUÇÃO</t>
  </si>
  <si>
    <t>Dias em lactação</t>
  </si>
  <si>
    <t>Matrizes vazias &gt; 125 DPP</t>
  </si>
  <si>
    <t xml:space="preserve">Taxa de prenhez </t>
  </si>
  <si>
    <t xml:space="preserve">Taxa de observação de cios </t>
  </si>
  <si>
    <t xml:space="preserve">Taxa de concepção </t>
  </si>
  <si>
    <t>DPP até 1a. cobertura</t>
  </si>
  <si>
    <t>Outras</t>
  </si>
  <si>
    <t>SANIDADE</t>
  </si>
  <si>
    <t xml:space="preserve">Laminite </t>
  </si>
  <si>
    <t xml:space="preserve">Aborto </t>
  </si>
  <si>
    <t>Descarte</t>
  </si>
  <si>
    <t>MASTITE</t>
  </si>
  <si>
    <t>Média aritmética CCS</t>
  </si>
  <si>
    <t>Prevalência (%&gt;200mil)</t>
  </si>
  <si>
    <t xml:space="preserve">Novas Infecções </t>
  </si>
  <si>
    <t xml:space="preserve">Curadas </t>
  </si>
  <si>
    <t>Clínicas (%)</t>
  </si>
  <si>
    <t>CRIAÇÃO</t>
  </si>
  <si>
    <t>Idade ao 1o. parto</t>
  </si>
  <si>
    <t>Peso 18 - 24 meses</t>
  </si>
  <si>
    <t>&gt; 16 m não cobertas</t>
  </si>
  <si>
    <t>&gt; 19 m não prenhas</t>
  </si>
  <si>
    <t>Giro do capital (anos)</t>
  </si>
  <si>
    <t>Parto ajudado (%)</t>
  </si>
  <si>
    <t>Concepção (%)</t>
  </si>
  <si>
    <t>Obs.cio (%)</t>
  </si>
  <si>
    <t>Tx prenhez (%)</t>
  </si>
  <si>
    <t>DEL (dias)</t>
  </si>
  <si>
    <t>DPP até 1a. Cob (dias)</t>
  </si>
  <si>
    <t>Vazias &gt; 125 DEL  (%)</t>
  </si>
  <si>
    <t>Id. 1o. Parto (mês)</t>
  </si>
  <si>
    <t>Peso 18 - 24 (Kg)</t>
  </si>
  <si>
    <t>CC 1a. cob. (no.)</t>
  </si>
  <si>
    <t>Uréia  (mg/100mL)</t>
  </si>
  <si>
    <t>CC Parto (no.)</t>
  </si>
  <si>
    <t>CC secagem (no.)</t>
  </si>
  <si>
    <t>Acidose (%)</t>
  </si>
  <si>
    <t>PL 150 DEL (Kg/dia)</t>
  </si>
  <si>
    <t xml:space="preserve"> 10 - 40 (Kg/dia)</t>
  </si>
  <si>
    <t xml:space="preserve"> 60 - 90 (Kg/dia)</t>
  </si>
  <si>
    <t xml:space="preserve"> 241 - 270 (Kg/dia)</t>
  </si>
  <si>
    <t>Rotatividade (%)</t>
  </si>
  <si>
    <t>&lt; 20%</t>
  </si>
  <si>
    <t>&gt; 80%</t>
  </si>
  <si>
    <t>Valor do litro de leite R$</t>
  </si>
  <si>
    <t>Impacto de problemas na transição</t>
  </si>
  <si>
    <t>Perdas</t>
  </si>
  <si>
    <t>Pico previsto</t>
  </si>
  <si>
    <t>Pico real</t>
  </si>
  <si>
    <t>Diferença</t>
  </si>
  <si>
    <t>Aumento de prod.</t>
  </si>
  <si>
    <t>Perda kg</t>
  </si>
  <si>
    <t>Total em $</t>
  </si>
  <si>
    <t>%</t>
  </si>
  <si>
    <t>Resultado operacional</t>
  </si>
  <si>
    <t>Prod. Média Annual (kg/d)</t>
  </si>
  <si>
    <t>Prod. Corrigida para 150 DEL</t>
  </si>
  <si>
    <t>Prod. Corrigida para 170 DEL</t>
  </si>
  <si>
    <t>Perda</t>
  </si>
  <si>
    <t xml:space="preserve">Impacto da mastite </t>
  </si>
  <si>
    <t>Referência do rebanho para mastite</t>
  </si>
  <si>
    <t>Descrição do rebanho</t>
  </si>
  <si>
    <t>Característica da mastite clínica</t>
  </si>
  <si>
    <t>Sem febre</t>
  </si>
  <si>
    <t>Com febre</t>
  </si>
  <si>
    <t>Caracterização das perdas devido à mastite subclínica</t>
  </si>
  <si>
    <t>Caracterização dos custos de descarte e mortes devido à mastite</t>
  </si>
  <si>
    <t>Contagem de Células Somáticas</t>
  </si>
  <si>
    <t>Casos Clinicos por mês</t>
  </si>
  <si>
    <t>Mortes devido à mastite no ano</t>
  </si>
  <si>
    <t>Descartes por mastite no ano</t>
  </si>
  <si>
    <t>Contagem de Célula Somatica</t>
  </si>
  <si>
    <t>Número de casos clínicos por mes</t>
  </si>
  <si>
    <t>Número de mortes devido à mastite no ano</t>
  </si>
  <si>
    <t>Descartes anuais devido à mastite</t>
  </si>
  <si>
    <t xml:space="preserve">Diferença do preço do leite entre atual CCS e melhor </t>
  </si>
  <si>
    <t>Custo de mão de obra por hora</t>
  </si>
  <si>
    <t>Valor de novilha</t>
  </si>
  <si>
    <t>Valor de animal descartado para açougue</t>
  </si>
  <si>
    <t>Custo de dispor de vaca morta</t>
  </si>
  <si>
    <t>Dias para repor animal descartado</t>
  </si>
  <si>
    <t>Custo de animal na maternidade (60 dias)</t>
  </si>
  <si>
    <t>Proporção dos casos clínicos</t>
  </si>
  <si>
    <t>Custo de medicamentos para tratar um caso</t>
  </si>
  <si>
    <t>Dias de tratamento</t>
  </si>
  <si>
    <t>Dias de descarte após último tratamento</t>
  </si>
  <si>
    <t>Produção média de leite na fase aguda</t>
  </si>
  <si>
    <t>Dias até o retorno à produção normal</t>
  </si>
  <si>
    <t>Valor do leite descartado</t>
  </si>
  <si>
    <t>Kg de leite descartado devido a ATB</t>
  </si>
  <si>
    <t>Kg de leite perdido até retorno à produção normal</t>
  </si>
  <si>
    <t>Produção total perdida durante a fase clínica</t>
  </si>
  <si>
    <t>Porcentagem da produção em 305 dias</t>
  </si>
  <si>
    <t xml:space="preserve">Valor do leite perdido </t>
  </si>
  <si>
    <t>Horas de trabalho em tratamento, separação, ordenha, etc.</t>
  </si>
  <si>
    <t>Custo da mão de obra</t>
  </si>
  <si>
    <t>Outros custos (veterinário, cultura, etc.)</t>
  </si>
  <si>
    <t>Custos diretos por caso clínico</t>
  </si>
  <si>
    <t>Custo de um caso médio de mastite clínica</t>
  </si>
  <si>
    <t>Mortes devido à mastite</t>
  </si>
  <si>
    <t>Descartes devido à mastite</t>
  </si>
  <si>
    <t>Animais em ordenha</t>
  </si>
  <si>
    <t>Matrizes (lactação e secas)</t>
  </si>
  <si>
    <t>Produção por vaca dia</t>
  </si>
  <si>
    <t>Casos clínicos por mes (%)</t>
  </si>
  <si>
    <t>Casos clínicos além da meta</t>
  </si>
  <si>
    <t>Mortes anuais devido à mastite</t>
  </si>
  <si>
    <t>Valor do litro de leite (com CCS atual)</t>
  </si>
  <si>
    <t>Valor médio de matriz no rebanho</t>
  </si>
  <si>
    <t>Custo para repor animal descartado</t>
  </si>
  <si>
    <t>Leite perdido por novilhas por dia além da meta</t>
  </si>
  <si>
    <t>Leite perdido por vacas por dia além da meta</t>
  </si>
  <si>
    <t>Leite perdido por dia além da meta de CCS</t>
  </si>
  <si>
    <t>Custo de descarte no ano devido à mastite além da meta</t>
  </si>
  <si>
    <t>Vacas descartadas além da meta</t>
  </si>
  <si>
    <t>Custo do excesso de descartes</t>
  </si>
  <si>
    <t>Custo de mortes no ano devido à mastite além da meta</t>
  </si>
  <si>
    <t>Vacas mortas além da meta</t>
  </si>
  <si>
    <t>Custo do excesso de mortes</t>
  </si>
  <si>
    <t>R$/cabeça</t>
  </si>
  <si>
    <t>R$/h</t>
  </si>
  <si>
    <t>R$/n</t>
  </si>
  <si>
    <t>dias</t>
  </si>
  <si>
    <t xml:space="preserve"> milc./ml</t>
  </si>
  <si>
    <t>kg/dia/vaca</t>
  </si>
  <si>
    <t>kg/vaca</t>
  </si>
  <si>
    <t>h/tratamento</t>
  </si>
  <si>
    <t>Média</t>
  </si>
  <si>
    <t>Estimativa da prevalência e perdas em função da CCS (Coldebela, 2003)</t>
  </si>
  <si>
    <t>meta CCS</t>
  </si>
  <si>
    <t>CCS real</t>
  </si>
  <si>
    <t>Vacas de segunda ou mais crias</t>
  </si>
  <si>
    <t>perda</t>
  </si>
  <si>
    <t>diferença</t>
  </si>
  <si>
    <t>meta</t>
  </si>
  <si>
    <t>real</t>
  </si>
  <si>
    <t>LnCCS</t>
  </si>
  <si>
    <t>slope</t>
  </si>
  <si>
    <t>Novilhas</t>
  </si>
  <si>
    <t>Perdas devido a penalização em qualidade do leite</t>
  </si>
  <si>
    <t>Perdas devido ao excesso de descarte e mortes devido à mastite</t>
  </si>
  <si>
    <t>Perdas devido ao excesso de mastite clínica</t>
  </si>
  <si>
    <t>Perdas totais anuais devido à mastite acima da meta</t>
  </si>
  <si>
    <t>Perdas por vaca ano devido à mastite</t>
  </si>
  <si>
    <t>Perdas devido a Mastite</t>
  </si>
  <si>
    <t xml:space="preserve">Entradas </t>
  </si>
  <si>
    <t xml:space="preserve">*Adaptado pela Clínica do Leite de John Fetrow VMD, MBA University of Minnesota </t>
  </si>
  <si>
    <t>Saídas</t>
  </si>
  <si>
    <t>RS</t>
  </si>
  <si>
    <t>Vacas em Lactação</t>
  </si>
  <si>
    <t>Custo de alimentos</t>
  </si>
  <si>
    <t>R$/VL/L</t>
  </si>
  <si>
    <t>Perda por Mastite</t>
  </si>
  <si>
    <t>Preço leite</t>
  </si>
  <si>
    <t>1o. Trimestre</t>
  </si>
  <si>
    <t>2o. Trimestre</t>
  </si>
  <si>
    <t>3o. Trimestre</t>
  </si>
  <si>
    <t>4o. Trimestre</t>
  </si>
  <si>
    <t>LEITE (litro)</t>
  </si>
  <si>
    <t>R$/l</t>
  </si>
  <si>
    <t>R$/kg</t>
  </si>
  <si>
    <t>VENDA VACAS DESCARTE</t>
  </si>
  <si>
    <t>R$/cab</t>
  </si>
  <si>
    <t>COMPRA/VENDA ANIMAIS MATRIZES</t>
  </si>
  <si>
    <t>COMPRA/VENDA NOVILHAS 12 MESES</t>
  </si>
  <si>
    <t>VALOR MÉDIO DO REBANHO</t>
  </si>
  <si>
    <t>Investimento</t>
  </si>
  <si>
    <t>Recursos de Terceiros (1)</t>
  </si>
  <si>
    <t>Recursos Próprios (2)</t>
  </si>
  <si>
    <t>Juros Terceiros (1)</t>
  </si>
  <si>
    <t>Juros Próprios (2)</t>
  </si>
  <si>
    <t>Juros Compostos</t>
  </si>
  <si>
    <t>Total Investimentos</t>
  </si>
  <si>
    <t>Input de preços</t>
  </si>
  <si>
    <t>Valores</t>
  </si>
  <si>
    <t xml:space="preserve">Média </t>
  </si>
  <si>
    <t>Investimentos</t>
  </si>
  <si>
    <t>Jan</t>
  </si>
  <si>
    <t>Fev</t>
  </si>
  <si>
    <t>Mar</t>
  </si>
  <si>
    <t>Abr</t>
  </si>
  <si>
    <t>Mai</t>
  </si>
  <si>
    <t>Jun</t>
  </si>
  <si>
    <t>Jul</t>
  </si>
  <si>
    <t>Ago</t>
  </si>
  <si>
    <t>Set</t>
  </si>
  <si>
    <t>Out</t>
  </si>
  <si>
    <t>Nov</t>
  </si>
  <si>
    <t>Dez</t>
  </si>
  <si>
    <t>Dias em aberto:</t>
  </si>
  <si>
    <t>Intervalo entre partos (meses):</t>
  </si>
  <si>
    <t>Matrizes (após descarte)</t>
  </si>
  <si>
    <t>Vacas 1a lact. entrando no rebanho</t>
  </si>
  <si>
    <t xml:space="preserve">Total de matrizes </t>
  </si>
  <si>
    <t>Novilhas para vender (tamanho rebanho desejado)</t>
  </si>
  <si>
    <t xml:space="preserve">Vacas em lactação </t>
  </si>
  <si>
    <t>Vacas descartadas</t>
  </si>
  <si>
    <t>Total de novilhas</t>
  </si>
  <si>
    <t>Total de Animais</t>
  </si>
  <si>
    <t>L/VL/dia</t>
  </si>
  <si>
    <t>V.LACT.</t>
  </si>
  <si>
    <t>VACAS SECAS</t>
  </si>
  <si>
    <t>NOVILHAS</t>
  </si>
  <si>
    <t>DIA</t>
  </si>
  <si>
    <t>MES</t>
  </si>
  <si>
    <t>ANO</t>
  </si>
  <si>
    <t xml:space="preserve"> (kg)</t>
  </si>
  <si>
    <t>INGREDIENTES</t>
  </si>
  <si>
    <t>VL (%MO)</t>
  </si>
  <si>
    <t>VS &gt; 30 (kgMO)</t>
  </si>
  <si>
    <t>VS &lt; 30 (kgMO)</t>
  </si>
  <si>
    <t>0 - 3 (kgMO)</t>
  </si>
  <si>
    <t xml:space="preserve"> 4 - 7 (kgMO)</t>
  </si>
  <si>
    <t>8 A 15 (kgMO)</t>
  </si>
  <si>
    <t>&gt; 16 (kgMO)</t>
  </si>
  <si>
    <t xml:space="preserve"> (KG)</t>
  </si>
  <si>
    <t xml:space="preserve"> (T)</t>
  </si>
  <si>
    <t xml:space="preserve"> (R$)</t>
  </si>
  <si>
    <t>CONSUMO MAT. ORIGINAL</t>
  </si>
  <si>
    <t>PORCENTAGEM DE MS DA DIETA</t>
  </si>
  <si>
    <t>SOMATÓRIA % M.ORIG.</t>
  </si>
  <si>
    <t>CUSTO/ANIM.</t>
  </si>
  <si>
    <t>Nro.ANIMAIS</t>
  </si>
  <si>
    <t>% de novilhas no rebanho (&lt;42%)</t>
  </si>
  <si>
    <t>CALIM VL</t>
  </si>
  <si>
    <t>CALIM REB</t>
  </si>
  <si>
    <t>RMCA/VACA</t>
  </si>
  <si>
    <t>% Receita</t>
  </si>
  <si>
    <t>Quantidade</t>
  </si>
  <si>
    <t>M.O.</t>
  </si>
  <si>
    <t>(Kg/VL)</t>
  </si>
  <si>
    <t>Saidas</t>
  </si>
  <si>
    <t xml:space="preserve">Unidade </t>
  </si>
  <si>
    <t>Kg/dia</t>
  </si>
  <si>
    <t>R$/dia</t>
  </si>
  <si>
    <t>R$/vaca</t>
  </si>
  <si>
    <t>R$/Kg</t>
  </si>
  <si>
    <t>DEMONSTRATIVO DE RESULTADO ANUAL</t>
  </si>
  <si>
    <t>EQ.Leite (L)</t>
  </si>
  <si>
    <t xml:space="preserve">CUSTO DE PRODUÇÃO </t>
  </si>
  <si>
    <t>Meta</t>
  </si>
  <si>
    <t>Indexado</t>
  </si>
  <si>
    <t xml:space="preserve">R$/100EQL </t>
  </si>
  <si>
    <t>% RECEITA</t>
  </si>
  <si>
    <t>RECEITA TOTAL - CUSTO DE PRODUÇÃO</t>
  </si>
  <si>
    <t>CUSTO DE PRODUÇÃO LEITE (L) + CRIAÇÃO</t>
  </si>
  <si>
    <t>Receita diária</t>
  </si>
  <si>
    <t xml:space="preserve">Produção diária </t>
  </si>
  <si>
    <t>RMCA/dia</t>
  </si>
  <si>
    <t>Alimentação Vacas em lactação (100kg)</t>
  </si>
  <si>
    <t>Custo marginal</t>
  </si>
  <si>
    <t>Preço Leite</t>
  </si>
  <si>
    <t>Produção</t>
  </si>
  <si>
    <t>Gastos Mensais</t>
  </si>
  <si>
    <t>Numero de Novilhas</t>
  </si>
  <si>
    <t>Gasto com novilhas</t>
  </si>
  <si>
    <t>Alimimentação novilhas</t>
  </si>
  <si>
    <t>Gasto mensal</t>
  </si>
  <si>
    <t>Meta de receita</t>
  </si>
  <si>
    <t>Meta de gastos</t>
  </si>
  <si>
    <t>Janeiro</t>
  </si>
  <si>
    <t>Fevereiro</t>
  </si>
  <si>
    <t>Março</t>
  </si>
  <si>
    <t>Abril</t>
  </si>
  <si>
    <t>Maio</t>
  </si>
  <si>
    <t>Junho</t>
  </si>
  <si>
    <t>Julho</t>
  </si>
  <si>
    <t>Agosto</t>
  </si>
  <si>
    <t>Setembro</t>
  </si>
  <si>
    <t>Outubro</t>
  </si>
  <si>
    <t>Novembro</t>
  </si>
  <si>
    <t>Dezembro</t>
  </si>
  <si>
    <t>L/mês</t>
  </si>
  <si>
    <t>Receitas</t>
  </si>
  <si>
    <t>Despesas Operacionais</t>
  </si>
  <si>
    <t>Lucro Operacional</t>
  </si>
  <si>
    <t>Ano</t>
  </si>
  <si>
    <t>Investimento a realizar:</t>
  </si>
  <si>
    <t>Recursos de Terceiros</t>
  </si>
  <si>
    <t>Recursos Próprios</t>
  </si>
  <si>
    <t>Amortização Principal</t>
  </si>
  <si>
    <t>Juros</t>
  </si>
  <si>
    <t>Prestação</t>
  </si>
  <si>
    <t>Saldo Devedor</t>
  </si>
  <si>
    <t>Patrimônio</t>
  </si>
  <si>
    <t>Lucro Líquido sem Depreciação</t>
  </si>
  <si>
    <t>Margem</t>
  </si>
  <si>
    <t>Giro do Capital</t>
  </si>
  <si>
    <t>Retorno sobre o Capital</t>
  </si>
  <si>
    <t>Reais Acumulados no Ano</t>
  </si>
  <si>
    <t>Resultado Financeiro em 31 de dezembro</t>
  </si>
  <si>
    <t>Itens</t>
  </si>
  <si>
    <t>Valor Econômico Acumulado (EVA)</t>
  </si>
  <si>
    <t>Valor Econômico Acumulado  desc. (EVA - 10% a.a.)</t>
  </si>
  <si>
    <t>Metas</t>
  </si>
  <si>
    <t>Resultado Anual</t>
  </si>
  <si>
    <t>Orçado</t>
  </si>
  <si>
    <t>Realizado</t>
  </si>
  <si>
    <t>kg</t>
  </si>
  <si>
    <t>Vacas de primeira cria em lactação</t>
  </si>
  <si>
    <t>Vacas de segunda cria ou mais em lactação</t>
  </si>
  <si>
    <t>Vacas secas</t>
  </si>
  <si>
    <t xml:space="preserve">Atual </t>
  </si>
  <si>
    <t>Meta de Contagem de Células Somáticas</t>
  </si>
  <si>
    <t>Meta de Casos Clinicos por mês</t>
  </si>
  <si>
    <t>Meta de Mortes devido à mastite no ano</t>
  </si>
  <si>
    <t>Meta de Descartes por mastite no ano</t>
  </si>
  <si>
    <t>№</t>
  </si>
  <si>
    <t>meses</t>
  </si>
  <si>
    <t>1ª lactação</t>
  </si>
  <si>
    <t>2ª ou mais</t>
  </si>
  <si>
    <t>R$/ha</t>
  </si>
  <si>
    <t>t/ha</t>
  </si>
  <si>
    <t>ha</t>
  </si>
  <si>
    <t>R$/caso</t>
  </si>
  <si>
    <t>céls./mL x 1000</t>
  </si>
  <si>
    <t>Manutenção de maquinário</t>
  </si>
  <si>
    <t>Energia elétrica e combustível</t>
  </si>
  <si>
    <t>Material de consumo</t>
  </si>
  <si>
    <t>Alimentação</t>
  </si>
  <si>
    <t>Mão de obra</t>
  </si>
  <si>
    <t>Outras despesas</t>
  </si>
  <si>
    <t>Impostos de produção</t>
  </si>
  <si>
    <t>Outras receitas</t>
  </si>
  <si>
    <t>Venda de animais</t>
  </si>
  <si>
    <t>Tempo de serviço (% &gt; 2 anos)</t>
  </si>
  <si>
    <t>R$/VL+BEZ/mês</t>
  </si>
  <si>
    <t>R$/VL/mês</t>
  </si>
  <si>
    <t>R$/mês</t>
  </si>
  <si>
    <t>Preço bruto do leite  recebido</t>
  </si>
  <si>
    <t>№ de serviços/concepção:</t>
  </si>
  <si>
    <t>Vacas de 1ª lactação</t>
  </si>
  <si>
    <t>Vacas de 2ª ou mais lactações</t>
  </si>
  <si>
    <t>Leite VENDIDO</t>
  </si>
  <si>
    <t>Leite PRODUZIDO estimado</t>
  </si>
  <si>
    <t>Volume de leite diário vendido</t>
  </si>
  <si>
    <t>Compras vacas de 1ª lactação</t>
  </si>
  <si>
    <t>Compras vacas 2ª ou mais lactações</t>
  </si>
  <si>
    <t>Venda voluntária de novilhas</t>
  </si>
  <si>
    <t>Taxa de descarte</t>
  </si>
  <si>
    <t>Infertilidade de novilhas</t>
  </si>
  <si>
    <t>Nascimento de fêmeas</t>
  </si>
  <si>
    <t>Tamanho do rebanho desejado (matrizes)</t>
  </si>
  <si>
    <t>Taxa de observação de cios</t>
  </si>
  <si>
    <t>Taxa de concepção</t>
  </si>
  <si>
    <t>Taxa de prenhez</t>
  </si>
  <si>
    <r>
      <t>DPP até 1</t>
    </r>
    <r>
      <rPr>
        <sz val="10"/>
        <color theme="1"/>
        <rFont val="Calibri"/>
        <family val="2"/>
      </rPr>
      <t>ª</t>
    </r>
    <r>
      <rPr>
        <sz val="10"/>
        <color theme="1"/>
        <rFont val="Calibri"/>
        <family val="2"/>
        <scheme val="minor"/>
      </rPr>
      <t xml:space="preserve"> cobertura</t>
    </r>
  </si>
  <si>
    <t>Porcentagem de vacas em lactação</t>
  </si>
  <si>
    <r>
      <t>Idade ao 1</t>
    </r>
    <r>
      <rPr>
        <sz val="10"/>
        <color theme="1"/>
        <rFont val="Calibri"/>
        <family val="2"/>
      </rPr>
      <t>º p</t>
    </r>
    <r>
      <rPr>
        <sz val="10"/>
        <color theme="1"/>
        <rFont val="Calibri"/>
        <family val="2"/>
        <scheme val="minor"/>
      </rPr>
      <t>arto</t>
    </r>
  </si>
  <si>
    <t>Vacas em lactação</t>
  </si>
  <si>
    <t>Leite vendido</t>
  </si>
  <si>
    <t>Preço bruto do leite</t>
  </si>
  <si>
    <t>Soma</t>
  </si>
  <si>
    <t>Variação patrimonial</t>
  </si>
  <si>
    <t>EQL</t>
  </si>
  <si>
    <t xml:space="preserve">    Amortizações de financiamentos </t>
  </si>
  <si>
    <t>R$/100EQL/mês</t>
  </si>
  <si>
    <t xml:space="preserve"> % Receita</t>
  </si>
  <si>
    <t>R$/VL+Bez/mês</t>
  </si>
  <si>
    <t>Amortizações</t>
  </si>
  <si>
    <t>Outras receitas não operacionais</t>
  </si>
  <si>
    <t>Resultado Financeiro</t>
  </si>
  <si>
    <t>Custo Operacional</t>
  </si>
  <si>
    <t>Resultado Operacional</t>
  </si>
  <si>
    <t>mg/100mL</t>
  </si>
  <si>
    <t>Retenção de Placenta &gt; 18h</t>
  </si>
  <si>
    <t>Relação G/P &gt; 1,4</t>
  </si>
  <si>
    <t>Pico de referência</t>
  </si>
  <si>
    <t>Compra de novilhas 4-15meses</t>
  </si>
  <si>
    <t>Compra de novilhas &gt; 15 meses</t>
  </si>
  <si>
    <t>Nov. &gt; 16 cob (%)</t>
  </si>
  <si>
    <t>Nov. &gt; 19 P+ (%)</t>
  </si>
  <si>
    <t>1ª Lac. DEL 10 - 40 (Kg/dia)</t>
  </si>
  <si>
    <t>Demais Lac.  DEL 10 - 40 (Kg/dia)</t>
  </si>
  <si>
    <t>Demais Lac. DEL 241 - 270 (Kg/dia)</t>
  </si>
  <si>
    <t>1ª Lac. DEL 241 - 270 (Kg/dia)</t>
  </si>
  <si>
    <t>DEL Real</t>
  </si>
  <si>
    <t xml:space="preserve"> 11 - 40 (Kg/dia)</t>
  </si>
  <si>
    <t xml:space="preserve"> 61 - 90 (Kg/dia)</t>
  </si>
  <si>
    <t xml:space="preserve"> 242 - 270 (Kg/dia)</t>
  </si>
  <si>
    <t>DEL Referência</t>
  </si>
  <si>
    <t xml:space="preserve">   Vacas descartadas</t>
  </si>
  <si>
    <t>№/mês</t>
  </si>
  <si>
    <t>Novas Infecções (%)</t>
  </si>
  <si>
    <t>Custo de Produção (R$/EQL)</t>
  </si>
  <si>
    <t>Valor de matriz</t>
  </si>
  <si>
    <t>dia</t>
  </si>
  <si>
    <t>mês</t>
  </si>
  <si>
    <t>ano</t>
  </si>
  <si>
    <t>hoje</t>
  </si>
  <si>
    <t>v.051214_1</t>
  </si>
  <si>
    <t>Número de vacas em lactação</t>
  </si>
  <si>
    <t>Rentabilidade</t>
  </si>
  <si>
    <t>&gt; 15%</t>
  </si>
  <si>
    <t>&gt; 7.5%</t>
  </si>
  <si>
    <t>Capital total (R$/EQL)</t>
  </si>
  <si>
    <t>Total de matrizes (no final do mês/ano)</t>
  </si>
  <si>
    <t>Novilhas &lt; 15 meses</t>
  </si>
  <si>
    <t>Oportunidades</t>
  </si>
  <si>
    <t>Ameaças</t>
  </si>
  <si>
    <t>Forças</t>
  </si>
  <si>
    <t>Fraquezas</t>
  </si>
  <si>
    <t>Ambiente Externo</t>
  </si>
  <si>
    <t>Ambiente Interno</t>
  </si>
  <si>
    <t>Engajamento *</t>
  </si>
  <si>
    <t>* Soma de respostas do questionário (concordo + concordo em partes)</t>
  </si>
  <si>
    <t>Mortalidade de bezerros + Natimorto</t>
  </si>
  <si>
    <t>Depreciação</t>
  </si>
  <si>
    <t>Perdas devido as perdas de produção em função da mastite subclínica</t>
  </si>
  <si>
    <t>R$/ano</t>
  </si>
  <si>
    <t>Volume Diário</t>
  </si>
  <si>
    <t>Matrizes</t>
  </si>
  <si>
    <t>Evolução do Rebanho</t>
  </si>
  <si>
    <t>Produção por vaca</t>
  </si>
  <si>
    <t>Lucro op. Mensal</t>
  </si>
  <si>
    <t>&lt; 2,5</t>
  </si>
  <si>
    <t xml:space="preserve">Impacto da Reprodução </t>
  </si>
  <si>
    <t>Descarte leite (mastite, outros)</t>
  </si>
  <si>
    <t>Taxa de aborto matrizes</t>
  </si>
  <si>
    <t>L/dia</t>
  </si>
  <si>
    <t>Venda de tourinhos</t>
  </si>
  <si>
    <t>Receita  (venda leite)</t>
  </si>
  <si>
    <t>Receita bruta</t>
  </si>
  <si>
    <t>RECEITA BRUTA ATIVIDADE (Leite, animais e outras)</t>
  </si>
  <si>
    <t>Versão</t>
  </si>
  <si>
    <t>Responsável pela atualização</t>
  </si>
  <si>
    <t>Principais alterações</t>
  </si>
  <si>
    <t>Augusto</t>
  </si>
  <si>
    <t>Área da propriedade:</t>
  </si>
  <si>
    <t>Sistema de Produção:</t>
  </si>
  <si>
    <t>Região:</t>
  </si>
  <si>
    <t>Ano atual:</t>
  </si>
  <si>
    <t>Conforto</t>
  </si>
  <si>
    <t>Dados do Rebanho</t>
  </si>
  <si>
    <t>Pico de produção (60 – 90 Dias em Lactação)</t>
  </si>
  <si>
    <t>Metas de Mastite para o Rebanho</t>
  </si>
  <si>
    <t>Situação atual da Mastite</t>
  </si>
  <si>
    <t>Informações do Caixa</t>
  </si>
  <si>
    <t>Entradas Caixa</t>
  </si>
  <si>
    <t>Saídas operacionais</t>
  </si>
  <si>
    <t>Saídas Investimentos</t>
  </si>
  <si>
    <t>Previsão Caixa Próximo Ano</t>
  </si>
  <si>
    <t>Variação das despesas operacionais</t>
  </si>
  <si>
    <t>Variação das receitas</t>
  </si>
  <si>
    <t>Investimentos já comprometidos</t>
  </si>
  <si>
    <t>Saldo Caixa previsto</t>
  </si>
  <si>
    <t>Entradas (não operacionais)</t>
  </si>
  <si>
    <t>Entradas Caixa (operacionais)</t>
  </si>
  <si>
    <t>Total de Investimentos</t>
  </si>
  <si>
    <t>ATENÇÃO</t>
  </si>
  <si>
    <t>Entradas não operacioaais</t>
  </si>
  <si>
    <t>O caixa da fazenda entra no vermelho</t>
  </si>
  <si>
    <t>Reserva de Caixa</t>
  </si>
  <si>
    <t>A fazenda esta entrando na reserva de caixa</t>
  </si>
  <si>
    <t>Saldo após novos investimentos menos a reserva</t>
  </si>
  <si>
    <t>Saldo Caixa Ano atual</t>
  </si>
  <si>
    <t>Saldo Caixa em 31/12 do ano anterior</t>
  </si>
  <si>
    <t>Novos investimentos - Projetos a Executar</t>
  </si>
  <si>
    <t>Nome do Projeto</t>
  </si>
  <si>
    <t>Importância</t>
  </si>
  <si>
    <t>Autonomia</t>
  </si>
  <si>
    <t>Complexidade</t>
  </si>
  <si>
    <t>Resultado</t>
  </si>
  <si>
    <t>Baixa</t>
  </si>
  <si>
    <t>Alta</t>
  </si>
  <si>
    <t>Depende de outros recursos ou pessoas</t>
  </si>
  <si>
    <t xml:space="preserve">Possuo autonomia em grande parte </t>
  </si>
  <si>
    <t>Possuo total autonomia</t>
  </si>
  <si>
    <t>Nota</t>
  </si>
  <si>
    <t>Posição caixa em 31/12 ano anterior</t>
  </si>
  <si>
    <t>Ajustes para MDA 2o semestre 2015: Criamos o relatório de Simulação do Caixa, Projetos e (re)visitar a Visão e atualizei a planilha Home para ficar no mesmo formato que o MDA, planejamento estratégico.</t>
  </si>
  <si>
    <t>Instruções</t>
  </si>
  <si>
    <t>Receitas Caixa</t>
  </si>
  <si>
    <t>Depesas Operacionais</t>
  </si>
  <si>
    <t>Saldo Caixa Ano mensal</t>
  </si>
  <si>
    <t>Saídas programadas</t>
  </si>
  <si>
    <t>Nome da propriedade:</t>
  </si>
  <si>
    <t>Média vendido por mês</t>
  </si>
  <si>
    <t>Tx obs cio</t>
  </si>
  <si>
    <t>Tx concep</t>
  </si>
  <si>
    <t>DPP médio</t>
  </si>
  <si>
    <t>margem</t>
  </si>
  <si>
    <t>$ leite</t>
  </si>
  <si>
    <t>Novilhas 3 a 15 meses</t>
  </si>
  <si>
    <t>Novilhas maior 15 meses</t>
  </si>
  <si>
    <t>Número de bezerras (0 a 3 meses)</t>
  </si>
  <si>
    <t>Augusto e Julio</t>
  </si>
  <si>
    <t>Ajustamos as categorias das novilhas (4 a 15 para 3 a 15); bloqueamos o $ dos alimentos dos anos futuros pois não estava amarrado a nada; mudamos o cálculo das Nov até 13m pois estava muito diferente de um ano para outro e alteramos o cálculo dos animais 1a cria entrando no rebanho, a partir de dez do ano anterior e não da mádia</t>
  </si>
  <si>
    <t>Paulo</t>
  </si>
  <si>
    <t>Arrumou a fórmula da Ev de Rebanho célula novilhas &gt; 15 meses</t>
  </si>
  <si>
    <t>Henrique</t>
  </si>
  <si>
    <t xml:space="preserve">Novo Layout </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</si>
</sst>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6" formatCode="&quot;R$&quot;#,##0_);[Red]\(&quot;R$&quot;#,##0\)"/>
    <numFmt numFmtId="43" formatCode="_(* #,##0.00_);_(* \(#,##0.00\);_(* &quot;-&quot;??_);_(@_)"/>
    <numFmt numFmtId="164" formatCode="&quot;R$&quot;#,##0;[Red]\-&quot;R$&quot;#,##0"/>
    <numFmt numFmtId="165" formatCode="_-&quot;R$&quot;* #,##0.00_-;\-&quot;R$&quot;* #,##0.00_-;_-&quot;R$&quot;* &quot;-&quot;??_-;_-@_-"/>
    <numFmt numFmtId="166" formatCode="_(&quot;$&quot;* #,##0.00_);_(&quot;$&quot;* \(#,##0.00\);_(&quot;$&quot;* &quot;-&quot;??_);_(@_)"/>
    <numFmt numFmtId="167" formatCode="0.000"/>
    <numFmt numFmtId="168" formatCode="&quot;R$ &quot;#,##0.000"/>
    <numFmt numFmtId="169" formatCode="_(&quot;R$ &quot;* #,##0.00_);_(&quot;R$ &quot;* \(#,##0.00\);_(&quot;R$ &quot;* &quot;-&quot;??_);_(@_)"/>
    <numFmt numFmtId="170" formatCode="&quot;R$ &quot;#,##0.00_);\(&quot;R$ &quot;#,##0.00\)"/>
    <numFmt numFmtId="171" formatCode="_(* #,##0_);_(* \(#,##0\);_(* &quot;-&quot;??_);_(@_)"/>
    <numFmt numFmtId="172" formatCode="_(&quot;R$ &quot;* #,##0_);_(&quot;R$ &quot;* \(#,##0\);_(&quot;R$ &quot;* &quot;-&quot;??_);_(@_)"/>
    <numFmt numFmtId="173" formatCode="0.0%"/>
    <numFmt numFmtId="174" formatCode="&quot;R$ &quot;#,##0_);\(&quot;R$ &quot;#,##0\)"/>
    <numFmt numFmtId="175" formatCode="&quot;R$&quot;#,##0"/>
    <numFmt numFmtId="176" formatCode="#,##0.000"/>
    <numFmt numFmtId="177" formatCode="0.0"/>
    <numFmt numFmtId="178" formatCode="_(&quot;$&quot;* #,##0_);_(&quot;$&quot;* \(#,##0\);_(&quot;$&quot;* &quot;-&quot;??_);_(@_)"/>
    <numFmt numFmtId="179" formatCode="_(* #,##0.0_);_(* \(#,##0.0\);_(* &quot;-&quot;??_);_(@_)"/>
    <numFmt numFmtId="180" formatCode="_(* #,##0.000000_);_(* \(#,##0.000000\);_(* &quot;-&quot;??_);_(@_)"/>
    <numFmt numFmtId="181" formatCode="#,##0.0"/>
    <numFmt numFmtId="182" formatCode="0_)"/>
    <numFmt numFmtId="183" formatCode="0.0_)"/>
    <numFmt numFmtId="184" formatCode=";;;"/>
    <numFmt numFmtId="185" formatCode="0.00_)"/>
    <numFmt numFmtId="186" formatCode="&quot;$&quot;#,##0.000"/>
    <numFmt numFmtId="187" formatCode="&quot;R$&quot;#,##0.00"/>
    <numFmt numFmtId="188" formatCode="0.000_)"/>
    <numFmt numFmtId="189" formatCode="#,##0_ ;[Red]\-#,##0\ "/>
    <numFmt numFmtId="190" formatCode="_-[$R$-416]\ * #,##0.00_-;\-[$R$-416]\ * #,##0.00_-;_-[$R$-416]\ * &quot;-&quot;??_-;_-@_-"/>
    <numFmt numFmtId="191" formatCode="#,##0_ ;\-#,##0\ "/>
    <numFmt numFmtId="192" formatCode="_-&quot;R$&quot;* #,##0_-;\-&quot;R$&quot;* #,##0_-;_-&quot;R$&quot;* &quot;-&quot;??_-;_-@_-"/>
  </numFmts>
  <fonts count="92" x14ac:knownFonts="1">
    <font>
      <sz val="11"/>
      <color theme="1"/>
      <name val="Calibri"/>
      <family val="2"/>
      <scheme val="minor"/>
    </font>
    <font>
      <sz val="12"/>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sz val="10"/>
      <name val="Calibri"/>
      <family val="2"/>
      <scheme val="minor"/>
    </font>
    <font>
      <sz val="10"/>
      <color theme="0"/>
      <name val="Calibri"/>
      <family val="2"/>
      <scheme val="minor"/>
    </font>
    <font>
      <b/>
      <sz val="10"/>
      <name val="Calibri"/>
      <family val="2"/>
      <scheme val="minor"/>
    </font>
    <font>
      <sz val="10"/>
      <color indexed="9"/>
      <name val="Calibri"/>
      <family val="2"/>
      <scheme val="minor"/>
    </font>
    <font>
      <b/>
      <sz val="9"/>
      <color indexed="81"/>
      <name val="Arial"/>
      <family val="2"/>
    </font>
    <font>
      <sz val="9"/>
      <color indexed="81"/>
      <name val="Arial"/>
      <family val="2"/>
    </font>
    <font>
      <b/>
      <sz val="10"/>
      <color theme="0"/>
      <name val="Calibri"/>
      <family val="2"/>
      <scheme val="minor"/>
    </font>
    <font>
      <b/>
      <sz val="10"/>
      <color theme="1"/>
      <name val="Calibri"/>
      <family val="2"/>
      <scheme val="minor"/>
    </font>
    <font>
      <b/>
      <sz val="16"/>
      <color theme="0"/>
      <name val="Calibri"/>
      <family val="2"/>
      <scheme val="minor"/>
    </font>
    <font>
      <b/>
      <sz val="12"/>
      <color theme="0"/>
      <name val="Calibri"/>
      <family val="2"/>
      <scheme val="minor"/>
    </font>
    <font>
      <sz val="12"/>
      <color theme="1"/>
      <name val="Calibri"/>
      <family val="2"/>
      <scheme val="minor"/>
    </font>
    <font>
      <sz val="10"/>
      <color theme="1"/>
      <name val="Calibri"/>
      <family val="2"/>
      <scheme val="minor"/>
    </font>
    <font>
      <sz val="12"/>
      <color theme="0"/>
      <name val="Arial"/>
      <family val="2"/>
    </font>
    <font>
      <b/>
      <sz val="10"/>
      <color indexed="9"/>
      <name val="Calibri"/>
      <family val="2"/>
      <scheme val="minor"/>
    </font>
    <font>
      <sz val="12"/>
      <name val="Calibri"/>
      <family val="2"/>
      <scheme val="minor"/>
    </font>
    <font>
      <sz val="10"/>
      <color indexed="8"/>
      <name val="Calibri"/>
      <family val="2"/>
      <scheme val="minor"/>
    </font>
    <font>
      <sz val="12"/>
      <color theme="0"/>
      <name val="Calibri"/>
      <family val="2"/>
      <scheme val="minor"/>
    </font>
    <font>
      <b/>
      <sz val="12"/>
      <color theme="1"/>
      <name val="Calibri"/>
      <family val="2"/>
      <scheme val="minor"/>
    </font>
    <font>
      <b/>
      <sz val="12"/>
      <name val="Calibri"/>
      <family val="2"/>
      <scheme val="minor"/>
    </font>
    <font>
      <b/>
      <sz val="12"/>
      <color indexed="9"/>
      <name val="Calibri"/>
      <family val="2"/>
      <scheme val="minor"/>
    </font>
    <font>
      <sz val="12"/>
      <color indexed="9"/>
      <name val="Calibri"/>
      <family val="2"/>
      <scheme val="minor"/>
    </font>
    <font>
      <b/>
      <sz val="18"/>
      <color theme="0"/>
      <name val="Calibri"/>
      <family val="2"/>
      <scheme val="minor"/>
    </font>
    <font>
      <sz val="12"/>
      <color theme="1"/>
      <name val="Calibri"/>
      <family val="2"/>
      <charset val="134"/>
      <scheme val="minor"/>
    </font>
    <font>
      <sz val="14"/>
      <color theme="1"/>
      <name val="Calibri"/>
      <family val="2"/>
      <charset val="134"/>
      <scheme val="minor"/>
    </font>
    <font>
      <sz val="11"/>
      <name val="Calibri"/>
      <family val="2"/>
      <scheme val="minor"/>
    </font>
    <font>
      <sz val="12"/>
      <name val="Arial"/>
      <family val="2"/>
    </font>
    <font>
      <b/>
      <sz val="12"/>
      <name val="Arial"/>
      <family val="2"/>
    </font>
    <font>
      <sz val="12"/>
      <name val="Times New Roman"/>
      <family val="1"/>
    </font>
    <font>
      <b/>
      <sz val="14"/>
      <color indexed="81"/>
      <name val="Tahoma"/>
      <family val="2"/>
    </font>
    <font>
      <sz val="14"/>
      <color indexed="81"/>
      <name val="Tahoma"/>
      <family val="2"/>
    </font>
    <font>
      <b/>
      <sz val="12"/>
      <color theme="2"/>
      <name val="Calibri"/>
      <family val="2"/>
      <scheme val="minor"/>
    </font>
    <font>
      <b/>
      <sz val="12"/>
      <color theme="3"/>
      <name val="Calibri"/>
      <family val="2"/>
      <scheme val="minor"/>
    </font>
    <font>
      <b/>
      <sz val="16"/>
      <color theme="1"/>
      <name val="Calibri"/>
      <family val="2"/>
      <scheme val="minor"/>
    </font>
    <font>
      <b/>
      <sz val="14"/>
      <color theme="0"/>
      <name val="Calibri"/>
      <family val="2"/>
      <scheme val="minor"/>
    </font>
    <font>
      <b/>
      <sz val="18"/>
      <name val="Calibri"/>
      <family val="2"/>
      <scheme val="minor"/>
    </font>
    <font>
      <b/>
      <sz val="18"/>
      <name val="Arial"/>
      <family val="2"/>
    </font>
    <font>
      <b/>
      <sz val="11"/>
      <name val="Calibri"/>
      <family val="2"/>
      <scheme val="minor"/>
    </font>
    <font>
      <b/>
      <sz val="14"/>
      <color theme="1"/>
      <name val="Calibri"/>
      <family val="2"/>
      <scheme val="minor"/>
    </font>
    <font>
      <sz val="10"/>
      <color theme="1"/>
      <name val="Calibri"/>
      <family val="2"/>
    </font>
    <font>
      <sz val="10"/>
      <name val="Calibri"/>
      <family val="2"/>
    </font>
    <font>
      <sz val="11"/>
      <color theme="1" tint="0.24994659260841701"/>
      <name val="Calibri Light"/>
      <family val="2"/>
      <scheme val="major"/>
    </font>
    <font>
      <b/>
      <sz val="13"/>
      <color theme="7"/>
      <name val="Calibri Light"/>
      <family val="2"/>
      <scheme val="major"/>
    </font>
    <font>
      <b/>
      <sz val="13"/>
      <color theme="1" tint="0.24994659260841701"/>
      <name val="Calibri Light"/>
      <family val="2"/>
      <scheme val="major"/>
    </font>
    <font>
      <b/>
      <sz val="9.5"/>
      <color theme="1" tint="0.499984740745262"/>
      <name val="Calibri"/>
      <family val="2"/>
      <scheme val="minor"/>
    </font>
    <font>
      <b/>
      <sz val="42"/>
      <color theme="7"/>
      <name val="Calibri Light"/>
      <family val="2"/>
      <scheme val="major"/>
    </font>
    <font>
      <sz val="14"/>
      <color theme="1" tint="0.24994659260841701"/>
      <name val="Calibri"/>
      <family val="2"/>
      <scheme val="minor"/>
    </font>
    <font>
      <b/>
      <sz val="11"/>
      <color theme="1" tint="0.24994659260841701"/>
      <name val="Calibri"/>
      <family val="2"/>
      <scheme val="minor"/>
    </font>
    <font>
      <u/>
      <sz val="11"/>
      <color theme="10"/>
      <name val="Calibri"/>
      <family val="2"/>
      <scheme val="minor"/>
    </font>
    <font>
      <u/>
      <sz val="11"/>
      <color theme="11"/>
      <name val="Calibri"/>
      <family val="2"/>
      <scheme val="minor"/>
    </font>
    <font>
      <b/>
      <sz val="9"/>
      <color indexed="81"/>
      <name val="Segoe UI"/>
      <family val="2"/>
    </font>
    <font>
      <sz val="12"/>
      <color indexed="81"/>
      <name val="Arial"/>
      <family val="2"/>
    </font>
    <font>
      <sz val="26"/>
      <color theme="1"/>
      <name val="Calibri"/>
      <family val="2"/>
      <scheme val="minor"/>
    </font>
    <font>
      <sz val="8"/>
      <name val="Calibri"/>
      <family val="2"/>
      <scheme val="minor"/>
    </font>
    <font>
      <sz val="9"/>
      <color indexed="81"/>
      <name val="Calibri"/>
      <family val="2"/>
    </font>
    <font>
      <b/>
      <sz val="10"/>
      <color theme="0"/>
      <name val="Arial"/>
      <family val="2"/>
    </font>
    <font>
      <sz val="10"/>
      <color theme="0"/>
      <name val="Arial"/>
      <family val="2"/>
    </font>
    <font>
      <sz val="14"/>
      <name val="Calibri"/>
      <family val="2"/>
      <scheme val="minor"/>
    </font>
    <font>
      <sz val="12"/>
      <color indexed="8"/>
      <name val="Calibri"/>
      <family val="2"/>
      <scheme val="minor"/>
    </font>
    <font>
      <b/>
      <sz val="22"/>
      <name val="Calibri"/>
      <family val="2"/>
      <scheme val="minor"/>
    </font>
    <font>
      <b/>
      <sz val="22"/>
      <name val="Arial"/>
      <family val="2"/>
    </font>
    <font>
      <b/>
      <sz val="14"/>
      <name val="Calibri"/>
      <family val="2"/>
      <scheme val="minor"/>
    </font>
    <font>
      <sz val="10"/>
      <color indexed="9"/>
      <name val="Arial"/>
      <family val="2"/>
    </font>
    <font>
      <b/>
      <sz val="10"/>
      <name val="Arial"/>
      <family val="2"/>
    </font>
    <font>
      <sz val="10"/>
      <color theme="1"/>
      <name val="Arial"/>
      <family val="2"/>
    </font>
    <font>
      <sz val="12"/>
      <color theme="1"/>
      <name val="Arial"/>
      <family val="2"/>
    </font>
    <font>
      <b/>
      <sz val="12"/>
      <color indexed="9"/>
      <name val="Arial"/>
      <family val="2"/>
    </font>
    <font>
      <sz val="12"/>
      <color indexed="9"/>
      <name val="Arial"/>
      <family val="2"/>
    </font>
    <font>
      <b/>
      <sz val="10"/>
      <color theme="1"/>
      <name val="Arial"/>
      <family val="2"/>
    </font>
    <font>
      <b/>
      <sz val="12"/>
      <color theme="1"/>
      <name val="Arial"/>
      <family val="2"/>
    </font>
    <font>
      <b/>
      <sz val="12"/>
      <color theme="0"/>
      <name val="Arial"/>
      <family val="2"/>
    </font>
    <font>
      <sz val="10"/>
      <color indexed="81"/>
      <name val="Calibri"/>
    </font>
    <font>
      <b/>
      <sz val="10"/>
      <color indexed="81"/>
      <name val="Calibri"/>
    </font>
    <font>
      <sz val="14"/>
      <color theme="0"/>
      <name val="Calibri"/>
      <family val="2"/>
      <charset val="134"/>
      <scheme val="minor"/>
    </font>
    <font>
      <sz val="11"/>
      <name val="Calibri"/>
    </font>
    <font>
      <sz val="11"/>
      <color theme="0"/>
      <name val="Calibri"/>
    </font>
    <font>
      <b/>
      <u/>
      <sz val="10"/>
      <color indexed="81"/>
      <name val="Calibri"/>
    </font>
    <font>
      <sz val="9"/>
      <color theme="0"/>
      <name val="Calibri"/>
    </font>
    <font>
      <sz val="12"/>
      <color rgb="FFFF0000"/>
      <name val="Calibri"/>
      <family val="2"/>
      <scheme val="minor"/>
    </font>
    <font>
      <b/>
      <sz val="12"/>
      <color rgb="FFFF0000"/>
      <name val="Calibri"/>
      <family val="2"/>
      <scheme val="minor"/>
    </font>
    <font>
      <sz val="12"/>
      <color rgb="FFFF0000"/>
      <name val="Arial"/>
      <family val="2"/>
    </font>
    <font>
      <sz val="10"/>
      <color rgb="FFFF0000"/>
      <name val="Arial"/>
      <family val="2"/>
    </font>
    <font>
      <b/>
      <sz val="10"/>
      <color rgb="FFFF0000"/>
      <name val="Arial"/>
      <family val="2"/>
    </font>
    <font>
      <b/>
      <sz val="12"/>
      <color rgb="FFFF0000"/>
      <name val="Arial"/>
      <family val="2"/>
    </font>
    <font>
      <sz val="11"/>
      <color theme="0"/>
      <name val="Arial"/>
      <family val="2"/>
    </font>
    <font>
      <b/>
      <sz val="20"/>
      <color theme="0"/>
      <name val="Calibri"/>
      <scheme val="minor"/>
    </font>
  </fonts>
  <fills count="34">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6"/>
        <bgColor indexed="64"/>
      </patternFill>
    </fill>
    <fill>
      <patternFill patternType="solid">
        <fgColor theme="5"/>
        <bgColor indexed="64"/>
      </patternFill>
    </fill>
    <fill>
      <patternFill patternType="solid">
        <fgColor theme="1" tint="0.89999084444715716"/>
        <bgColor indexed="64"/>
      </patternFill>
    </fill>
    <fill>
      <patternFill patternType="solid">
        <fgColor theme="7"/>
        <bgColor indexed="64"/>
      </patternFill>
    </fill>
    <fill>
      <patternFill patternType="solid">
        <fgColor theme="8"/>
        <bgColor indexed="64"/>
      </patternFill>
    </fill>
    <fill>
      <patternFill patternType="solid">
        <fgColor theme="1" tint="0.749992370372631"/>
        <bgColor indexed="64"/>
      </patternFill>
    </fill>
    <fill>
      <patternFill patternType="solid">
        <fgColor theme="0"/>
        <bgColor indexed="9"/>
      </patternFill>
    </fill>
    <fill>
      <patternFill patternType="solid">
        <fgColor theme="3"/>
        <bgColor indexed="9"/>
      </patternFill>
    </fill>
    <fill>
      <patternFill patternType="solid">
        <fgColor theme="1" tint="0.89999084444715716"/>
        <bgColor indexed="22"/>
      </patternFill>
    </fill>
    <fill>
      <patternFill patternType="solid">
        <fgColor theme="1" tint="0.89999084444715716"/>
        <bgColor indexed="9"/>
      </patternFill>
    </fill>
    <fill>
      <patternFill patternType="solid">
        <fgColor theme="1" tint="0.749992370372631"/>
        <bgColor indexed="9"/>
      </patternFill>
    </fill>
    <fill>
      <patternFill patternType="solid">
        <fgColor theme="0"/>
        <bgColor indexed="31"/>
      </patternFill>
    </fill>
    <fill>
      <patternFill patternType="solid">
        <fgColor theme="1" tint="0.89999084444715716"/>
        <bgColor indexed="31"/>
      </patternFill>
    </fill>
    <fill>
      <patternFill patternType="solid">
        <fgColor rgb="FFFFFFFF"/>
        <bgColor indexed="64"/>
      </patternFill>
    </fill>
    <fill>
      <patternFill patternType="solid">
        <fgColor theme="9" tint="0.59996337778862885"/>
        <bgColor indexed="64"/>
      </patternFill>
    </fill>
    <fill>
      <patternFill patternType="solid">
        <fgColor theme="0" tint="-0.249977111117893"/>
        <bgColor indexed="64"/>
      </patternFill>
    </fill>
    <fill>
      <patternFill patternType="solid">
        <fgColor rgb="FF8AC305"/>
        <bgColor indexed="64"/>
      </patternFill>
    </fill>
    <fill>
      <patternFill patternType="solid">
        <fgColor rgb="FF042D4D"/>
        <bgColor indexed="64"/>
      </patternFill>
    </fill>
    <fill>
      <patternFill patternType="solid">
        <fgColor rgb="FFFFFF00"/>
        <bgColor indexed="64"/>
      </patternFill>
    </fill>
    <fill>
      <patternFill patternType="solid">
        <fgColor theme="0" tint="-0.499984740745262"/>
        <bgColor indexed="64"/>
      </patternFill>
    </fill>
    <fill>
      <patternFill patternType="solid">
        <fgColor rgb="FF8AC405"/>
        <bgColor indexed="64"/>
      </patternFill>
    </fill>
    <fill>
      <patternFill patternType="solid">
        <fgColor rgb="FF032D4D"/>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3"/>
        <bgColor indexed="31"/>
      </patternFill>
    </fill>
    <fill>
      <patternFill patternType="solid">
        <fgColor theme="4"/>
        <bgColor rgb="FF000000"/>
      </patternFill>
    </fill>
  </fills>
  <borders count="98">
    <border>
      <left/>
      <right/>
      <top/>
      <bottom/>
      <diagonal/>
    </border>
    <border>
      <left style="thin">
        <color theme="1" tint="0.749992370372631"/>
      </left>
      <right style="thin">
        <color theme="1" tint="0.749992370372631"/>
      </right>
      <top style="thin">
        <color theme="1" tint="0.749992370372631"/>
      </top>
      <bottom style="thin">
        <color theme="1" tint="0.749992370372631"/>
      </bottom>
      <diagonal/>
    </border>
    <border>
      <left style="thin">
        <color theme="1" tint="0.749992370372631"/>
      </left>
      <right style="thin">
        <color theme="1" tint="0.749992370372631"/>
      </right>
      <top/>
      <bottom style="thin">
        <color theme="1" tint="0.749992370372631"/>
      </bottom>
      <diagonal/>
    </border>
    <border>
      <left style="thin">
        <color theme="1" tint="0.749992370372631"/>
      </left>
      <right/>
      <top style="thin">
        <color theme="1" tint="0.749992370372631"/>
      </top>
      <bottom style="thin">
        <color theme="1" tint="0.749992370372631"/>
      </bottom>
      <diagonal/>
    </border>
    <border>
      <left/>
      <right/>
      <top style="thin">
        <color theme="1" tint="0.749992370372631"/>
      </top>
      <bottom style="thin">
        <color theme="1" tint="0.749992370372631"/>
      </bottom>
      <diagonal/>
    </border>
    <border>
      <left/>
      <right style="thin">
        <color theme="1" tint="0.749992370372631"/>
      </right>
      <top style="thin">
        <color theme="1" tint="0.749992370372631"/>
      </top>
      <bottom style="thin">
        <color theme="1" tint="0.749992370372631"/>
      </bottom>
      <diagonal/>
    </border>
    <border>
      <left/>
      <right/>
      <top/>
      <bottom style="thin">
        <color auto="1"/>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n">
        <color theme="1" tint="0.749992370372631"/>
      </left>
      <right style="thin">
        <color theme="1" tint="0.749992370372631"/>
      </right>
      <top style="thin">
        <color theme="1" tint="0.74999237037263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top/>
      <bottom style="thick">
        <color theme="3"/>
      </bottom>
      <diagonal/>
    </border>
    <border>
      <left/>
      <right/>
      <top/>
      <bottom style="thick">
        <color theme="3"/>
      </bottom>
      <diagonal/>
    </border>
    <border>
      <left/>
      <right style="thick">
        <color theme="3"/>
      </right>
      <top/>
      <bottom style="thick">
        <color theme="3"/>
      </bottom>
      <diagonal/>
    </border>
    <border>
      <left style="thick">
        <color theme="2"/>
      </left>
      <right/>
      <top style="thick">
        <color theme="2"/>
      </top>
      <bottom/>
      <diagonal/>
    </border>
    <border>
      <left/>
      <right/>
      <top style="thick">
        <color theme="2"/>
      </top>
      <bottom/>
      <diagonal/>
    </border>
    <border>
      <left/>
      <right style="thick">
        <color theme="2"/>
      </right>
      <top style="thick">
        <color theme="2"/>
      </top>
      <bottom/>
      <diagonal/>
    </border>
    <border>
      <left style="thick">
        <color theme="2"/>
      </left>
      <right/>
      <top/>
      <bottom/>
      <diagonal/>
    </border>
    <border>
      <left/>
      <right style="thick">
        <color theme="2"/>
      </right>
      <top/>
      <bottom/>
      <diagonal/>
    </border>
    <border>
      <left style="thick">
        <color theme="2"/>
      </left>
      <right/>
      <top/>
      <bottom style="thick">
        <color theme="2"/>
      </bottom>
      <diagonal/>
    </border>
    <border>
      <left/>
      <right/>
      <top/>
      <bottom style="thick">
        <color theme="2"/>
      </bottom>
      <diagonal/>
    </border>
    <border>
      <left/>
      <right style="thick">
        <color theme="2"/>
      </right>
      <top/>
      <bottom style="thick">
        <color theme="2"/>
      </bottom>
      <diagonal/>
    </border>
    <border>
      <left style="thick">
        <color theme="1"/>
      </left>
      <right/>
      <top style="thick">
        <color theme="1"/>
      </top>
      <bottom/>
      <diagonal/>
    </border>
    <border>
      <left/>
      <right/>
      <top style="thick">
        <color theme="1"/>
      </top>
      <bottom/>
      <diagonal/>
    </border>
    <border>
      <left style="thick">
        <color theme="1"/>
      </left>
      <right/>
      <top/>
      <bottom/>
      <diagonal/>
    </border>
    <border>
      <left style="thick">
        <color theme="1"/>
      </left>
      <right/>
      <top/>
      <bottom style="thick">
        <color theme="1"/>
      </bottom>
      <diagonal/>
    </border>
    <border>
      <left/>
      <right/>
      <top/>
      <bottom style="thick">
        <color theme="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1" tint="0.749992370372631"/>
      </left>
      <right/>
      <top/>
      <bottom style="thin">
        <color theme="1" tint="0.749992370372631"/>
      </bottom>
      <diagonal/>
    </border>
    <border>
      <left/>
      <right style="thin">
        <color theme="1" tint="0.749992370372631"/>
      </right>
      <top/>
      <bottom style="thin">
        <color theme="1" tint="0.749992370372631"/>
      </bottom>
      <diagonal/>
    </border>
    <border>
      <left style="thin">
        <color theme="1" tint="0.749992370372631"/>
      </left>
      <right style="thin">
        <color theme="1" tint="0.749992370372631"/>
      </right>
      <top style="thin">
        <color theme="1" tint="0.749992370372631"/>
      </top>
      <bottom style="thick">
        <color theme="1" tint="0.749992370372631"/>
      </bottom>
      <diagonal/>
    </border>
    <border>
      <left/>
      <right/>
      <top/>
      <bottom style="thin">
        <color theme="1" tint="0.749992370372631"/>
      </bottom>
      <diagonal/>
    </border>
    <border>
      <left/>
      <right style="thin">
        <color theme="1" tint="0.749992370372631"/>
      </right>
      <top/>
      <bottom/>
      <diagonal/>
    </border>
    <border>
      <left/>
      <right/>
      <top style="thick">
        <color theme="9"/>
      </top>
      <bottom/>
      <diagonal/>
    </border>
    <border>
      <left/>
      <right style="thick">
        <color theme="9"/>
      </right>
      <top style="thick">
        <color theme="9"/>
      </top>
      <bottom/>
      <diagonal/>
    </border>
    <border>
      <left/>
      <right style="thick">
        <color theme="9"/>
      </right>
      <top/>
      <bottom/>
      <diagonal/>
    </border>
    <border>
      <left/>
      <right/>
      <top style="thick">
        <color theme="9"/>
      </top>
      <bottom style="thick">
        <color theme="2"/>
      </bottom>
      <diagonal/>
    </border>
    <border>
      <left/>
      <right/>
      <top/>
      <bottom style="thin">
        <color theme="7"/>
      </bottom>
      <diagonal/>
    </border>
    <border>
      <left/>
      <right/>
      <top style="thin">
        <color theme="9" tint="-0.24994659260841701"/>
      </top>
      <bottom style="thin">
        <color theme="9" tint="-0.24994659260841701"/>
      </bottom>
      <diagonal/>
    </border>
    <border>
      <left/>
      <right/>
      <top style="thin">
        <color theme="1" tint="0.749992370372631"/>
      </top>
      <bottom/>
      <diagonal/>
    </border>
    <border>
      <left style="thin">
        <color theme="1" tint="0.749992370372631"/>
      </left>
      <right/>
      <top style="thin">
        <color theme="1" tint="0.749992370372631"/>
      </top>
      <bottom/>
      <diagonal/>
    </border>
    <border>
      <left style="hair">
        <color theme="0" tint="-0.249977111117893"/>
      </left>
      <right style="hair">
        <color theme="0" tint="-0.249977111117893"/>
      </right>
      <top style="thick">
        <color theme="0" tint="-0.249977111117893"/>
      </top>
      <bottom style="hair">
        <color theme="0" tint="-0.249977111117893"/>
      </bottom>
      <diagonal/>
    </border>
    <border>
      <left style="hair">
        <color theme="0" tint="-0.249977111117893"/>
      </left>
      <right style="thick">
        <color theme="0" tint="-0.249977111117893"/>
      </right>
      <top style="thick">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hair">
        <color theme="0" tint="-0.249977111117893"/>
      </bottom>
      <diagonal/>
    </border>
    <border>
      <left style="hair">
        <color theme="0" tint="-0.249977111117893"/>
      </left>
      <right style="thick">
        <color theme="0" tint="-0.249977111117893"/>
      </right>
      <top style="hair">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thick">
        <color theme="0" tint="-0.249977111117893"/>
      </bottom>
      <diagonal/>
    </border>
    <border>
      <left style="hair">
        <color theme="0" tint="-0.249977111117893"/>
      </left>
      <right style="thick">
        <color theme="0" tint="-0.249977111117893"/>
      </right>
      <top style="hair">
        <color theme="0" tint="-0.249977111117893"/>
      </top>
      <bottom style="thick">
        <color theme="0" tint="-0.249977111117893"/>
      </bottom>
      <diagonal/>
    </border>
    <border>
      <left style="thick">
        <color theme="0" tint="-0.249977111117893"/>
      </left>
      <right style="hair">
        <color theme="0" tint="-0.249977111117893"/>
      </right>
      <top/>
      <bottom/>
      <diagonal/>
    </border>
    <border>
      <left style="thick">
        <color theme="0" tint="-0.249977111117893"/>
      </left>
      <right style="hair">
        <color theme="0" tint="-0.249977111117893"/>
      </right>
      <top/>
      <bottom style="thick">
        <color theme="0" tint="-0.249977111117893"/>
      </bottom>
      <diagonal/>
    </border>
    <border>
      <left/>
      <right style="thick">
        <color theme="0" tint="-0.249977111117893"/>
      </right>
      <top/>
      <bottom style="thick">
        <color theme="0" tint="-0.249977111117893"/>
      </bottom>
      <diagonal/>
    </border>
    <border>
      <left/>
      <right style="hair">
        <color theme="0" tint="-0.249977111117893"/>
      </right>
      <top style="thick">
        <color theme="0" tint="-0.249977111117893"/>
      </top>
      <bottom style="hair">
        <color theme="0" tint="-0.249977111117893"/>
      </bottom>
      <diagonal/>
    </border>
    <border>
      <left/>
      <right style="thick">
        <color theme="0" tint="-0.249977111117893"/>
      </right>
      <top/>
      <bottom/>
      <diagonal/>
    </border>
    <border>
      <left/>
      <right/>
      <top/>
      <bottom style="thick">
        <color theme="0" tint="-0.249977111117893"/>
      </bottom>
      <diagonal/>
    </border>
    <border>
      <left style="thick">
        <color theme="0" tint="-0.249977111117893"/>
      </left>
      <right style="hair">
        <color theme="0" tint="-0.249977111117893"/>
      </right>
      <top style="thick">
        <color theme="0" tint="-0.249977111117893"/>
      </top>
      <bottom/>
      <diagonal/>
    </border>
    <border>
      <left style="hair">
        <color theme="0" tint="-0.249977111117893"/>
      </left>
      <right/>
      <top style="hair">
        <color theme="0" tint="-0.249977111117893"/>
      </top>
      <bottom style="hair">
        <color theme="0" tint="-0.249977111117893"/>
      </bottom>
      <diagonal/>
    </border>
    <border>
      <left/>
      <right/>
      <top style="hair">
        <color theme="0" tint="-0.249977111117893"/>
      </top>
      <bottom style="hair">
        <color theme="0" tint="-0.249977111117893"/>
      </bottom>
      <diagonal/>
    </border>
    <border>
      <left/>
      <right style="hair">
        <color theme="0" tint="-0.249977111117893"/>
      </right>
      <top style="hair">
        <color theme="0" tint="-0.249977111117893"/>
      </top>
      <bottom style="hair">
        <color theme="0" tint="-0.249977111117893"/>
      </bottom>
      <diagonal/>
    </border>
    <border>
      <left/>
      <right style="thick">
        <color theme="0" tint="-0.249977111117893"/>
      </right>
      <top style="hair">
        <color theme="0" tint="-0.249977111117893"/>
      </top>
      <bottom style="hair">
        <color theme="0" tint="-0.24997711111789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0" tint="-4.9989318521683403E-2"/>
      </top>
      <bottom style="thin">
        <color theme="0" tint="-4.9989318521683403E-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medium">
        <color theme="1" tint="0.249977111117893"/>
      </left>
      <right/>
      <top style="medium">
        <color theme="1" tint="0.249977111117893"/>
      </top>
      <bottom/>
      <diagonal/>
    </border>
    <border>
      <left/>
      <right/>
      <top style="medium">
        <color theme="1" tint="0.249977111117893"/>
      </top>
      <bottom/>
      <diagonal/>
    </border>
    <border>
      <left/>
      <right style="medium">
        <color theme="1" tint="0.249977111117893"/>
      </right>
      <top style="medium">
        <color theme="1" tint="0.249977111117893"/>
      </top>
      <bottom/>
      <diagonal/>
    </border>
    <border>
      <left style="medium">
        <color theme="1" tint="0.249977111117893"/>
      </left>
      <right/>
      <top/>
      <bottom/>
      <diagonal/>
    </border>
    <border>
      <left/>
      <right style="medium">
        <color theme="1" tint="0.249977111117893"/>
      </right>
      <top/>
      <bottom/>
      <diagonal/>
    </border>
    <border>
      <left style="medium">
        <color theme="1" tint="0.249977111117893"/>
      </left>
      <right/>
      <top style="thin">
        <color theme="1" tint="0.749992370372631"/>
      </top>
      <bottom style="thin">
        <color theme="1" tint="0.749992370372631"/>
      </bottom>
      <diagonal/>
    </border>
    <border>
      <left style="medium">
        <color theme="1" tint="0.249977111117893"/>
      </left>
      <right style="thin">
        <color theme="1" tint="0.749992370372631"/>
      </right>
      <top style="thin">
        <color theme="1" tint="0.749992370372631"/>
      </top>
      <bottom style="thin">
        <color theme="1" tint="0.749992370372631"/>
      </bottom>
      <diagonal/>
    </border>
    <border>
      <left style="medium">
        <color theme="1" tint="0.249977111117893"/>
      </left>
      <right/>
      <top/>
      <bottom style="thin">
        <color theme="1" tint="0.749992370372631"/>
      </bottom>
      <diagonal/>
    </border>
    <border>
      <left style="thin">
        <color theme="1" tint="0.749992370372631"/>
      </left>
      <right style="medium">
        <color theme="1" tint="0.249977111117893"/>
      </right>
      <top style="thin">
        <color theme="1" tint="0.749992370372631"/>
      </top>
      <bottom style="thin">
        <color theme="1" tint="0.749992370372631"/>
      </bottom>
      <diagonal/>
    </border>
    <border>
      <left style="medium">
        <color theme="1" tint="0.249977111117893"/>
      </left>
      <right/>
      <top/>
      <bottom style="medium">
        <color theme="1" tint="0.249977111117893"/>
      </bottom>
      <diagonal/>
    </border>
    <border>
      <left/>
      <right/>
      <top/>
      <bottom style="medium">
        <color theme="1" tint="0.249977111117893"/>
      </bottom>
      <diagonal/>
    </border>
    <border>
      <left/>
      <right style="medium">
        <color theme="1" tint="0.249977111117893"/>
      </right>
      <top/>
      <bottom style="medium">
        <color theme="1" tint="0.249977111117893"/>
      </bottom>
      <diagonal/>
    </border>
    <border>
      <left/>
      <right/>
      <top style="thin">
        <color theme="0"/>
      </top>
      <bottom style="thin">
        <color theme="0"/>
      </bottom>
      <diagonal/>
    </border>
    <border>
      <left/>
      <right/>
      <top style="thin">
        <color theme="0" tint="-0.249977111117893"/>
      </top>
      <bottom style="thin">
        <color theme="1" tint="0.749992370372631"/>
      </bottom>
      <diagonal/>
    </border>
    <border>
      <left/>
      <right/>
      <top style="thin">
        <color theme="0" tint="-0.249977111117893"/>
      </top>
      <bottom/>
      <diagonal/>
    </border>
  </borders>
  <cellStyleXfs count="573">
    <xf numFmtId="0" fontId="0" fillId="0" borderId="0"/>
    <xf numFmtId="43" fontId="2" fillId="0" borderId="0" applyFont="0" applyFill="0" applyBorder="0" applyAlignment="0" applyProtection="0"/>
    <xf numFmtId="9" fontId="2" fillId="0" borderId="0" applyFont="0" applyFill="0" applyBorder="0" applyAlignment="0" applyProtection="0"/>
    <xf numFmtId="0" fontId="6" fillId="0" borderId="0"/>
    <xf numFmtId="43" fontId="6" fillId="0" borderId="0" applyFont="0" applyFill="0" applyBorder="0" applyAlignment="0" applyProtection="0"/>
    <xf numFmtId="3" fontId="6" fillId="0" borderId="0" applyNumberFormat="0" applyFont="0" applyBorder="0" applyAlignment="0" applyProtection="0"/>
    <xf numFmtId="169" fontId="6" fillId="0" borderId="0" applyFont="0" applyFill="0" applyBorder="0" applyAlignment="0" applyProtection="0"/>
    <xf numFmtId="0" fontId="29" fillId="0" borderId="0"/>
    <xf numFmtId="0" fontId="29" fillId="0" borderId="0"/>
    <xf numFmtId="0" fontId="32" fillId="0" borderId="0" applyFill="0" applyBorder="0" applyProtection="0"/>
    <xf numFmtId="0" fontId="6" fillId="0" borderId="0"/>
    <xf numFmtId="0" fontId="6" fillId="0" borderId="0"/>
    <xf numFmtId="9" fontId="6" fillId="0" borderId="0" applyFont="0" applyFill="0" applyBorder="0" applyAlignment="0" applyProtection="0"/>
    <xf numFmtId="0" fontId="34" fillId="0" borderId="0"/>
    <xf numFmtId="166" fontId="34" fillId="0" borderId="0" applyFont="0" applyFill="0" applyBorder="0" applyAlignment="0" applyProtection="0"/>
    <xf numFmtId="9" fontId="34" fillId="0" borderId="0" applyFont="0" applyFill="0" applyBorder="0" applyAlignment="0" applyProtection="0"/>
    <xf numFmtId="43" fontId="34" fillId="0" borderId="0" applyFont="0" applyFill="0" applyBorder="0" applyAlignment="0" applyProtection="0"/>
    <xf numFmtId="0" fontId="32" fillId="0" borderId="0" applyFill="0" applyBorder="0" applyProtection="0"/>
    <xf numFmtId="0" fontId="32" fillId="0" borderId="0" applyFill="0" applyBorder="0" applyProtection="0"/>
    <xf numFmtId="0" fontId="32" fillId="0" borderId="0" applyFill="0" applyBorder="0" applyProtection="0"/>
    <xf numFmtId="0" fontId="47" fillId="0" borderId="0" applyNumberFormat="0" applyFill="0" applyBorder="0" applyProtection="0">
      <alignment vertical="center"/>
    </xf>
    <xf numFmtId="9" fontId="48" fillId="0" borderId="0" applyFill="0" applyBorder="0" applyProtection="0">
      <alignment horizontal="center" vertical="center"/>
    </xf>
    <xf numFmtId="0" fontId="49" fillId="0" borderId="0" applyFill="0" applyBorder="0" applyProtection="0">
      <alignment horizontal="left"/>
    </xf>
    <xf numFmtId="3" fontId="50" fillId="0" borderId="48" applyFill="0" applyProtection="0">
      <alignment horizontal="center"/>
    </xf>
    <xf numFmtId="0" fontId="50" fillId="0" borderId="0" applyFill="0" applyBorder="0" applyProtection="0">
      <alignment horizontal="center"/>
    </xf>
    <xf numFmtId="0" fontId="51" fillId="0" borderId="0" applyNumberFormat="0" applyFill="0" applyBorder="0" applyAlignment="0" applyProtection="0"/>
    <xf numFmtId="0" fontId="52" fillId="0" borderId="0" applyNumberFormat="0" applyFill="0" applyBorder="0" applyProtection="0">
      <alignment horizontal="left" vertical="center"/>
    </xf>
    <xf numFmtId="0" fontId="53" fillId="20" borderId="49" applyNumberFormat="0" applyProtection="0">
      <alignment horizontal="left" vertical="center"/>
    </xf>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165" fontId="2" fillId="0" borderId="0" applyFon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cellStyleXfs>
  <cellXfs count="1255">
    <xf numFmtId="0" fontId="0" fillId="0" borderId="0" xfId="0"/>
    <xf numFmtId="0" fontId="8" fillId="2" borderId="0" xfId="3" applyFont="1" applyFill="1" applyBorder="1" applyAlignment="1" applyProtection="1">
      <alignment vertical="center"/>
      <protection hidden="1"/>
    </xf>
    <xf numFmtId="0" fontId="7" fillId="2" borderId="0" xfId="3" applyFont="1" applyFill="1" applyBorder="1" applyAlignment="1" applyProtection="1">
      <alignment vertical="center"/>
      <protection hidden="1"/>
    </xf>
    <xf numFmtId="3" fontId="7" fillId="2" borderId="0" xfId="1" applyNumberFormat="1" applyFont="1" applyFill="1" applyBorder="1" applyAlignment="1" applyProtection="1">
      <alignment horizontal="center" vertical="center" wrapText="1"/>
      <protection hidden="1"/>
    </xf>
    <xf numFmtId="0" fontId="7" fillId="2" borderId="0" xfId="3" applyFont="1" applyFill="1" applyBorder="1" applyAlignment="1" applyProtection="1">
      <alignment horizontal="center" vertical="center"/>
      <protection hidden="1"/>
    </xf>
    <xf numFmtId="3" fontId="7" fillId="2" borderId="0" xfId="5" applyNumberFormat="1" applyFont="1" applyFill="1" applyBorder="1" applyAlignment="1" applyProtection="1">
      <alignment horizontal="center" vertical="center" wrapText="1"/>
      <protection hidden="1"/>
    </xf>
    <xf numFmtId="168" fontId="7" fillId="2" borderId="0" xfId="5" applyNumberFormat="1" applyFont="1" applyFill="1" applyBorder="1" applyAlignment="1" applyProtection="1">
      <alignment horizontal="center" vertical="center" wrapText="1"/>
      <protection hidden="1"/>
    </xf>
    <xf numFmtId="170" fontId="7" fillId="2" borderId="0" xfId="3" applyNumberFormat="1" applyFont="1" applyFill="1" applyBorder="1" applyAlignment="1" applyProtection="1">
      <alignment horizontal="center" vertical="center"/>
      <protection hidden="1"/>
    </xf>
    <xf numFmtId="169" fontId="7" fillId="2" borderId="0" xfId="6" applyFont="1" applyFill="1" applyBorder="1" applyAlignment="1" applyProtection="1">
      <alignment horizontal="center" vertical="center"/>
      <protection hidden="1"/>
    </xf>
    <xf numFmtId="170" fontId="9" fillId="2" borderId="0" xfId="3" applyNumberFormat="1" applyFont="1" applyFill="1" applyBorder="1" applyAlignment="1" applyProtection="1">
      <alignment horizontal="center" vertical="center"/>
      <protection hidden="1"/>
    </xf>
    <xf numFmtId="2" fontId="7" fillId="2" borderId="0" xfId="3" applyNumberFormat="1" applyFont="1" applyFill="1" applyBorder="1" applyAlignment="1" applyProtection="1">
      <alignment horizontal="center" vertical="center"/>
      <protection hidden="1"/>
    </xf>
    <xf numFmtId="10" fontId="7" fillId="2" borderId="0" xfId="6" applyNumberFormat="1" applyFont="1" applyFill="1" applyBorder="1" applyAlignment="1" applyProtection="1">
      <alignment horizontal="center" vertical="center"/>
      <protection hidden="1"/>
    </xf>
    <xf numFmtId="173" fontId="9" fillId="2" borderId="0" xfId="6" applyNumberFormat="1" applyFont="1" applyFill="1" applyBorder="1" applyAlignment="1" applyProtection="1">
      <alignment horizontal="center" vertical="center"/>
      <protection hidden="1"/>
    </xf>
    <xf numFmtId="0" fontId="7" fillId="2" borderId="0" xfId="3" applyFont="1" applyFill="1" applyBorder="1" applyAlignment="1" applyProtection="1">
      <alignment horizontal="left" vertical="center" indent="2"/>
      <protection hidden="1"/>
    </xf>
    <xf numFmtId="175" fontId="9" fillId="2" borderId="0" xfId="3" applyNumberFormat="1" applyFont="1" applyFill="1" applyBorder="1" applyAlignment="1" applyProtection="1">
      <alignment horizontal="center" vertical="center"/>
      <protection hidden="1"/>
    </xf>
    <xf numFmtId="6" fontId="9" fillId="2" borderId="0" xfId="3" applyNumberFormat="1" applyFont="1" applyFill="1" applyBorder="1" applyAlignment="1" applyProtection="1">
      <alignment horizontal="center" vertical="center"/>
      <protection hidden="1"/>
    </xf>
    <xf numFmtId="173" fontId="9" fillId="2" borderId="0" xfId="3" applyNumberFormat="1" applyFont="1" applyFill="1" applyBorder="1" applyAlignment="1" applyProtection="1">
      <alignment horizontal="center" vertical="center"/>
      <protection hidden="1"/>
    </xf>
    <xf numFmtId="2" fontId="9" fillId="2" borderId="0" xfId="3" applyNumberFormat="1" applyFont="1" applyFill="1" applyBorder="1" applyAlignment="1" applyProtection="1">
      <alignment horizontal="center" vertical="center"/>
      <protection hidden="1"/>
    </xf>
    <xf numFmtId="3" fontId="9" fillId="2" borderId="0" xfId="1" applyNumberFormat="1" applyFont="1" applyFill="1" applyBorder="1" applyAlignment="1" applyProtection="1">
      <alignment horizontal="center" vertical="center"/>
      <protection hidden="1"/>
    </xf>
    <xf numFmtId="0" fontId="7" fillId="2" borderId="0" xfId="3" applyFont="1" applyFill="1" applyAlignment="1" applyProtection="1">
      <alignment vertical="center"/>
      <protection hidden="1"/>
    </xf>
    <xf numFmtId="0" fontId="7" fillId="2" borderId="0" xfId="3" applyFont="1" applyFill="1" applyAlignment="1" applyProtection="1">
      <alignment horizontal="center" vertical="center"/>
      <protection hidden="1"/>
    </xf>
    <xf numFmtId="0" fontId="7" fillId="2" borderId="1" xfId="3" applyFont="1" applyFill="1" applyBorder="1" applyAlignment="1" applyProtection="1">
      <alignment horizontal="left" vertical="center" indent="2"/>
      <protection hidden="1"/>
    </xf>
    <xf numFmtId="0" fontId="10" fillId="4" borderId="1" xfId="3" applyFont="1" applyFill="1" applyBorder="1" applyAlignment="1" applyProtection="1">
      <alignment horizontal="right" vertical="center"/>
      <protection locked="0"/>
    </xf>
    <xf numFmtId="4" fontId="10" fillId="4" borderId="1" xfId="3" applyNumberFormat="1" applyFont="1" applyFill="1" applyBorder="1" applyAlignment="1" applyProtection="1">
      <alignment horizontal="right" vertical="center"/>
      <protection locked="0"/>
    </xf>
    <xf numFmtId="3" fontId="10" fillId="4" borderId="1" xfId="4" applyNumberFormat="1" applyFont="1" applyFill="1" applyBorder="1" applyAlignment="1" applyProtection="1">
      <alignment horizontal="right" vertical="center"/>
      <protection locked="0"/>
    </xf>
    <xf numFmtId="167" fontId="10" fillId="4" borderId="1" xfId="3" applyNumberFormat="1" applyFont="1" applyFill="1" applyBorder="1" applyAlignment="1" applyProtection="1">
      <alignment horizontal="right" vertical="center"/>
      <protection locked="0"/>
    </xf>
    <xf numFmtId="170" fontId="10" fillId="4" borderId="1" xfId="4" applyNumberFormat="1" applyFont="1" applyFill="1" applyBorder="1" applyAlignment="1" applyProtection="1">
      <alignment horizontal="right" vertical="center"/>
      <protection locked="0"/>
    </xf>
    <xf numFmtId="0" fontId="14" fillId="8" borderId="1" xfId="3" applyFont="1" applyFill="1" applyBorder="1" applyAlignment="1" applyProtection="1">
      <alignment horizontal="left" vertical="center" indent="1"/>
      <protection hidden="1"/>
    </xf>
    <xf numFmtId="172" fontId="14" fillId="8" borderId="1" xfId="1" applyNumberFormat="1" applyFont="1" applyFill="1" applyBorder="1" applyAlignment="1" applyProtection="1">
      <alignment horizontal="center" vertical="center"/>
      <protection hidden="1"/>
    </xf>
    <xf numFmtId="0" fontId="9" fillId="8" borderId="1" xfId="3" applyFont="1" applyFill="1" applyBorder="1" applyAlignment="1" applyProtection="1">
      <alignment horizontal="left" vertical="center" indent="1"/>
      <protection hidden="1"/>
    </xf>
    <xf numFmtId="171" fontId="10" fillId="4" borderId="1" xfId="4" applyNumberFormat="1" applyFont="1" applyFill="1" applyBorder="1" applyAlignment="1" applyProtection="1">
      <alignment horizontal="center" vertical="center"/>
      <protection locked="0"/>
    </xf>
    <xf numFmtId="0" fontId="7" fillId="2" borderId="1" xfId="3" applyFont="1" applyFill="1" applyBorder="1" applyAlignment="1" applyProtection="1">
      <alignment horizontal="left" vertical="center" wrapText="1" indent="2"/>
      <protection hidden="1"/>
    </xf>
    <xf numFmtId="172" fontId="9" fillId="8" borderId="1" xfId="6" applyNumberFormat="1" applyFont="1" applyFill="1" applyBorder="1" applyAlignment="1" applyProtection="1">
      <alignment horizontal="center" vertical="center"/>
      <protection hidden="1"/>
    </xf>
    <xf numFmtId="172" fontId="9" fillId="8" borderId="1" xfId="3" applyNumberFormat="1" applyFont="1" applyFill="1" applyBorder="1" applyAlignment="1" applyProtection="1">
      <alignment horizontal="center" vertical="center"/>
      <protection hidden="1"/>
    </xf>
    <xf numFmtId="172" fontId="14" fillId="8" borderId="1" xfId="3" applyNumberFormat="1" applyFont="1" applyFill="1" applyBorder="1" applyAlignment="1" applyProtection="1">
      <alignment horizontal="left" vertical="center"/>
      <protection hidden="1"/>
    </xf>
    <xf numFmtId="0" fontId="0" fillId="2" borderId="0" xfId="0" applyFont="1" applyFill="1" applyBorder="1" applyAlignment="1" applyProtection="1">
      <alignment wrapText="1"/>
      <protection hidden="1"/>
    </xf>
    <xf numFmtId="10" fontId="8" fillId="2" borderId="0" xfId="6" applyNumberFormat="1" applyFont="1" applyFill="1" applyBorder="1" applyAlignment="1" applyProtection="1">
      <alignment horizontal="center" vertical="center"/>
      <protection hidden="1"/>
    </xf>
    <xf numFmtId="0" fontId="7" fillId="2" borderId="0" xfId="3" applyFont="1" applyFill="1" applyBorder="1" applyAlignment="1" applyProtection="1">
      <alignment vertical="center" wrapText="1"/>
      <protection hidden="1"/>
    </xf>
    <xf numFmtId="0" fontId="0" fillId="2" borderId="0" xfId="0" applyFont="1" applyFill="1" applyProtection="1">
      <protection hidden="1"/>
    </xf>
    <xf numFmtId="0" fontId="0" fillId="2" borderId="0" xfId="0" applyFont="1" applyFill="1" applyBorder="1" applyProtection="1">
      <protection hidden="1"/>
    </xf>
    <xf numFmtId="0" fontId="0" fillId="2" borderId="0" xfId="0" applyFont="1" applyFill="1" applyBorder="1" applyAlignment="1" applyProtection="1">
      <alignment vertical="center"/>
      <protection hidden="1"/>
    </xf>
    <xf numFmtId="0" fontId="7" fillId="2" borderId="0" xfId="0" applyFont="1" applyFill="1" applyBorder="1" applyProtection="1">
      <protection hidden="1"/>
    </xf>
    <xf numFmtId="176" fontId="20" fillId="2" borderId="0" xfId="0" applyNumberFormat="1" applyFont="1" applyFill="1" applyBorder="1" applyAlignment="1" applyProtection="1">
      <alignment horizontal="center"/>
      <protection hidden="1"/>
    </xf>
    <xf numFmtId="0" fontId="21" fillId="2" borderId="0" xfId="0" applyFont="1" applyFill="1" applyBorder="1" applyProtection="1">
      <protection hidden="1"/>
    </xf>
    <xf numFmtId="0" fontId="7" fillId="2" borderId="0" xfId="0" applyFont="1" applyFill="1" applyProtection="1">
      <protection hidden="1"/>
    </xf>
    <xf numFmtId="0" fontId="9" fillId="2" borderId="0" xfId="0" applyFont="1" applyFill="1" applyBorder="1" applyAlignment="1" applyProtection="1">
      <protection hidden="1"/>
    </xf>
    <xf numFmtId="0" fontId="22" fillId="2" borderId="0" xfId="0" applyFont="1" applyFill="1" applyProtection="1">
      <protection hidden="1"/>
    </xf>
    <xf numFmtId="0" fontId="21" fillId="2" borderId="0" xfId="0" applyFont="1" applyFill="1" applyProtection="1">
      <protection hidden="1"/>
    </xf>
    <xf numFmtId="0" fontId="10" fillId="2" borderId="0" xfId="0" applyFont="1" applyFill="1" applyProtection="1">
      <protection hidden="1"/>
    </xf>
    <xf numFmtId="9" fontId="10" fillId="2" borderId="0" xfId="0" applyNumberFormat="1" applyFont="1" applyFill="1" applyAlignment="1" applyProtection="1">
      <alignment horizontal="center"/>
      <protection hidden="1"/>
    </xf>
    <xf numFmtId="0" fontId="0" fillId="2" borderId="0" xfId="0" applyFont="1" applyFill="1" applyAlignment="1" applyProtection="1">
      <alignment horizontal="center"/>
      <protection hidden="1"/>
    </xf>
    <xf numFmtId="3" fontId="23" fillId="2" borderId="0" xfId="0" applyNumberFormat="1" applyFont="1" applyFill="1" applyBorder="1" applyAlignment="1" applyProtection="1">
      <protection hidden="1"/>
    </xf>
    <xf numFmtId="3" fontId="24" fillId="2" borderId="0" xfId="0" applyNumberFormat="1" applyFont="1" applyFill="1" applyBorder="1" applyAlignment="1" applyProtection="1">
      <protection hidden="1"/>
    </xf>
    <xf numFmtId="0" fontId="10" fillId="2" borderId="0" xfId="0" applyFont="1" applyFill="1" applyAlignment="1" applyProtection="1">
      <alignment horizontal="center"/>
      <protection hidden="1"/>
    </xf>
    <xf numFmtId="0" fontId="23" fillId="2" borderId="0" xfId="0" applyFont="1" applyFill="1" applyBorder="1" applyAlignment="1" applyProtection="1">
      <alignment horizontal="center"/>
      <protection hidden="1"/>
    </xf>
    <xf numFmtId="0" fontId="8" fillId="2" borderId="0" xfId="0" applyFont="1" applyFill="1" applyBorder="1" applyProtection="1">
      <protection hidden="1"/>
    </xf>
    <xf numFmtId="1" fontId="24" fillId="2" borderId="0" xfId="0" applyNumberFormat="1" applyFont="1" applyFill="1" applyBorder="1" applyAlignment="1" applyProtection="1">
      <alignment horizontal="center"/>
      <protection hidden="1"/>
    </xf>
    <xf numFmtId="0" fontId="18" fillId="2" borderId="0" xfId="0" applyFont="1" applyFill="1" applyBorder="1" applyProtection="1">
      <protection hidden="1"/>
    </xf>
    <xf numFmtId="0" fontId="0" fillId="2" borderId="0" xfId="0" applyFont="1" applyFill="1" applyBorder="1" applyAlignment="1" applyProtection="1">
      <protection hidden="1"/>
    </xf>
    <xf numFmtId="0" fontId="10" fillId="2" borderId="0" xfId="0" applyFont="1" applyFill="1" applyBorder="1" applyProtection="1">
      <protection hidden="1"/>
    </xf>
    <xf numFmtId="0" fontId="26" fillId="2" borderId="0" xfId="0" applyFont="1" applyFill="1" applyBorder="1" applyAlignment="1" applyProtection="1">
      <alignment horizontal="center"/>
      <protection hidden="1"/>
    </xf>
    <xf numFmtId="9" fontId="16" fillId="2" borderId="0" xfId="0" applyNumberFormat="1" applyFont="1" applyFill="1" applyBorder="1" applyAlignment="1" applyProtection="1">
      <alignment horizontal="center"/>
      <protection hidden="1"/>
    </xf>
    <xf numFmtId="177" fontId="16" fillId="2" borderId="0" xfId="2" applyNumberFormat="1" applyFont="1" applyFill="1" applyBorder="1" applyAlignment="1" applyProtection="1">
      <alignment horizontal="center"/>
      <protection hidden="1"/>
    </xf>
    <xf numFmtId="167" fontId="0" fillId="2" borderId="0" xfId="0" applyNumberFormat="1" applyFont="1" applyFill="1" applyBorder="1" applyProtection="1">
      <protection hidden="1"/>
    </xf>
    <xf numFmtId="173" fontId="0" fillId="2" borderId="1" xfId="0" applyNumberFormat="1" applyFont="1" applyFill="1" applyBorder="1" applyAlignment="1" applyProtection="1">
      <alignment horizontal="left"/>
      <protection hidden="1"/>
    </xf>
    <xf numFmtId="173" fontId="0" fillId="2" borderId="1" xfId="0" applyNumberFormat="1" applyFont="1" applyFill="1" applyBorder="1" applyAlignment="1" applyProtection="1">
      <alignment horizontal="right"/>
      <protection hidden="1"/>
    </xf>
    <xf numFmtId="0" fontId="0" fillId="2" borderId="1" xfId="0" applyFont="1" applyFill="1" applyBorder="1" applyProtection="1">
      <protection hidden="1"/>
    </xf>
    <xf numFmtId="2" fontId="0" fillId="2" borderId="1" xfId="0" applyNumberFormat="1" applyFont="1" applyFill="1" applyBorder="1" applyAlignment="1" applyProtection="1">
      <alignment horizontal="center"/>
      <protection hidden="1"/>
    </xf>
    <xf numFmtId="0" fontId="0" fillId="2" borderId="1" xfId="0" applyFont="1" applyFill="1" applyBorder="1" applyAlignment="1" applyProtection="1">
      <alignment vertical="center"/>
      <protection hidden="1"/>
    </xf>
    <xf numFmtId="176" fontId="0" fillId="2" borderId="1" xfId="0" applyNumberFormat="1" applyFont="1" applyFill="1" applyBorder="1" applyAlignment="1" applyProtection="1">
      <alignment horizontal="right" vertical="center"/>
      <protection hidden="1"/>
    </xf>
    <xf numFmtId="9" fontId="0" fillId="2" borderId="1" xfId="0" applyNumberFormat="1" applyFont="1" applyFill="1" applyBorder="1" applyAlignment="1" applyProtection="1">
      <alignment horizontal="right"/>
      <protection hidden="1"/>
    </xf>
    <xf numFmtId="173" fontId="0" fillId="2" borderId="1" xfId="2" applyNumberFormat="1" applyFont="1" applyFill="1" applyBorder="1" applyAlignment="1" applyProtection="1">
      <alignment horizontal="center"/>
      <protection hidden="1"/>
    </xf>
    <xf numFmtId="167" fontId="0" fillId="2" borderId="1" xfId="0" applyNumberFormat="1" applyFont="1" applyFill="1" applyBorder="1" applyAlignment="1" applyProtection="1">
      <alignment horizontal="right"/>
      <protection hidden="1"/>
    </xf>
    <xf numFmtId="167" fontId="0" fillId="2" borderId="1" xfId="2" applyNumberFormat="1" applyFont="1" applyFill="1" applyBorder="1" applyAlignment="1" applyProtection="1">
      <alignment horizontal="right"/>
      <protection hidden="1"/>
    </xf>
    <xf numFmtId="167" fontId="0" fillId="2" borderId="1" xfId="0" applyNumberFormat="1" applyFont="1" applyFill="1" applyBorder="1" applyProtection="1">
      <protection hidden="1"/>
    </xf>
    <xf numFmtId="176" fontId="0" fillId="2" borderId="1" xfId="0" applyNumberFormat="1" applyFont="1" applyFill="1" applyBorder="1" applyProtection="1">
      <protection hidden="1"/>
    </xf>
    <xf numFmtId="0" fontId="7" fillId="2" borderId="0" xfId="3" applyFont="1" applyFill="1" applyBorder="1" applyAlignment="1" applyProtection="1">
      <alignment horizontal="right" vertical="center" wrapText="1"/>
      <protection hidden="1"/>
    </xf>
    <xf numFmtId="0" fontId="23" fillId="2" borderId="0" xfId="0" applyFont="1" applyFill="1" applyBorder="1" applyProtection="1">
      <protection hidden="1"/>
    </xf>
    <xf numFmtId="176" fontId="23" fillId="2" borderId="0" xfId="0" applyNumberFormat="1" applyFont="1" applyFill="1" applyBorder="1" applyAlignment="1" applyProtection="1">
      <alignment horizontal="center"/>
      <protection hidden="1"/>
    </xf>
    <xf numFmtId="0" fontId="17" fillId="2" borderId="0" xfId="0" applyFont="1" applyFill="1" applyBorder="1" applyProtection="1">
      <protection hidden="1"/>
    </xf>
    <xf numFmtId="176" fontId="17" fillId="2" borderId="0" xfId="0" applyNumberFormat="1" applyFont="1" applyFill="1" applyBorder="1" applyAlignment="1" applyProtection="1">
      <alignment horizontal="center"/>
      <protection hidden="1"/>
    </xf>
    <xf numFmtId="0" fontId="27" fillId="2" borderId="0" xfId="0" applyFont="1" applyFill="1" applyBorder="1" applyAlignment="1" applyProtection="1">
      <alignment horizontal="center"/>
      <protection hidden="1"/>
    </xf>
    <xf numFmtId="0" fontId="2" fillId="2" borderId="0" xfId="0" applyFont="1" applyFill="1"/>
    <xf numFmtId="167" fontId="0" fillId="2" borderId="0" xfId="0" applyNumberFormat="1" applyFont="1" applyFill="1" applyBorder="1" applyAlignment="1" applyProtection="1">
      <alignment vertical="center"/>
      <protection hidden="1"/>
    </xf>
    <xf numFmtId="0" fontId="0" fillId="2" borderId="1" xfId="0" applyFont="1" applyFill="1" applyBorder="1" applyAlignment="1" applyProtection="1">
      <alignment horizontal="left"/>
      <protection hidden="1"/>
    </xf>
    <xf numFmtId="173" fontId="0" fillId="2" borderId="1" xfId="2" applyNumberFormat="1" applyFont="1" applyFill="1" applyBorder="1" applyProtection="1">
      <protection hidden="1"/>
    </xf>
    <xf numFmtId="0" fontId="31" fillId="2" borderId="0" xfId="3" applyFont="1" applyFill="1" applyBorder="1" applyAlignment="1" applyProtection="1">
      <alignment vertical="center" wrapText="1"/>
      <protection hidden="1"/>
    </xf>
    <xf numFmtId="3" fontId="23" fillId="2" borderId="0" xfId="0" applyNumberFormat="1" applyFont="1" applyFill="1" applyBorder="1" applyAlignment="1" applyProtection="1">
      <alignment horizontal="center"/>
      <protection hidden="1"/>
    </xf>
    <xf numFmtId="3" fontId="24" fillId="2" borderId="0" xfId="0" applyNumberFormat="1" applyFont="1" applyFill="1" applyBorder="1" applyAlignment="1" applyProtection="1">
      <alignment horizontal="center"/>
      <protection hidden="1"/>
    </xf>
    <xf numFmtId="0" fontId="7" fillId="0" borderId="0" xfId="13" applyFont="1" applyProtection="1">
      <protection hidden="1"/>
    </xf>
    <xf numFmtId="0" fontId="7" fillId="0" borderId="0" xfId="13" applyFont="1" applyFill="1" applyBorder="1" applyProtection="1">
      <protection hidden="1"/>
    </xf>
    <xf numFmtId="0" fontId="7" fillId="0" borderId="1" xfId="13" applyFont="1" applyFill="1" applyBorder="1" applyProtection="1">
      <protection hidden="1"/>
    </xf>
    <xf numFmtId="0" fontId="7" fillId="0" borderId="1" xfId="13" applyFont="1" applyBorder="1" applyAlignment="1" applyProtection="1">
      <alignment horizontal="left" indent="1"/>
      <protection hidden="1"/>
    </xf>
    <xf numFmtId="0" fontId="7" fillId="0" borderId="1" xfId="13" applyFont="1" applyFill="1" applyBorder="1" applyAlignment="1" applyProtection="1">
      <alignment horizontal="left" indent="1"/>
      <protection hidden="1"/>
    </xf>
    <xf numFmtId="1" fontId="7" fillId="0" borderId="1" xfId="13" applyNumberFormat="1" applyFont="1" applyFill="1" applyBorder="1" applyProtection="1">
      <protection hidden="1"/>
    </xf>
    <xf numFmtId="171" fontId="7" fillId="0" borderId="1" xfId="13" applyNumberFormat="1" applyFont="1" applyFill="1" applyBorder="1" applyProtection="1">
      <protection hidden="1"/>
    </xf>
    <xf numFmtId="178" fontId="18" fillId="0" borderId="1" xfId="14" applyNumberFormat="1" applyFont="1" applyFill="1" applyBorder="1" applyProtection="1">
      <protection hidden="1"/>
    </xf>
    <xf numFmtId="166" fontId="7" fillId="0" borderId="1" xfId="13" applyNumberFormat="1" applyFont="1" applyFill="1" applyBorder="1" applyProtection="1">
      <protection hidden="1"/>
    </xf>
    <xf numFmtId="0" fontId="9" fillId="0" borderId="1" xfId="13" applyFont="1" applyFill="1" applyBorder="1" applyAlignment="1" applyProtection="1">
      <alignment horizontal="left" indent="1"/>
      <protection hidden="1"/>
    </xf>
    <xf numFmtId="173" fontId="18" fillId="0" borderId="1" xfId="15" applyNumberFormat="1" applyFont="1" applyFill="1" applyBorder="1" applyProtection="1">
      <protection hidden="1"/>
    </xf>
    <xf numFmtId="0" fontId="18" fillId="2" borderId="1" xfId="13" applyFont="1" applyFill="1" applyBorder="1" applyProtection="1">
      <protection hidden="1"/>
    </xf>
    <xf numFmtId="166" fontId="18" fillId="2" borderId="1" xfId="14" applyFont="1" applyFill="1" applyBorder="1" applyProtection="1">
      <protection hidden="1"/>
    </xf>
    <xf numFmtId="0" fontId="7" fillId="0" borderId="0" xfId="13" applyFont="1" applyBorder="1" applyProtection="1">
      <protection hidden="1"/>
    </xf>
    <xf numFmtId="178" fontId="7" fillId="0" borderId="1" xfId="13" applyNumberFormat="1" applyFont="1" applyFill="1" applyBorder="1" applyProtection="1">
      <protection hidden="1"/>
    </xf>
    <xf numFmtId="0" fontId="7" fillId="0" borderId="0" xfId="11" applyFont="1" applyProtection="1">
      <protection hidden="1"/>
    </xf>
    <xf numFmtId="0" fontId="7" fillId="0" borderId="1" xfId="11" applyFont="1" applyBorder="1" applyAlignment="1" applyProtection="1">
      <alignment horizontal="center"/>
      <protection hidden="1"/>
    </xf>
    <xf numFmtId="0" fontId="7" fillId="0" borderId="0" xfId="11" applyFont="1" applyAlignment="1" applyProtection="1">
      <alignment horizontal="center"/>
      <protection hidden="1"/>
    </xf>
    <xf numFmtId="0" fontId="7" fillId="0" borderId="0" xfId="11" applyFont="1" applyAlignment="1" applyProtection="1">
      <protection hidden="1"/>
    </xf>
    <xf numFmtId="0" fontId="8" fillId="0" borderId="0" xfId="11" applyFont="1" applyAlignment="1" applyProtection="1">
      <alignment horizontal="center"/>
      <protection hidden="1"/>
    </xf>
    <xf numFmtId="0" fontId="9" fillId="0" borderId="0" xfId="11" applyFont="1" applyAlignment="1" applyProtection="1">
      <protection hidden="1"/>
    </xf>
    <xf numFmtId="3" fontId="7" fillId="0" borderId="0" xfId="11" applyNumberFormat="1" applyFont="1" applyBorder="1" applyAlignment="1" applyProtection="1">
      <alignment horizontal="center"/>
      <protection hidden="1"/>
    </xf>
    <xf numFmtId="0" fontId="7" fillId="0" borderId="0" xfId="11" applyFont="1" applyFill="1" applyBorder="1" applyAlignment="1" applyProtection="1">
      <alignment horizontal="center"/>
      <protection hidden="1"/>
    </xf>
    <xf numFmtId="3" fontId="7" fillId="0" borderId="1" xfId="11" applyNumberFormat="1" applyFont="1" applyBorder="1" applyAlignment="1" applyProtection="1">
      <alignment horizontal="center"/>
      <protection hidden="1"/>
    </xf>
    <xf numFmtId="0" fontId="7" fillId="0" borderId="1" xfId="11" applyFont="1" applyBorder="1" applyAlignment="1" applyProtection="1">
      <alignment horizontal="left" wrapText="1" indent="1"/>
      <protection hidden="1"/>
    </xf>
    <xf numFmtId="0" fontId="7" fillId="0" borderId="1" xfId="11" applyFont="1" applyBorder="1" applyAlignment="1" applyProtection="1">
      <alignment horizontal="left" indent="1"/>
      <protection hidden="1"/>
    </xf>
    <xf numFmtId="0" fontId="7" fillId="2" borderId="1" xfId="11" applyFont="1" applyFill="1" applyBorder="1" applyAlignment="1" applyProtection="1">
      <alignment horizontal="left" indent="1"/>
      <protection hidden="1"/>
    </xf>
    <xf numFmtId="167" fontId="18" fillId="2" borderId="1" xfId="11" applyNumberFormat="1" applyFont="1" applyFill="1" applyBorder="1" applyAlignment="1" applyProtection="1">
      <alignment horizontal="center"/>
      <protection hidden="1"/>
    </xf>
    <xf numFmtId="2" fontId="18" fillId="2" borderId="1" xfId="11" applyNumberFormat="1" applyFont="1" applyFill="1" applyBorder="1" applyAlignment="1" applyProtection="1">
      <alignment horizontal="center"/>
      <protection hidden="1"/>
    </xf>
    <xf numFmtId="175" fontId="9" fillId="8" borderId="1" xfId="11" applyNumberFormat="1" applyFont="1" applyFill="1" applyBorder="1" applyAlignment="1" applyProtection="1">
      <alignment horizontal="center"/>
      <protection hidden="1"/>
    </xf>
    <xf numFmtId="3" fontId="7" fillId="2" borderId="1" xfId="11" applyNumberFormat="1" applyFont="1" applyFill="1" applyBorder="1" applyAlignment="1" applyProtection="1">
      <alignment horizontal="center"/>
      <protection hidden="1"/>
    </xf>
    <xf numFmtId="9" fontId="7" fillId="2" borderId="1" xfId="12" applyFont="1" applyFill="1" applyBorder="1" applyAlignment="1" applyProtection="1">
      <alignment horizontal="center"/>
      <protection hidden="1"/>
    </xf>
    <xf numFmtId="0" fontId="18" fillId="2" borderId="1" xfId="11" applyFont="1" applyFill="1" applyBorder="1" applyAlignment="1" applyProtection="1">
      <alignment horizontal="center"/>
      <protection hidden="1"/>
    </xf>
    <xf numFmtId="177" fontId="7" fillId="0" borderId="1" xfId="11" applyNumberFormat="1" applyFont="1" applyBorder="1" applyAlignment="1" applyProtection="1">
      <alignment horizontal="center"/>
      <protection hidden="1"/>
    </xf>
    <xf numFmtId="0" fontId="7" fillId="0" borderId="0" xfId="11" applyFont="1" applyBorder="1" applyAlignment="1" applyProtection="1">
      <alignment horizontal="left" wrapText="1"/>
      <protection hidden="1"/>
    </xf>
    <xf numFmtId="0" fontId="18" fillId="2" borderId="1" xfId="11" applyFont="1" applyFill="1" applyBorder="1" applyAlignment="1" applyProtection="1">
      <alignment horizontal="left" indent="1"/>
      <protection hidden="1"/>
    </xf>
    <xf numFmtId="0" fontId="9" fillId="8" borderId="1" xfId="11" applyFont="1" applyFill="1" applyBorder="1" applyAlignment="1" applyProtection="1">
      <alignment horizontal="left" indent="1"/>
      <protection hidden="1"/>
    </xf>
    <xf numFmtId="0" fontId="18" fillId="0" borderId="1" xfId="11" applyFont="1" applyFill="1" applyBorder="1" applyAlignment="1" applyProtection="1">
      <alignment horizontal="left" indent="1"/>
      <protection hidden="1"/>
    </xf>
    <xf numFmtId="0" fontId="7" fillId="0" borderId="1" xfId="11" applyFont="1" applyFill="1" applyBorder="1" applyAlignment="1" applyProtection="1">
      <alignment horizontal="left" indent="1"/>
      <protection hidden="1"/>
    </xf>
    <xf numFmtId="0" fontId="7" fillId="2" borderId="19" xfId="13" applyFont="1" applyFill="1" applyBorder="1" applyProtection="1">
      <protection hidden="1"/>
    </xf>
    <xf numFmtId="0" fontId="7" fillId="2" borderId="21" xfId="13" applyFont="1" applyFill="1" applyBorder="1" applyProtection="1">
      <protection hidden="1"/>
    </xf>
    <xf numFmtId="0" fontId="7" fillId="2" borderId="22" xfId="13" applyFont="1" applyFill="1" applyBorder="1" applyAlignment="1" applyProtection="1">
      <alignment horizontal="left" indent="1"/>
      <protection hidden="1"/>
    </xf>
    <xf numFmtId="178" fontId="18" fillId="2" borderId="22" xfId="14" applyNumberFormat="1" applyFont="1" applyFill="1" applyBorder="1" applyProtection="1">
      <protection hidden="1"/>
    </xf>
    <xf numFmtId="0" fontId="7" fillId="2" borderId="28" xfId="13" applyFont="1" applyFill="1" applyBorder="1" applyProtection="1">
      <protection hidden="1"/>
    </xf>
    <xf numFmtId="0" fontId="7" fillId="2" borderId="31" xfId="13" applyFont="1" applyFill="1" applyBorder="1" applyProtection="1">
      <protection hidden="1"/>
    </xf>
    <xf numFmtId="0" fontId="7" fillId="2" borderId="34" xfId="13" applyFont="1" applyFill="1" applyBorder="1" applyProtection="1">
      <protection hidden="1"/>
    </xf>
    <xf numFmtId="0" fontId="7" fillId="2" borderId="35" xfId="13" applyFont="1" applyFill="1" applyBorder="1" applyProtection="1">
      <protection hidden="1"/>
    </xf>
    <xf numFmtId="0" fontId="0" fillId="2" borderId="0" xfId="0" applyFill="1"/>
    <xf numFmtId="0" fontId="7" fillId="2" borderId="0" xfId="17" applyFont="1" applyFill="1" applyBorder="1" applyAlignment="1" applyProtection="1">
      <alignment horizontal="center"/>
      <protection hidden="1"/>
    </xf>
    <xf numFmtId="0" fontId="7" fillId="2" borderId="1" xfId="0" applyFont="1" applyFill="1" applyBorder="1" applyProtection="1">
      <protection hidden="1"/>
    </xf>
    <xf numFmtId="3" fontId="7" fillId="2" borderId="1" xfId="0" applyNumberFormat="1" applyFont="1" applyFill="1" applyBorder="1" applyAlignment="1" applyProtection="1">
      <alignment horizontal="center"/>
      <protection hidden="1"/>
    </xf>
    <xf numFmtId="10" fontId="7" fillId="2" borderId="1" xfId="0" applyNumberFormat="1" applyFont="1" applyFill="1" applyBorder="1" applyAlignment="1" applyProtection="1">
      <alignment horizontal="center"/>
      <protection hidden="1"/>
    </xf>
    <xf numFmtId="3" fontId="8" fillId="4" borderId="1" xfId="0" applyNumberFormat="1" applyFont="1" applyFill="1" applyBorder="1" applyAlignment="1" applyProtection="1">
      <alignment horizontal="center"/>
      <protection locked="0"/>
    </xf>
    <xf numFmtId="10" fontId="8" fillId="4" borderId="1" xfId="0" applyNumberFormat="1" applyFont="1" applyFill="1" applyBorder="1" applyAlignment="1" applyProtection="1">
      <alignment horizontal="center"/>
      <protection locked="0"/>
    </xf>
    <xf numFmtId="1" fontId="14" fillId="8" borderId="2" xfId="0" applyNumberFormat="1" applyFont="1" applyFill="1" applyBorder="1" applyAlignment="1" applyProtection="1">
      <alignment horizontal="center" vertical="center"/>
      <protection hidden="1"/>
    </xf>
    <xf numFmtId="0" fontId="7" fillId="2" borderId="0" xfId="0" applyFont="1" applyFill="1" applyBorder="1" applyAlignment="1" applyProtection="1">
      <alignment horizontal="left" indent="1"/>
      <protection hidden="1"/>
    </xf>
    <xf numFmtId="0" fontId="7" fillId="2" borderId="1" xfId="0" applyFont="1" applyFill="1" applyBorder="1" applyAlignment="1" applyProtection="1">
      <alignment horizontal="center" vertical="center"/>
      <protection hidden="1"/>
    </xf>
    <xf numFmtId="4" fontId="8" fillId="4" borderId="1" xfId="0" applyNumberFormat="1" applyFont="1" applyFill="1" applyBorder="1" applyAlignment="1" applyProtection="1">
      <alignment horizontal="center" vertical="center"/>
      <protection locked="0"/>
    </xf>
    <xf numFmtId="0" fontId="7" fillId="12" borderId="1" xfId="0" applyFont="1" applyFill="1" applyBorder="1" applyAlignment="1" applyProtection="1">
      <alignment horizontal="center" vertical="center"/>
      <protection hidden="1"/>
    </xf>
    <xf numFmtId="0" fontId="7" fillId="12" borderId="41" xfId="0" applyFont="1" applyFill="1" applyBorder="1" applyAlignment="1" applyProtection="1">
      <alignment horizontal="center" vertical="center"/>
      <protection hidden="1"/>
    </xf>
    <xf numFmtId="4" fontId="7" fillId="2" borderId="41" xfId="0" applyNumberFormat="1" applyFont="1" applyFill="1" applyBorder="1" applyAlignment="1" applyProtection="1">
      <alignment horizontal="center" vertical="center"/>
      <protection hidden="1"/>
    </xf>
    <xf numFmtId="0" fontId="7" fillId="2" borderId="2" xfId="17" applyFont="1" applyFill="1" applyBorder="1" applyAlignment="1" applyProtection="1">
      <alignment horizontal="center" vertical="center"/>
      <protection hidden="1"/>
    </xf>
    <xf numFmtId="4" fontId="7" fillId="2" borderId="2" xfId="17" applyNumberFormat="1" applyFont="1" applyFill="1" applyBorder="1" applyAlignment="1" applyProtection="1">
      <alignment horizontal="center" vertical="center"/>
      <protection hidden="1"/>
    </xf>
    <xf numFmtId="4" fontId="8" fillId="4" borderId="2" xfId="0" applyNumberFormat="1" applyFont="1" applyFill="1" applyBorder="1" applyAlignment="1" applyProtection="1">
      <alignment horizontal="center" vertical="center"/>
      <protection locked="0"/>
    </xf>
    <xf numFmtId="4" fontId="7" fillId="2" borderId="2" xfId="0" applyNumberFormat="1" applyFont="1" applyFill="1" applyBorder="1" applyAlignment="1" applyProtection="1">
      <alignment horizontal="center" vertical="center"/>
      <protection hidden="1"/>
    </xf>
    <xf numFmtId="0" fontId="7" fillId="2" borderId="1" xfId="17" applyFont="1" applyFill="1" applyBorder="1" applyAlignment="1" applyProtection="1">
      <alignment horizontal="center" vertical="center"/>
      <protection hidden="1"/>
    </xf>
    <xf numFmtId="4" fontId="7" fillId="2" borderId="1" xfId="17" applyNumberFormat="1" applyFont="1" applyFill="1" applyBorder="1" applyAlignment="1" applyProtection="1">
      <alignment horizontal="center" vertical="center"/>
      <protection hidden="1"/>
    </xf>
    <xf numFmtId="4" fontId="7" fillId="2" borderId="1" xfId="2" applyNumberFormat="1" applyFont="1" applyFill="1" applyBorder="1" applyAlignment="1" applyProtection="1">
      <alignment horizontal="center" vertical="center"/>
      <protection hidden="1"/>
    </xf>
    <xf numFmtId="4" fontId="8" fillId="4" borderId="1" xfId="2" applyNumberFormat="1" applyFont="1" applyFill="1" applyBorder="1" applyAlignment="1" applyProtection="1">
      <alignment horizontal="center" vertical="center"/>
      <protection locked="0"/>
    </xf>
    <xf numFmtId="0" fontId="18" fillId="2" borderId="1" xfId="0" applyFont="1" applyFill="1" applyBorder="1" applyAlignment="1" applyProtection="1">
      <alignment horizontal="left" vertical="center" indent="1"/>
      <protection hidden="1"/>
    </xf>
    <xf numFmtId="0" fontId="8" fillId="13" borderId="1" xfId="0" applyFont="1" applyFill="1" applyBorder="1" applyAlignment="1" applyProtection="1">
      <alignment horizontal="left" vertical="center" indent="1"/>
      <protection locked="0"/>
    </xf>
    <xf numFmtId="0" fontId="8" fillId="4" borderId="1" xfId="0" applyFont="1" applyFill="1" applyBorder="1" applyAlignment="1" applyProtection="1">
      <alignment horizontal="left" vertical="center" indent="1"/>
      <protection locked="0"/>
    </xf>
    <xf numFmtId="0" fontId="7" fillId="2" borderId="2" xfId="17" applyFont="1" applyFill="1" applyBorder="1" applyAlignment="1" applyProtection="1">
      <alignment horizontal="left" vertical="center" indent="1"/>
      <protection hidden="1"/>
    </xf>
    <xf numFmtId="0" fontId="7" fillId="2" borderId="1" xfId="17" applyFont="1" applyFill="1" applyBorder="1" applyAlignment="1" applyProtection="1">
      <alignment horizontal="left" vertical="center" indent="1"/>
      <protection hidden="1"/>
    </xf>
    <xf numFmtId="0" fontId="7" fillId="2" borderId="1" xfId="0" applyFont="1" applyFill="1" applyBorder="1" applyAlignment="1" applyProtection="1">
      <alignment horizontal="left" vertical="center" indent="1"/>
      <protection hidden="1"/>
    </xf>
    <xf numFmtId="1" fontId="9" fillId="8" borderId="1" xfId="0" applyNumberFormat="1" applyFont="1" applyFill="1" applyBorder="1" applyAlignment="1" applyProtection="1">
      <alignment horizontal="center"/>
      <protection hidden="1"/>
    </xf>
    <xf numFmtId="0" fontId="9" fillId="8" borderId="1" xfId="0" applyFont="1" applyFill="1" applyBorder="1" applyAlignment="1" applyProtection="1">
      <alignment horizontal="center"/>
      <protection hidden="1"/>
    </xf>
    <xf numFmtId="0" fontId="9" fillId="11" borderId="1" xfId="0" applyFont="1" applyFill="1" applyBorder="1" applyProtection="1">
      <protection hidden="1"/>
    </xf>
    <xf numFmtId="3" fontId="7" fillId="11" borderId="1" xfId="0" applyNumberFormat="1" applyFont="1" applyFill="1" applyBorder="1" applyAlignment="1" applyProtection="1">
      <alignment horizontal="center"/>
      <protection hidden="1"/>
    </xf>
    <xf numFmtId="0" fontId="7" fillId="11" borderId="1" xfId="0" applyFont="1" applyFill="1" applyBorder="1" applyProtection="1">
      <protection hidden="1"/>
    </xf>
    <xf numFmtId="0" fontId="18" fillId="2" borderId="0" xfId="18" applyFont="1" applyFill="1" applyProtection="1">
      <protection hidden="1"/>
    </xf>
    <xf numFmtId="0" fontId="18" fillId="2" borderId="0" xfId="18" applyFont="1" applyFill="1" applyBorder="1" applyProtection="1">
      <protection hidden="1"/>
    </xf>
    <xf numFmtId="0" fontId="18" fillId="2" borderId="0" xfId="18" applyFont="1" applyFill="1" applyBorder="1" applyAlignment="1" applyProtection="1">
      <alignment horizontal="center"/>
      <protection hidden="1"/>
    </xf>
    <xf numFmtId="0" fontId="14" fillId="2" borderId="0" xfId="18" applyFont="1" applyFill="1" applyAlignment="1" applyProtection="1">
      <alignment horizontal="left"/>
      <protection hidden="1"/>
    </xf>
    <xf numFmtId="1" fontId="14" fillId="2" borderId="0" xfId="18" applyNumberFormat="1" applyFont="1" applyFill="1" applyAlignment="1" applyProtection="1">
      <alignment horizontal="center"/>
      <protection hidden="1"/>
    </xf>
    <xf numFmtId="0" fontId="18" fillId="2" borderId="0" xfId="0" applyFont="1" applyFill="1" applyProtection="1">
      <protection hidden="1"/>
    </xf>
    <xf numFmtId="3" fontId="18" fillId="2" borderId="0" xfId="18" applyNumberFormat="1" applyFont="1" applyFill="1" applyProtection="1">
      <protection hidden="1"/>
    </xf>
    <xf numFmtId="0" fontId="14" fillId="8" borderId="1" xfId="0" applyFont="1" applyFill="1" applyBorder="1" applyAlignment="1" applyProtection="1">
      <alignment horizontal="center" vertical="center"/>
      <protection hidden="1"/>
    </xf>
    <xf numFmtId="4" fontId="18" fillId="2" borderId="1" xfId="0" applyNumberFormat="1" applyFont="1" applyFill="1" applyBorder="1" applyAlignment="1" applyProtection="1">
      <alignment horizontal="center" vertical="center"/>
      <protection hidden="1"/>
    </xf>
    <xf numFmtId="4" fontId="18" fillId="2" borderId="1" xfId="0" applyNumberFormat="1" applyFont="1" applyFill="1" applyBorder="1" applyAlignment="1" applyProtection="1">
      <alignment vertical="center"/>
      <protection hidden="1"/>
    </xf>
    <xf numFmtId="4" fontId="18" fillId="2" borderId="1" xfId="0" applyNumberFormat="1" applyFont="1" applyFill="1" applyBorder="1" applyAlignment="1">
      <alignment horizontal="center" vertical="center"/>
    </xf>
    <xf numFmtId="4" fontId="18" fillId="2" borderId="1" xfId="18" applyNumberFormat="1" applyFont="1" applyFill="1" applyBorder="1" applyAlignment="1" applyProtection="1">
      <alignment horizontal="left" vertical="center" indent="1"/>
      <protection hidden="1"/>
    </xf>
    <xf numFmtId="4" fontId="18" fillId="11" borderId="1" xfId="18" applyNumberFormat="1" applyFont="1" applyFill="1" applyBorder="1" applyAlignment="1" applyProtection="1">
      <alignment horizontal="left" vertical="center" indent="1"/>
      <protection hidden="1"/>
    </xf>
    <xf numFmtId="4" fontId="18" fillId="11" borderId="1" xfId="0" applyNumberFormat="1" applyFont="1" applyFill="1" applyBorder="1" applyAlignment="1" applyProtection="1">
      <alignment horizontal="center" vertical="center"/>
      <protection hidden="1"/>
    </xf>
    <xf numFmtId="4" fontId="18" fillId="11" borderId="15" xfId="18" applyNumberFormat="1" applyFont="1" applyFill="1" applyBorder="1" applyAlignment="1" applyProtection="1">
      <alignment horizontal="left" vertical="center" indent="1"/>
      <protection hidden="1"/>
    </xf>
    <xf numFmtId="4" fontId="18" fillId="11" borderId="2" xfId="18" applyNumberFormat="1" applyFont="1" applyFill="1" applyBorder="1" applyAlignment="1" applyProtection="1">
      <alignment horizontal="left" vertical="center" indent="1"/>
      <protection hidden="1"/>
    </xf>
    <xf numFmtId="4" fontId="18" fillId="2" borderId="0" xfId="18" applyNumberFormat="1" applyFont="1" applyFill="1" applyBorder="1" applyAlignment="1" applyProtection="1">
      <alignment horizontal="left" vertical="center" indent="1"/>
      <protection hidden="1"/>
    </xf>
    <xf numFmtId="4" fontId="18" fillId="2" borderId="0" xfId="18" applyNumberFormat="1" applyFont="1" applyFill="1" applyBorder="1" applyAlignment="1" applyProtection="1">
      <alignment vertical="center"/>
      <protection hidden="1"/>
    </xf>
    <xf numFmtId="4" fontId="18" fillId="2" borderId="0" xfId="0" applyNumberFormat="1" applyFont="1" applyFill="1" applyBorder="1" applyAlignment="1" applyProtection="1">
      <alignment vertical="center"/>
      <protection hidden="1"/>
    </xf>
    <xf numFmtId="4" fontId="18" fillId="2" borderId="3" xfId="18" applyNumberFormat="1" applyFont="1" applyFill="1" applyBorder="1" applyAlignment="1" applyProtection="1">
      <alignment horizontal="left" vertical="center" indent="1"/>
      <protection hidden="1"/>
    </xf>
    <xf numFmtId="4" fontId="18" fillId="2" borderId="0" xfId="0" applyNumberFormat="1" applyFont="1" applyFill="1" applyBorder="1" applyAlignment="1" applyProtection="1">
      <alignment horizontal="center" vertical="center"/>
      <protection hidden="1"/>
    </xf>
    <xf numFmtId="184" fontId="18" fillId="12" borderId="0" xfId="0" applyNumberFormat="1" applyFont="1" applyFill="1" applyBorder="1" applyProtection="1">
      <protection hidden="1"/>
    </xf>
    <xf numFmtId="0" fontId="18" fillId="12" borderId="0" xfId="0" applyFont="1" applyFill="1" applyBorder="1" applyProtection="1">
      <protection hidden="1"/>
    </xf>
    <xf numFmtId="1" fontId="14" fillId="8" borderId="1" xfId="18" applyNumberFormat="1" applyFont="1" applyFill="1" applyBorder="1" applyAlignment="1" applyProtection="1">
      <alignment horizontal="center"/>
      <protection hidden="1"/>
    </xf>
    <xf numFmtId="0" fontId="18" fillId="12" borderId="0" xfId="0" applyFont="1" applyFill="1" applyBorder="1" applyAlignment="1" applyProtection="1">
      <alignment horizontal="center" vertical="center"/>
      <protection hidden="1"/>
    </xf>
    <xf numFmtId="184" fontId="18" fillId="12" borderId="0" xfId="0" applyNumberFormat="1" applyFont="1" applyFill="1" applyBorder="1" applyAlignment="1" applyProtection="1">
      <alignment vertical="center"/>
      <protection hidden="1"/>
    </xf>
    <xf numFmtId="0" fontId="18" fillId="12" borderId="0" xfId="0" applyFont="1" applyFill="1" applyBorder="1" applyAlignment="1" applyProtection="1">
      <alignment vertical="center"/>
      <protection hidden="1"/>
    </xf>
    <xf numFmtId="183" fontId="18" fillId="12" borderId="0" xfId="0" applyNumberFormat="1" applyFont="1" applyFill="1" applyBorder="1" applyAlignment="1" applyProtection="1">
      <alignment vertical="center"/>
      <protection hidden="1"/>
    </xf>
    <xf numFmtId="0" fontId="18" fillId="2" borderId="0" xfId="0" applyFont="1" applyFill="1" applyAlignment="1" applyProtection="1">
      <alignment vertical="center"/>
      <protection hidden="1"/>
    </xf>
    <xf numFmtId="0" fontId="18" fillId="2" borderId="0" xfId="0" applyFont="1" applyFill="1" applyAlignment="1">
      <alignment vertical="center"/>
    </xf>
    <xf numFmtId="0" fontId="14" fillId="14" borderId="1" xfId="0" applyFont="1" applyFill="1" applyBorder="1" applyAlignment="1" applyProtection="1">
      <alignment horizontal="center" vertical="center"/>
      <protection hidden="1"/>
    </xf>
    <xf numFmtId="0" fontId="18" fillId="12" borderId="1" xfId="0" applyFont="1" applyFill="1" applyBorder="1" applyAlignment="1" applyProtection="1">
      <alignment horizontal="left" vertical="center"/>
      <protection hidden="1"/>
    </xf>
    <xf numFmtId="4" fontId="8" fillId="13" borderId="1" xfId="2" applyNumberFormat="1" applyFont="1" applyFill="1" applyBorder="1" applyAlignment="1" applyProtection="1">
      <alignment horizontal="center" vertical="center"/>
      <protection locked="0"/>
    </xf>
    <xf numFmtId="4" fontId="8" fillId="13" borderId="1" xfId="0" applyNumberFormat="1" applyFont="1" applyFill="1" applyBorder="1" applyAlignment="1" applyProtection="1">
      <alignment horizontal="center" vertical="center"/>
      <protection locked="0"/>
    </xf>
    <xf numFmtId="4" fontId="18" fillId="12" borderId="1" xfId="0" applyNumberFormat="1" applyFont="1" applyFill="1" applyBorder="1" applyAlignment="1" applyProtection="1">
      <alignment horizontal="center" vertical="center"/>
      <protection hidden="1"/>
    </xf>
    <xf numFmtId="0" fontId="18" fillId="2" borderId="0" xfId="0" applyFont="1" applyFill="1" applyBorder="1" applyAlignment="1">
      <alignment horizontal="centerContinuous" vertical="center"/>
    </xf>
    <xf numFmtId="0" fontId="18" fillId="2" borderId="0" xfId="0" applyFont="1" applyFill="1" applyBorder="1" applyAlignment="1" applyProtection="1">
      <alignment vertical="center"/>
      <protection hidden="1"/>
    </xf>
    <xf numFmtId="1" fontId="18" fillId="2" borderId="0" xfId="0" applyNumberFormat="1" applyFont="1" applyFill="1" applyBorder="1" applyAlignment="1">
      <alignment horizontal="centerContinuous" vertical="center"/>
    </xf>
    <xf numFmtId="0" fontId="18" fillId="12" borderId="15" xfId="0" applyFont="1" applyFill="1" applyBorder="1" applyAlignment="1" applyProtection="1">
      <alignment horizontal="left" vertical="center"/>
      <protection hidden="1"/>
    </xf>
    <xf numFmtId="4" fontId="8" fillId="13" borderId="15" xfId="0" applyNumberFormat="1" applyFont="1" applyFill="1" applyBorder="1" applyAlignment="1" applyProtection="1">
      <alignment horizontal="center" vertical="center"/>
      <protection locked="0"/>
    </xf>
    <xf numFmtId="4" fontId="18" fillId="12" borderId="15" xfId="0" applyNumberFormat="1" applyFont="1" applyFill="1" applyBorder="1" applyAlignment="1" applyProtection="1">
      <alignment horizontal="center" vertical="center"/>
      <protection hidden="1"/>
    </xf>
    <xf numFmtId="0" fontId="18" fillId="16" borderId="1" xfId="0" applyFont="1" applyFill="1" applyBorder="1" applyAlignment="1" applyProtection="1">
      <alignment vertical="center"/>
      <protection hidden="1"/>
    </xf>
    <xf numFmtId="4" fontId="18" fillId="16" borderId="1" xfId="0" applyNumberFormat="1" applyFont="1" applyFill="1" applyBorder="1" applyAlignment="1" applyProtection="1">
      <alignment horizontal="center" vertical="center"/>
      <protection hidden="1"/>
    </xf>
    <xf numFmtId="4" fontId="18" fillId="12" borderId="0" xfId="0" applyNumberFormat="1" applyFont="1" applyFill="1" applyBorder="1" applyAlignment="1" applyProtection="1">
      <alignment horizontal="center" vertical="center"/>
      <protection hidden="1"/>
    </xf>
    <xf numFmtId="4" fontId="18" fillId="12" borderId="0" xfId="0" applyNumberFormat="1" applyFont="1" applyFill="1" applyAlignment="1" applyProtection="1">
      <alignment horizontal="center" vertical="center"/>
      <protection hidden="1"/>
    </xf>
    <xf numFmtId="0" fontId="18" fillId="12" borderId="1" xfId="0" applyFont="1" applyFill="1" applyBorder="1" applyAlignment="1" applyProtection="1">
      <alignment vertical="center"/>
      <protection hidden="1"/>
    </xf>
    <xf numFmtId="173" fontId="8" fillId="4" borderId="1" xfId="0" applyNumberFormat="1" applyFont="1" applyFill="1" applyBorder="1" applyAlignment="1" applyProtection="1">
      <alignment horizontal="center" vertical="center"/>
      <protection locked="0"/>
    </xf>
    <xf numFmtId="183" fontId="18" fillId="12" borderId="0" xfId="0" applyNumberFormat="1" applyFont="1" applyFill="1" applyBorder="1" applyAlignment="1" applyProtection="1">
      <alignment horizontal="center" vertical="center"/>
      <protection hidden="1"/>
    </xf>
    <xf numFmtId="182" fontId="18" fillId="12" borderId="0" xfId="0" applyNumberFormat="1" applyFont="1" applyFill="1" applyBorder="1" applyAlignment="1" applyProtection="1">
      <alignment horizontal="center" vertical="center"/>
      <protection hidden="1"/>
    </xf>
    <xf numFmtId="1" fontId="18" fillId="12" borderId="0" xfId="0" applyNumberFormat="1" applyFont="1" applyFill="1" applyBorder="1" applyAlignment="1" applyProtection="1">
      <alignment horizontal="right" vertical="center"/>
      <protection hidden="1"/>
    </xf>
    <xf numFmtId="173" fontId="18" fillId="12" borderId="0" xfId="0" applyNumberFormat="1" applyFont="1" applyFill="1" applyBorder="1" applyAlignment="1" applyProtection="1">
      <alignment horizontal="left" vertical="center"/>
      <protection hidden="1"/>
    </xf>
    <xf numFmtId="0" fontId="18" fillId="12" borderId="0" xfId="0" applyFont="1" applyFill="1" applyAlignment="1" applyProtection="1">
      <alignment vertical="center"/>
      <protection hidden="1"/>
    </xf>
    <xf numFmtId="183" fontId="18" fillId="2" borderId="0" xfId="0" applyNumberFormat="1" applyFont="1" applyFill="1" applyBorder="1" applyAlignment="1" applyProtection="1">
      <alignment vertical="center"/>
      <protection hidden="1"/>
    </xf>
    <xf numFmtId="2" fontId="18" fillId="12" borderId="1" xfId="2" applyNumberFormat="1" applyFont="1" applyFill="1" applyBorder="1" applyAlignment="1" applyProtection="1">
      <alignment horizontal="center" vertical="center"/>
      <protection hidden="1"/>
    </xf>
    <xf numFmtId="0" fontId="18" fillId="12" borderId="0" xfId="0" applyFont="1" applyFill="1" applyAlignment="1" applyProtection="1">
      <alignment horizontal="center" vertical="center"/>
      <protection hidden="1"/>
    </xf>
    <xf numFmtId="182" fontId="18" fillId="12" borderId="0" xfId="0" applyNumberFormat="1" applyFont="1" applyFill="1" applyBorder="1" applyAlignment="1" applyProtection="1">
      <alignment vertical="center"/>
      <protection hidden="1"/>
    </xf>
    <xf numFmtId="0" fontId="18" fillId="15" borderId="1" xfId="0" applyFont="1" applyFill="1" applyBorder="1" applyAlignment="1" applyProtection="1">
      <alignment vertical="center"/>
      <protection hidden="1"/>
    </xf>
    <xf numFmtId="185" fontId="18" fillId="15" borderId="1" xfId="0" applyNumberFormat="1" applyFont="1" applyFill="1" applyBorder="1" applyAlignment="1" applyProtection="1">
      <alignment horizontal="center" vertical="center"/>
      <protection hidden="1"/>
    </xf>
    <xf numFmtId="0" fontId="18" fillId="12" borderId="0" xfId="0" applyFont="1" applyFill="1" applyBorder="1" applyAlignment="1" applyProtection="1">
      <alignment horizontal="left" vertical="center"/>
      <protection hidden="1"/>
    </xf>
    <xf numFmtId="1" fontId="18" fillId="2" borderId="0" xfId="0" applyNumberFormat="1" applyFont="1" applyFill="1" applyBorder="1" applyAlignment="1" applyProtection="1">
      <alignment horizontal="center" vertical="center"/>
      <protection hidden="1"/>
    </xf>
    <xf numFmtId="182" fontId="18" fillId="15" borderId="1" xfId="0" applyNumberFormat="1" applyFont="1" applyFill="1" applyBorder="1" applyAlignment="1" applyProtection="1">
      <alignment horizontal="center" vertical="center"/>
      <protection hidden="1"/>
    </xf>
    <xf numFmtId="1" fontId="14" fillId="15" borderId="1" xfId="0" applyNumberFormat="1" applyFont="1" applyFill="1" applyBorder="1" applyAlignment="1" applyProtection="1">
      <alignment horizontal="center" vertical="center"/>
      <protection hidden="1"/>
    </xf>
    <xf numFmtId="0" fontId="14" fillId="15" borderId="1" xfId="0" applyFont="1" applyFill="1" applyBorder="1" applyAlignment="1" applyProtection="1">
      <alignment horizontal="center" vertical="center"/>
      <protection hidden="1"/>
    </xf>
    <xf numFmtId="4" fontId="18" fillId="12" borderId="1" xfId="0" applyNumberFormat="1" applyFont="1" applyFill="1" applyBorder="1" applyAlignment="1" applyProtection="1">
      <alignment vertical="center"/>
      <protection hidden="1"/>
    </xf>
    <xf numFmtId="176" fontId="18" fillId="12" borderId="0" xfId="0" applyNumberFormat="1" applyFont="1" applyFill="1" applyAlignment="1" applyProtection="1">
      <alignment vertical="center"/>
      <protection hidden="1"/>
    </xf>
    <xf numFmtId="184" fontId="18" fillId="12" borderId="0" xfId="0" applyNumberFormat="1" applyFont="1" applyFill="1" applyAlignment="1" applyProtection="1">
      <alignment vertical="center"/>
      <protection hidden="1"/>
    </xf>
    <xf numFmtId="176" fontId="18" fillId="12" borderId="0" xfId="0" applyNumberFormat="1" applyFont="1" applyFill="1" applyBorder="1" applyAlignment="1" applyProtection="1">
      <alignment horizontal="center" vertical="center"/>
      <protection hidden="1"/>
    </xf>
    <xf numFmtId="4" fontId="18" fillId="12" borderId="1" xfId="2" applyNumberFormat="1" applyFont="1" applyFill="1" applyBorder="1" applyAlignment="1" applyProtection="1">
      <alignment horizontal="center" vertical="center"/>
      <protection hidden="1"/>
    </xf>
    <xf numFmtId="0" fontId="18" fillId="12" borderId="0" xfId="0" applyFont="1" applyFill="1" applyAlignment="1">
      <alignment vertical="center"/>
    </xf>
    <xf numFmtId="0" fontId="14" fillId="12" borderId="0" xfId="0" applyFont="1" applyFill="1" applyBorder="1" applyAlignment="1" applyProtection="1">
      <alignment vertical="center"/>
      <protection hidden="1"/>
    </xf>
    <xf numFmtId="184" fontId="18" fillId="12" borderId="0" xfId="0" applyNumberFormat="1" applyFont="1" applyFill="1" applyBorder="1" applyAlignment="1">
      <alignment horizontal="centerContinuous" vertical="center"/>
    </xf>
    <xf numFmtId="184" fontId="18" fillId="12" borderId="0" xfId="0" applyNumberFormat="1" applyFont="1" applyFill="1" applyBorder="1" applyAlignment="1">
      <alignment vertical="center"/>
    </xf>
    <xf numFmtId="184" fontId="14" fillId="2" borderId="0" xfId="0" applyNumberFormat="1" applyFont="1" applyFill="1" applyBorder="1" applyAlignment="1" applyProtection="1">
      <alignment vertical="center"/>
      <protection locked="0" hidden="1"/>
    </xf>
    <xf numFmtId="184" fontId="18" fillId="12" borderId="0" xfId="0" applyNumberFormat="1" applyFont="1" applyFill="1" applyBorder="1" applyAlignment="1" applyProtection="1">
      <alignment horizontal="center" vertical="center"/>
      <protection hidden="1"/>
    </xf>
    <xf numFmtId="0" fontId="18" fillId="2" borderId="0" xfId="0" applyFont="1" applyFill="1" applyBorder="1" applyAlignment="1">
      <alignment vertical="center"/>
    </xf>
    <xf numFmtId="4" fontId="18" fillId="12" borderId="1" xfId="0" applyNumberFormat="1" applyFont="1" applyFill="1" applyBorder="1" applyAlignment="1" applyProtection="1">
      <alignment horizontal="left" vertical="center"/>
      <protection hidden="1"/>
    </xf>
    <xf numFmtId="0" fontId="14" fillId="2" borderId="0" xfId="0" applyFont="1" applyFill="1" applyBorder="1" applyAlignment="1" applyProtection="1">
      <alignment vertical="center"/>
      <protection hidden="1"/>
    </xf>
    <xf numFmtId="182" fontId="14" fillId="2" borderId="0" xfId="0" applyNumberFormat="1" applyFont="1" applyFill="1" applyBorder="1" applyAlignment="1">
      <alignment horizontal="centerContinuous" vertical="center"/>
    </xf>
    <xf numFmtId="182" fontId="14" fillId="2" borderId="0" xfId="0" applyNumberFormat="1" applyFont="1" applyFill="1" applyBorder="1" applyAlignment="1" applyProtection="1">
      <alignment horizontal="centerContinuous" vertical="center"/>
    </xf>
    <xf numFmtId="182" fontId="14" fillId="2" borderId="0" xfId="0" applyNumberFormat="1" applyFont="1" applyFill="1" applyBorder="1" applyAlignment="1">
      <alignment vertical="center"/>
    </xf>
    <xf numFmtId="183" fontId="14" fillId="2" borderId="0" xfId="0" applyNumberFormat="1" applyFont="1" applyFill="1" applyBorder="1" applyAlignment="1">
      <alignment horizontal="centerContinuous" vertical="center"/>
    </xf>
    <xf numFmtId="177" fontId="14" fillId="2" borderId="0" xfId="0" applyNumberFormat="1" applyFont="1" applyFill="1" applyBorder="1" applyAlignment="1" applyProtection="1">
      <alignment horizontal="centerContinuous" vertical="center"/>
    </xf>
    <xf numFmtId="183" fontId="14" fillId="2" borderId="0" xfId="0" applyNumberFormat="1" applyFont="1" applyFill="1" applyBorder="1" applyAlignment="1">
      <alignment vertical="center"/>
    </xf>
    <xf numFmtId="2" fontId="14" fillId="2" borderId="0" xfId="0" applyNumberFormat="1" applyFont="1" applyFill="1" applyBorder="1" applyAlignment="1">
      <alignment horizontal="centerContinuous" vertical="center"/>
    </xf>
    <xf numFmtId="2" fontId="14" fillId="2" borderId="0" xfId="0" applyNumberFormat="1" applyFont="1" applyFill="1" applyBorder="1" applyAlignment="1">
      <alignment vertical="center"/>
    </xf>
    <xf numFmtId="1" fontId="14" fillId="2" borderId="0" xfId="0" applyNumberFormat="1" applyFont="1" applyFill="1" applyBorder="1" applyAlignment="1">
      <alignment horizontal="centerContinuous" vertical="center"/>
    </xf>
    <xf numFmtId="10" fontId="18" fillId="2" borderId="0" xfId="2" applyNumberFormat="1" applyFont="1" applyFill="1" applyBorder="1" applyAlignment="1">
      <alignment horizontal="centerContinuous" vertical="center"/>
    </xf>
    <xf numFmtId="1" fontId="14" fillId="2" borderId="0" xfId="0" applyNumberFormat="1" applyFont="1" applyFill="1" applyBorder="1" applyAlignment="1">
      <alignment vertical="center"/>
    </xf>
    <xf numFmtId="2" fontId="14" fillId="2" borderId="0" xfId="2" applyNumberFormat="1" applyFont="1" applyFill="1" applyBorder="1" applyAlignment="1">
      <alignment horizontal="centerContinuous" vertical="center"/>
    </xf>
    <xf numFmtId="0" fontId="14" fillId="2" borderId="0" xfId="0" applyFont="1" applyFill="1" applyBorder="1" applyAlignment="1">
      <alignment horizontal="centerContinuous" vertical="center"/>
    </xf>
    <xf numFmtId="0" fontId="14" fillId="2" borderId="0" xfId="0" applyFont="1" applyFill="1" applyBorder="1" applyAlignment="1">
      <alignment vertical="center"/>
    </xf>
    <xf numFmtId="0" fontId="14" fillId="2" borderId="0" xfId="0" applyFont="1" applyFill="1" applyBorder="1" applyAlignment="1">
      <alignment horizontal="center" vertical="center"/>
    </xf>
    <xf numFmtId="2" fontId="14" fillId="2" borderId="0" xfId="0" applyNumberFormat="1" applyFont="1" applyFill="1" applyBorder="1" applyAlignment="1">
      <alignment horizontal="center" vertical="center"/>
    </xf>
    <xf numFmtId="1" fontId="14" fillId="2" borderId="0" xfId="0" applyNumberFormat="1" applyFont="1" applyFill="1" applyBorder="1" applyAlignment="1">
      <alignment horizontal="center" vertical="center"/>
    </xf>
    <xf numFmtId="177" fontId="14" fillId="2" borderId="0" xfId="0" applyNumberFormat="1" applyFont="1" applyFill="1" applyBorder="1" applyAlignment="1">
      <alignment horizontal="center" vertical="center"/>
    </xf>
    <xf numFmtId="177" fontId="14" fillId="2" borderId="0" xfId="0" applyNumberFormat="1" applyFont="1" applyFill="1" applyBorder="1" applyAlignment="1" applyProtection="1">
      <alignment horizontal="center" vertical="center"/>
    </xf>
    <xf numFmtId="2" fontId="14" fillId="2" borderId="0" xfId="0" applyNumberFormat="1" applyFont="1" applyFill="1" applyBorder="1" applyAlignment="1" applyProtection="1">
      <alignment horizontal="center" vertical="center"/>
    </xf>
    <xf numFmtId="1" fontId="14" fillId="2" borderId="0" xfId="0" applyNumberFormat="1" applyFont="1" applyFill="1" applyBorder="1" applyAlignment="1" applyProtection="1">
      <alignment horizontal="center" vertical="center"/>
    </xf>
    <xf numFmtId="177" fontId="14" fillId="2" borderId="0" xfId="0" applyNumberFormat="1" applyFont="1" applyFill="1" applyBorder="1" applyAlignment="1" applyProtection="1">
      <alignment vertical="center"/>
    </xf>
    <xf numFmtId="177" fontId="14" fillId="2" borderId="0" xfId="0" applyNumberFormat="1" applyFont="1" applyFill="1" applyBorder="1" applyAlignment="1">
      <alignment vertical="center"/>
    </xf>
    <xf numFmtId="3" fontId="18" fillId="2" borderId="0" xfId="0" applyNumberFormat="1" applyFont="1" applyFill="1" applyBorder="1" applyAlignment="1" applyProtection="1">
      <alignment vertical="center"/>
      <protection hidden="1"/>
    </xf>
    <xf numFmtId="183" fontId="14" fillId="2" borderId="0" xfId="0" applyNumberFormat="1" applyFont="1" applyFill="1" applyBorder="1" applyAlignment="1">
      <alignment horizontal="center" vertical="center"/>
    </xf>
    <xf numFmtId="173" fontId="18" fillId="2" borderId="0" xfId="0" applyNumberFormat="1" applyFont="1" applyFill="1" applyBorder="1" applyAlignment="1" applyProtection="1">
      <alignment horizontal="centerContinuous" vertical="center"/>
    </xf>
    <xf numFmtId="0" fontId="18" fillId="12" borderId="0" xfId="0" applyFont="1" applyFill="1" applyBorder="1" applyAlignment="1">
      <alignment vertical="center"/>
    </xf>
    <xf numFmtId="0" fontId="14" fillId="12" borderId="0" xfId="0" applyFont="1" applyFill="1" applyBorder="1" applyAlignment="1">
      <alignment horizontal="centerContinuous" vertical="center"/>
    </xf>
    <xf numFmtId="0" fontId="18" fillId="12" borderId="0" xfId="0" applyFont="1" applyFill="1" applyBorder="1" applyAlignment="1">
      <alignment horizontal="centerContinuous" vertical="center"/>
    </xf>
    <xf numFmtId="182" fontId="14" fillId="12" borderId="0" xfId="0" applyNumberFormat="1" applyFont="1" applyFill="1" applyBorder="1" applyAlignment="1" applyProtection="1">
      <alignment horizontal="centerContinuous" vertical="center"/>
    </xf>
    <xf numFmtId="0" fontId="14" fillId="12" borderId="0" xfId="0" applyFont="1" applyFill="1" applyBorder="1" applyAlignment="1">
      <alignment vertical="center"/>
    </xf>
    <xf numFmtId="186" fontId="18" fillId="12" borderId="0" xfId="0" applyNumberFormat="1" applyFont="1" applyFill="1" applyBorder="1" applyAlignment="1" applyProtection="1">
      <alignment vertical="center"/>
      <protection hidden="1"/>
    </xf>
    <xf numFmtId="186" fontId="14" fillId="12" borderId="0" xfId="0" applyNumberFormat="1" applyFont="1" applyFill="1" applyBorder="1" applyAlignment="1" applyProtection="1">
      <alignment horizontal="center" vertical="center"/>
      <protection hidden="1"/>
    </xf>
    <xf numFmtId="186" fontId="18" fillId="12" borderId="0" xfId="0" applyNumberFormat="1" applyFont="1" applyFill="1" applyBorder="1" applyAlignment="1" applyProtection="1">
      <alignment horizontal="centerContinuous" vertical="center"/>
    </xf>
    <xf numFmtId="184" fontId="14" fillId="12" borderId="0" xfId="0" applyNumberFormat="1" applyFont="1" applyFill="1" applyBorder="1" applyAlignment="1" applyProtection="1">
      <alignment horizontal="centerContinuous" vertical="center"/>
    </xf>
    <xf numFmtId="184" fontId="18" fillId="12" borderId="0" xfId="0" applyNumberFormat="1" applyFont="1" applyFill="1" applyBorder="1" applyAlignment="1" applyProtection="1">
      <alignment horizontal="centerContinuous" vertical="center"/>
    </xf>
    <xf numFmtId="184" fontId="18" fillId="12" borderId="0" xfId="0" applyNumberFormat="1" applyFont="1" applyFill="1" applyBorder="1" applyAlignment="1" applyProtection="1">
      <alignment vertical="center"/>
    </xf>
    <xf numFmtId="1" fontId="18" fillId="12" borderId="0" xfId="0" applyNumberFormat="1" applyFont="1" applyFill="1" applyBorder="1" applyAlignment="1">
      <alignment horizontal="centerContinuous" vertical="center"/>
    </xf>
    <xf numFmtId="182" fontId="14" fillId="12" borderId="0" xfId="0" applyNumberFormat="1" applyFont="1" applyFill="1" applyBorder="1" applyAlignment="1" applyProtection="1">
      <alignment vertical="center"/>
    </xf>
    <xf numFmtId="167" fontId="14" fillId="12" borderId="0" xfId="0" applyNumberFormat="1" applyFont="1" applyFill="1" applyBorder="1" applyAlignment="1" applyProtection="1">
      <alignment horizontal="center" vertical="center"/>
    </xf>
    <xf numFmtId="167" fontId="14" fillId="12" borderId="0" xfId="0" applyNumberFormat="1" applyFont="1" applyFill="1" applyBorder="1" applyAlignment="1">
      <alignment horizontal="centerContinuous" vertical="center"/>
    </xf>
    <xf numFmtId="167" fontId="14" fillId="12" borderId="0" xfId="0" applyNumberFormat="1" applyFont="1" applyFill="1" applyBorder="1" applyAlignment="1">
      <alignment vertical="center"/>
    </xf>
    <xf numFmtId="182" fontId="18" fillId="12" borderId="0" xfId="0" applyNumberFormat="1" applyFont="1" applyFill="1" applyAlignment="1" applyProtection="1">
      <alignment vertical="center"/>
      <protection hidden="1"/>
    </xf>
    <xf numFmtId="183" fontId="18" fillId="12" borderId="0" xfId="0" applyNumberFormat="1" applyFont="1" applyFill="1" applyAlignment="1" applyProtection="1">
      <alignment vertical="center"/>
      <protection hidden="1"/>
    </xf>
    <xf numFmtId="17" fontId="18" fillId="14" borderId="1" xfId="0" applyNumberFormat="1" applyFont="1" applyFill="1" applyBorder="1" applyAlignment="1" applyProtection="1">
      <alignment horizontal="center" vertical="center"/>
      <protection hidden="1"/>
    </xf>
    <xf numFmtId="0" fontId="18" fillId="14" borderId="1" xfId="0" applyFont="1" applyFill="1" applyBorder="1" applyAlignment="1" applyProtection="1">
      <alignment horizontal="center" vertical="center"/>
      <protection hidden="1"/>
    </xf>
    <xf numFmtId="0" fontId="18" fillId="8" borderId="1" xfId="0" applyFont="1" applyFill="1" applyBorder="1" applyAlignment="1" applyProtection="1">
      <alignment horizontal="center" vertical="center"/>
      <protection hidden="1"/>
    </xf>
    <xf numFmtId="17" fontId="18" fillId="8" borderId="1" xfId="0" applyNumberFormat="1" applyFont="1" applyFill="1" applyBorder="1" applyAlignment="1" applyProtection="1">
      <alignment horizontal="center" vertical="center"/>
      <protection hidden="1"/>
    </xf>
    <xf numFmtId="0" fontId="18" fillId="8" borderId="1" xfId="0" applyFont="1" applyFill="1" applyBorder="1" applyAlignment="1">
      <alignment horizontal="center" vertical="center"/>
    </xf>
    <xf numFmtId="0" fontId="7" fillId="2" borderId="0" xfId="0" applyFont="1" applyFill="1" applyAlignment="1" applyProtection="1">
      <alignment vertical="center"/>
      <protection hidden="1"/>
    </xf>
    <xf numFmtId="0" fontId="9" fillId="2" borderId="0" xfId="0" applyFont="1" applyFill="1" applyAlignment="1" applyProtection="1">
      <alignment vertical="center"/>
      <protection hidden="1"/>
    </xf>
    <xf numFmtId="0" fontId="7" fillId="2" borderId="0" xfId="0" applyFont="1" applyFill="1" applyAlignment="1">
      <alignment vertical="center"/>
    </xf>
    <xf numFmtId="183" fontId="9" fillId="12" borderId="38" xfId="0" applyNumberFormat="1" applyFont="1" applyFill="1" applyBorder="1" applyAlignment="1" applyProtection="1">
      <alignment horizontal="right" vertical="center"/>
      <protection hidden="1"/>
    </xf>
    <xf numFmtId="3" fontId="9" fillId="2" borderId="37" xfId="0" applyNumberFormat="1" applyFont="1" applyFill="1" applyBorder="1" applyAlignment="1" applyProtection="1">
      <alignment horizontal="center" vertical="center"/>
      <protection hidden="1"/>
    </xf>
    <xf numFmtId="0" fontId="9" fillId="2" borderId="0" xfId="0" applyFont="1" applyFill="1" applyBorder="1" applyAlignment="1" applyProtection="1">
      <alignment vertical="center"/>
      <protection hidden="1"/>
    </xf>
    <xf numFmtId="182" fontId="9" fillId="2" borderId="0" xfId="0" applyNumberFormat="1" applyFont="1" applyFill="1" applyBorder="1" applyAlignment="1" applyProtection="1">
      <alignment horizontal="center" vertical="center"/>
      <protection hidden="1"/>
    </xf>
    <xf numFmtId="183" fontId="9" fillId="2" borderId="0" xfId="0" applyNumberFormat="1" applyFont="1" applyFill="1" applyBorder="1" applyAlignment="1" applyProtection="1">
      <alignment horizontal="center" vertical="center"/>
      <protection hidden="1"/>
    </xf>
    <xf numFmtId="188" fontId="9" fillId="2" borderId="0" xfId="0" applyNumberFormat="1" applyFont="1" applyFill="1" applyBorder="1" applyAlignment="1" applyProtection="1">
      <alignment horizontal="center" vertical="center"/>
      <protection hidden="1"/>
    </xf>
    <xf numFmtId="1" fontId="9" fillId="2" borderId="0" xfId="0" applyNumberFormat="1" applyFont="1" applyFill="1" applyBorder="1" applyAlignment="1" applyProtection="1">
      <alignment vertical="center"/>
      <protection hidden="1"/>
    </xf>
    <xf numFmtId="3" fontId="9" fillId="2" borderId="0" xfId="0" applyNumberFormat="1" applyFont="1" applyFill="1" applyBorder="1" applyAlignment="1" applyProtection="1">
      <alignment horizontal="center" vertical="center"/>
      <protection hidden="1"/>
    </xf>
    <xf numFmtId="0" fontId="9" fillId="2" borderId="0" xfId="0" applyFont="1" applyFill="1" applyBorder="1" applyAlignment="1" applyProtection="1">
      <alignment horizontal="center" vertical="center"/>
      <protection hidden="1"/>
    </xf>
    <xf numFmtId="3" fontId="9" fillId="2" borderId="0" xfId="0" applyNumberFormat="1" applyFont="1" applyFill="1" applyBorder="1" applyAlignment="1" applyProtection="1">
      <alignment vertical="center"/>
      <protection hidden="1"/>
    </xf>
    <xf numFmtId="0" fontId="7" fillId="2" borderId="0" xfId="0" applyFont="1" applyFill="1" applyBorder="1" applyAlignment="1" applyProtection="1">
      <alignment vertical="center"/>
      <protection hidden="1"/>
    </xf>
    <xf numFmtId="167" fontId="9" fillId="2" borderId="0" xfId="0" applyNumberFormat="1" applyFont="1" applyFill="1" applyBorder="1" applyAlignment="1" applyProtection="1">
      <alignment vertical="center"/>
      <protection hidden="1"/>
    </xf>
    <xf numFmtId="0" fontId="7" fillId="12" borderId="0" xfId="0" applyFont="1" applyFill="1" applyBorder="1" applyAlignment="1" applyProtection="1">
      <alignment vertical="center"/>
      <protection hidden="1"/>
    </xf>
    <xf numFmtId="1" fontId="9" fillId="12" borderId="0" xfId="0" applyNumberFormat="1" applyFont="1" applyFill="1" applyBorder="1" applyAlignment="1" applyProtection="1">
      <alignment vertical="center"/>
      <protection hidden="1"/>
    </xf>
    <xf numFmtId="10" fontId="9" fillId="2" borderId="0" xfId="0" applyNumberFormat="1" applyFont="1" applyFill="1" applyBorder="1" applyAlignment="1" applyProtection="1">
      <alignment horizontal="center" vertical="center"/>
      <protection hidden="1"/>
    </xf>
    <xf numFmtId="2" fontId="7" fillId="17" borderId="1" xfId="0" applyNumberFormat="1" applyFont="1" applyFill="1" applyBorder="1" applyAlignment="1" applyProtection="1">
      <alignment horizontal="center" vertical="center"/>
      <protection hidden="1"/>
    </xf>
    <xf numFmtId="4" fontId="7" fillId="17" borderId="1" xfId="0" applyNumberFormat="1" applyFont="1" applyFill="1" applyBorder="1" applyAlignment="1" applyProtection="1">
      <alignment horizontal="center" vertical="center"/>
      <protection hidden="1"/>
    </xf>
    <xf numFmtId="3" fontId="7" fillId="17" borderId="1" xfId="0" applyNumberFormat="1" applyFont="1" applyFill="1" applyBorder="1" applyAlignment="1" applyProtection="1">
      <alignment horizontal="center" vertical="center"/>
      <protection hidden="1"/>
    </xf>
    <xf numFmtId="10" fontId="7" fillId="17" borderId="1" xfId="0" applyNumberFormat="1" applyFont="1" applyFill="1" applyBorder="1" applyAlignment="1" applyProtection="1">
      <alignment horizontal="center" vertical="center"/>
      <protection hidden="1"/>
    </xf>
    <xf numFmtId="167" fontId="7" fillId="2" borderId="1" xfId="0" applyNumberFormat="1" applyFont="1" applyFill="1" applyBorder="1" applyAlignment="1" applyProtection="1">
      <alignment horizontal="center" vertical="center"/>
      <protection hidden="1"/>
    </xf>
    <xf numFmtId="0" fontId="7" fillId="11" borderId="1" xfId="0" applyFont="1" applyFill="1" applyBorder="1" applyAlignment="1" applyProtection="1">
      <alignment horizontal="left" vertical="center"/>
      <protection hidden="1"/>
    </xf>
    <xf numFmtId="3" fontId="7" fillId="11" borderId="1" xfId="0" applyNumberFormat="1" applyFont="1" applyFill="1" applyBorder="1" applyAlignment="1" applyProtection="1">
      <alignment horizontal="centerContinuous" vertical="center"/>
      <protection hidden="1"/>
    </xf>
    <xf numFmtId="1" fontId="9" fillId="11" borderId="1" xfId="0" applyNumberFormat="1" applyFont="1" applyFill="1" applyBorder="1" applyAlignment="1" applyProtection="1">
      <alignment horizontal="center" vertical="center"/>
      <protection hidden="1"/>
    </xf>
    <xf numFmtId="1" fontId="9" fillId="11" borderId="1" xfId="0" applyNumberFormat="1" applyFont="1" applyFill="1" applyBorder="1" applyAlignment="1" applyProtection="1">
      <alignment horizontal="centerContinuous" vertical="center"/>
      <protection hidden="1"/>
    </xf>
    <xf numFmtId="0" fontId="7" fillId="11" borderId="1" xfId="0" applyFont="1" applyFill="1" applyBorder="1" applyAlignment="1" applyProtection="1">
      <alignment vertical="center"/>
      <protection hidden="1"/>
    </xf>
    <xf numFmtId="1" fontId="9" fillId="11" borderId="1" xfId="0" applyNumberFormat="1" applyFont="1" applyFill="1" applyBorder="1" applyAlignment="1" applyProtection="1">
      <alignment vertical="center"/>
      <protection hidden="1"/>
    </xf>
    <xf numFmtId="0" fontId="9" fillId="18" borderId="1" xfId="0" applyFont="1" applyFill="1" applyBorder="1" applyAlignment="1" applyProtection="1">
      <alignment horizontal="center" vertical="center"/>
      <protection hidden="1"/>
    </xf>
    <xf numFmtId="0" fontId="18" fillId="19" borderId="1" xfId="0" applyFont="1" applyFill="1" applyBorder="1" applyAlignment="1">
      <alignment vertical="center"/>
    </xf>
    <xf numFmtId="0" fontId="18" fillId="8" borderId="1" xfId="0" applyFont="1" applyFill="1" applyBorder="1" applyAlignment="1">
      <alignment vertical="center"/>
    </xf>
    <xf numFmtId="0" fontId="18" fillId="11" borderId="1" xfId="0" applyFont="1" applyFill="1" applyBorder="1" applyAlignment="1">
      <alignment vertical="center"/>
    </xf>
    <xf numFmtId="0" fontId="7" fillId="2" borderId="5" xfId="17" applyFont="1" applyFill="1" applyBorder="1" applyAlignment="1" applyProtection="1">
      <alignment horizontal="center"/>
      <protection hidden="1"/>
    </xf>
    <xf numFmtId="0" fontId="7" fillId="8" borderId="5" xfId="17" applyFont="1" applyFill="1" applyBorder="1" applyAlignment="1" applyProtection="1">
      <alignment horizontal="center"/>
      <protection hidden="1"/>
    </xf>
    <xf numFmtId="9" fontId="7" fillId="17" borderId="1" xfId="2" applyFont="1" applyFill="1" applyBorder="1" applyAlignment="1" applyProtection="1">
      <alignment horizontal="center" vertical="center"/>
      <protection hidden="1"/>
    </xf>
    <xf numFmtId="0" fontId="7" fillId="8" borderId="1" xfId="0" applyFont="1" applyFill="1" applyBorder="1" applyAlignment="1" applyProtection="1">
      <alignment horizontal="center" vertical="center"/>
      <protection hidden="1"/>
    </xf>
    <xf numFmtId="3" fontId="9" fillId="8" borderId="1" xfId="0" applyNumberFormat="1" applyFont="1" applyFill="1" applyBorder="1" applyAlignment="1" applyProtection="1">
      <alignment horizontal="center" vertical="center"/>
      <protection hidden="1"/>
    </xf>
    <xf numFmtId="10" fontId="9" fillId="8" borderId="1" xfId="0" applyNumberFormat="1" applyFont="1" applyFill="1" applyBorder="1" applyAlignment="1" applyProtection="1">
      <alignment horizontal="center" vertical="center"/>
      <protection hidden="1"/>
    </xf>
    <xf numFmtId="187" fontId="7" fillId="2" borderId="1" xfId="0" applyNumberFormat="1" applyFont="1" applyFill="1" applyBorder="1" applyAlignment="1" applyProtection="1">
      <alignment horizontal="center" vertical="center"/>
      <protection hidden="1"/>
    </xf>
    <xf numFmtId="10" fontId="7" fillId="2" borderId="1" xfId="0" applyNumberFormat="1" applyFont="1" applyFill="1" applyBorder="1" applyAlignment="1" applyProtection="1">
      <alignment horizontal="center" vertical="center"/>
      <protection hidden="1"/>
    </xf>
    <xf numFmtId="0" fontId="7" fillId="11" borderId="1" xfId="0" applyFont="1" applyFill="1" applyBorder="1" applyAlignment="1" applyProtection="1">
      <alignment horizontal="left" vertical="center" indent="1"/>
      <protection hidden="1"/>
    </xf>
    <xf numFmtId="0" fontId="9" fillId="2" borderId="1" xfId="0" applyFont="1" applyFill="1" applyBorder="1" applyAlignment="1" applyProtection="1">
      <alignment horizontal="left" vertical="center" indent="1"/>
      <protection hidden="1"/>
    </xf>
    <xf numFmtId="0" fontId="7" fillId="17" borderId="1" xfId="0" applyFont="1" applyFill="1" applyBorder="1" applyAlignment="1" applyProtection="1">
      <alignment horizontal="left" vertical="center" indent="1"/>
      <protection hidden="1"/>
    </xf>
    <xf numFmtId="0" fontId="9" fillId="11" borderId="1" xfId="0" applyFont="1" applyFill="1" applyBorder="1" applyAlignment="1" applyProtection="1">
      <alignment horizontal="left" vertical="center" indent="1"/>
      <protection hidden="1"/>
    </xf>
    <xf numFmtId="0" fontId="7" fillId="12" borderId="1" xfId="0" applyFont="1" applyFill="1" applyBorder="1" applyAlignment="1" applyProtection="1">
      <alignment horizontal="left" vertical="center" indent="1"/>
      <protection hidden="1"/>
    </xf>
    <xf numFmtId="0" fontId="7" fillId="8" borderId="1" xfId="0" applyFont="1" applyFill="1" applyBorder="1" applyAlignment="1" applyProtection="1">
      <alignment horizontal="left" vertical="center" indent="1"/>
      <protection hidden="1"/>
    </xf>
    <xf numFmtId="0" fontId="18" fillId="2" borderId="0" xfId="0" applyFont="1" applyFill="1" applyAlignment="1" applyProtection="1">
      <alignment horizontal="center"/>
      <protection hidden="1"/>
    </xf>
    <xf numFmtId="0" fontId="7" fillId="2" borderId="0" xfId="19" applyFont="1" applyFill="1" applyProtection="1">
      <protection hidden="1"/>
    </xf>
    <xf numFmtId="0" fontId="7" fillId="2" borderId="1" xfId="19" applyFont="1" applyFill="1" applyBorder="1" applyProtection="1">
      <protection hidden="1"/>
    </xf>
    <xf numFmtId="3" fontId="7" fillId="2" borderId="1" xfId="19" applyNumberFormat="1" applyFont="1" applyFill="1" applyBorder="1" applyAlignment="1" applyProtection="1">
      <alignment horizontal="center"/>
      <protection hidden="1"/>
    </xf>
    <xf numFmtId="0" fontId="9" fillId="2" borderId="1" xfId="19" applyFont="1" applyFill="1" applyBorder="1" applyProtection="1">
      <protection hidden="1"/>
    </xf>
    <xf numFmtId="3" fontId="9" fillId="2" borderId="1" xfId="19" applyNumberFormat="1" applyFont="1" applyFill="1" applyBorder="1" applyAlignment="1" applyProtection="1">
      <alignment horizontal="center"/>
      <protection hidden="1"/>
    </xf>
    <xf numFmtId="1" fontId="7" fillId="2" borderId="1" xfId="19" applyNumberFormat="1" applyFont="1" applyFill="1" applyBorder="1" applyAlignment="1" applyProtection="1">
      <alignment horizontal="center"/>
      <protection hidden="1"/>
    </xf>
    <xf numFmtId="10" fontId="7" fillId="2" borderId="1" xfId="19" applyNumberFormat="1" applyFont="1" applyFill="1" applyBorder="1" applyAlignment="1" applyProtection="1">
      <alignment horizontal="center"/>
      <protection hidden="1"/>
    </xf>
    <xf numFmtId="0" fontId="9" fillId="2" borderId="1" xfId="3" applyFont="1" applyFill="1" applyBorder="1" applyAlignment="1" applyProtection="1">
      <alignment horizontal="left" vertical="center"/>
      <protection hidden="1"/>
    </xf>
    <xf numFmtId="173" fontId="7" fillId="2" borderId="1" xfId="19" applyNumberFormat="1" applyFont="1" applyFill="1" applyBorder="1" applyAlignment="1" applyProtection="1">
      <alignment horizontal="center"/>
      <protection hidden="1"/>
    </xf>
    <xf numFmtId="0" fontId="7" fillId="11" borderId="1" xfId="19" applyFont="1" applyFill="1" applyBorder="1" applyProtection="1">
      <protection hidden="1"/>
    </xf>
    <xf numFmtId="3" fontId="7" fillId="11" borderId="1" xfId="19" applyNumberFormat="1" applyFont="1" applyFill="1" applyBorder="1" applyAlignment="1" applyProtection="1">
      <alignment horizontal="center"/>
      <protection hidden="1"/>
    </xf>
    <xf numFmtId="0" fontId="7" fillId="11" borderId="1" xfId="19" applyFont="1" applyFill="1" applyBorder="1" applyAlignment="1" applyProtection="1">
      <alignment horizontal="center"/>
      <protection hidden="1"/>
    </xf>
    <xf numFmtId="1" fontId="9" fillId="8" borderId="1" xfId="19" applyNumberFormat="1" applyFont="1" applyFill="1" applyBorder="1" applyAlignment="1" applyProtection="1">
      <alignment horizontal="center"/>
      <protection hidden="1"/>
    </xf>
    <xf numFmtId="4" fontId="7" fillId="2" borderId="1" xfId="19" applyNumberFormat="1" applyFont="1" applyFill="1" applyBorder="1" applyAlignment="1" applyProtection="1">
      <alignment horizontal="center"/>
      <protection hidden="1"/>
    </xf>
    <xf numFmtId="183" fontId="18" fillId="2" borderId="0" xfId="0" applyNumberFormat="1" applyFont="1" applyFill="1" applyBorder="1" applyProtection="1">
      <protection hidden="1"/>
    </xf>
    <xf numFmtId="173" fontId="18" fillId="2" borderId="0" xfId="0" applyNumberFormat="1" applyFont="1" applyFill="1" applyBorder="1" applyAlignment="1" applyProtection="1">
      <alignment horizontal="centerContinuous"/>
    </xf>
    <xf numFmtId="182" fontId="14" fillId="12" borderId="0" xfId="0" applyNumberFormat="1" applyFont="1" applyFill="1" applyBorder="1" applyAlignment="1" applyProtection="1">
      <alignment horizontal="centerContinuous"/>
    </xf>
    <xf numFmtId="186" fontId="18" fillId="12" borderId="0" xfId="0" applyNumberFormat="1" applyFont="1" applyFill="1" applyBorder="1" applyProtection="1">
      <protection hidden="1"/>
    </xf>
    <xf numFmtId="186" fontId="14" fillId="12" borderId="0" xfId="0" applyNumberFormat="1" applyFont="1" applyFill="1" applyBorder="1" applyAlignment="1" applyProtection="1">
      <alignment horizontal="center"/>
    </xf>
    <xf numFmtId="186" fontId="18" fillId="12" borderId="0" xfId="0" applyNumberFormat="1" applyFont="1" applyFill="1" applyBorder="1" applyAlignment="1" applyProtection="1">
      <alignment horizontal="centerContinuous"/>
    </xf>
    <xf numFmtId="184" fontId="14" fillId="12" borderId="0" xfId="0" applyNumberFormat="1" applyFont="1" applyFill="1" applyBorder="1" applyAlignment="1" applyProtection="1">
      <alignment horizontal="centerContinuous"/>
    </xf>
    <xf numFmtId="184" fontId="18" fillId="12" borderId="0" xfId="0" applyNumberFormat="1" applyFont="1" applyFill="1" applyBorder="1" applyAlignment="1" applyProtection="1">
      <alignment horizontal="centerContinuous"/>
    </xf>
    <xf numFmtId="184" fontId="18" fillId="12" borderId="0" xfId="0" applyNumberFormat="1" applyFont="1" applyFill="1" applyBorder="1" applyAlignment="1" applyProtection="1"/>
    <xf numFmtId="0" fontId="14" fillId="12" borderId="0" xfId="0" applyFont="1" applyFill="1" applyBorder="1" applyProtection="1">
      <protection hidden="1"/>
    </xf>
    <xf numFmtId="167" fontId="14" fillId="12" borderId="0" xfId="0" applyNumberFormat="1" applyFont="1" applyFill="1" applyBorder="1" applyAlignment="1" applyProtection="1">
      <alignment horizontal="center"/>
    </xf>
    <xf numFmtId="0" fontId="14" fillId="2" borderId="0" xfId="0" applyFont="1" applyFill="1" applyBorder="1" applyAlignment="1" applyProtection="1">
      <alignment horizontal="center" vertical="center"/>
      <protection hidden="1"/>
    </xf>
    <xf numFmtId="0" fontId="14" fillId="2" borderId="0" xfId="0" applyFont="1" applyFill="1" applyBorder="1" applyProtection="1">
      <protection hidden="1"/>
    </xf>
    <xf numFmtId="184" fontId="14" fillId="2" borderId="0" xfId="0" applyNumberFormat="1" applyFont="1" applyFill="1" applyBorder="1" applyAlignment="1" applyProtection="1">
      <alignment horizontal="center" vertical="center"/>
      <protection hidden="1"/>
    </xf>
    <xf numFmtId="0" fontId="14" fillId="2" borderId="0" xfId="0" applyFont="1" applyFill="1" applyBorder="1" applyAlignment="1" applyProtection="1">
      <alignment horizontal="center"/>
      <protection hidden="1"/>
    </xf>
    <xf numFmtId="182" fontId="14" fillId="2" borderId="0" xfId="0" applyNumberFormat="1" applyFont="1" applyFill="1" applyBorder="1" applyAlignment="1" applyProtection="1">
      <alignment horizontal="centerContinuous"/>
    </xf>
    <xf numFmtId="0" fontId="18" fillId="2" borderId="1" xfId="17" applyFont="1" applyFill="1" applyBorder="1" applyAlignment="1" applyProtection="1">
      <protection hidden="1"/>
    </xf>
    <xf numFmtId="3" fontId="18" fillId="2" borderId="1" xfId="17" applyNumberFormat="1" applyFont="1" applyFill="1" applyBorder="1" applyAlignment="1" applyProtection="1">
      <alignment horizontal="center"/>
      <protection hidden="1"/>
    </xf>
    <xf numFmtId="182" fontId="14" fillId="2" borderId="1" xfId="0" applyNumberFormat="1" applyFont="1" applyFill="1" applyBorder="1" applyAlignment="1" applyProtection="1">
      <alignment horizontal="center"/>
      <protection hidden="1"/>
    </xf>
    <xf numFmtId="0" fontId="18" fillId="8" borderId="1" xfId="0" applyFont="1" applyFill="1" applyBorder="1" applyProtection="1">
      <protection hidden="1"/>
    </xf>
    <xf numFmtId="3" fontId="18" fillId="8" borderId="1" xfId="17" applyNumberFormat="1" applyFont="1" applyFill="1" applyBorder="1" applyAlignment="1" applyProtection="1">
      <alignment horizontal="center"/>
      <protection hidden="1"/>
    </xf>
    <xf numFmtId="182" fontId="14" fillId="8" borderId="1" xfId="0" applyNumberFormat="1" applyFont="1" applyFill="1" applyBorder="1" applyAlignment="1" applyProtection="1">
      <alignment horizontal="center"/>
      <protection hidden="1"/>
    </xf>
    <xf numFmtId="1" fontId="14" fillId="8" borderId="1" xfId="18" applyNumberFormat="1" applyFont="1" applyFill="1" applyBorder="1" applyAlignment="1" applyProtection="1">
      <alignment horizontal="center" wrapText="1"/>
      <protection hidden="1"/>
    </xf>
    <xf numFmtId="0" fontId="8" fillId="4" borderId="1" xfId="13" applyFont="1" applyFill="1" applyBorder="1" applyAlignment="1" applyProtection="1">
      <alignment horizontal="center"/>
      <protection locked="0"/>
    </xf>
    <xf numFmtId="0" fontId="10" fillId="4" borderId="1" xfId="13" applyFont="1" applyFill="1" applyBorder="1" applyAlignment="1" applyProtection="1">
      <alignment horizontal="center"/>
      <protection locked="0"/>
    </xf>
    <xf numFmtId="9" fontId="10" fillId="4" borderId="1" xfId="15" applyFont="1" applyFill="1" applyBorder="1" applyAlignment="1" applyProtection="1">
      <alignment horizontal="center"/>
      <protection locked="0"/>
    </xf>
    <xf numFmtId="9" fontId="18" fillId="0" borderId="1" xfId="15" applyFont="1" applyFill="1" applyBorder="1" applyAlignment="1" applyProtection="1">
      <alignment horizontal="center"/>
      <protection hidden="1"/>
    </xf>
    <xf numFmtId="9" fontId="18" fillId="2" borderId="1" xfId="15" applyFont="1" applyFill="1" applyBorder="1" applyProtection="1">
      <protection hidden="1"/>
    </xf>
    <xf numFmtId="1" fontId="18" fillId="2" borderId="1" xfId="13" applyNumberFormat="1" applyFont="1" applyFill="1" applyBorder="1" applyProtection="1">
      <protection hidden="1"/>
    </xf>
    <xf numFmtId="0" fontId="8" fillId="2" borderId="0" xfId="0" applyFont="1" applyFill="1" applyBorder="1" applyAlignment="1" applyProtection="1">
      <alignment vertical="center"/>
      <protection hidden="1"/>
    </xf>
    <xf numFmtId="0" fontId="8" fillId="2" borderId="0" xfId="0" applyFont="1" applyFill="1" applyBorder="1" applyAlignment="1">
      <alignment vertical="center"/>
    </xf>
    <xf numFmtId="183" fontId="8" fillId="2" borderId="0" xfId="0" applyNumberFormat="1" applyFont="1" applyFill="1" applyBorder="1" applyAlignment="1" applyProtection="1">
      <alignment vertical="center"/>
      <protection hidden="1"/>
    </xf>
    <xf numFmtId="177" fontId="9" fillId="2" borderId="0" xfId="0" applyNumberFormat="1" applyFont="1" applyFill="1" applyBorder="1" applyAlignment="1">
      <alignment horizontal="center" vertical="center"/>
    </xf>
    <xf numFmtId="1" fontId="9" fillId="2" borderId="0" xfId="0" applyNumberFormat="1" applyFont="1" applyFill="1" applyBorder="1" applyAlignment="1">
      <alignment horizontal="center" vertical="center"/>
    </xf>
    <xf numFmtId="177" fontId="9" fillId="2" borderId="0" xfId="0" applyNumberFormat="1" applyFont="1" applyFill="1" applyBorder="1" applyAlignment="1">
      <alignment vertical="center"/>
    </xf>
    <xf numFmtId="1" fontId="9" fillId="2" borderId="0" xfId="0" applyNumberFormat="1" applyFont="1" applyFill="1" applyBorder="1" applyAlignment="1">
      <alignment horizontal="centerContinuous" vertical="center"/>
    </xf>
    <xf numFmtId="182" fontId="9" fillId="2" borderId="0" xfId="0" applyNumberFormat="1" applyFont="1" applyFill="1" applyBorder="1" applyAlignment="1">
      <alignment horizontal="centerContinuous" vertical="center"/>
    </xf>
    <xf numFmtId="1" fontId="9" fillId="2" borderId="0" xfId="0" applyNumberFormat="1" applyFont="1" applyFill="1" applyBorder="1" applyAlignment="1">
      <alignment vertical="center"/>
    </xf>
    <xf numFmtId="183" fontId="9" fillId="2" borderId="0" xfId="0" applyNumberFormat="1" applyFont="1" applyFill="1" applyBorder="1" applyAlignment="1">
      <alignment horizontal="center" vertical="center"/>
    </xf>
    <xf numFmtId="0" fontId="9" fillId="2" borderId="0" xfId="0" applyFont="1" applyFill="1" applyBorder="1" applyAlignment="1">
      <alignment vertical="center"/>
    </xf>
    <xf numFmtId="183" fontId="9" fillId="2" borderId="0" xfId="0" applyNumberFormat="1" applyFont="1" applyFill="1" applyBorder="1" applyAlignment="1">
      <alignment vertical="center"/>
    </xf>
    <xf numFmtId="173" fontId="7" fillId="2" borderId="0" xfId="0" applyNumberFormat="1" applyFont="1" applyFill="1" applyBorder="1" applyAlignment="1" applyProtection="1">
      <alignment horizontal="centerContinuous" vertical="center"/>
    </xf>
    <xf numFmtId="0" fontId="7" fillId="12" borderId="0" xfId="0" applyFont="1" applyFill="1" applyBorder="1" applyAlignment="1">
      <alignment vertical="center"/>
    </xf>
    <xf numFmtId="0" fontId="9" fillId="12" borderId="0" xfId="0" applyFont="1" applyFill="1" applyBorder="1" applyAlignment="1">
      <alignment horizontal="centerContinuous" vertical="center"/>
    </xf>
    <xf numFmtId="0" fontId="7" fillId="12" borderId="0" xfId="0" applyFont="1" applyFill="1" applyBorder="1" applyAlignment="1">
      <alignment horizontal="centerContinuous" vertical="center"/>
    </xf>
    <xf numFmtId="182" fontId="9" fillId="12" borderId="0" xfId="0" applyNumberFormat="1" applyFont="1" applyFill="1" applyBorder="1" applyAlignment="1" applyProtection="1">
      <alignment horizontal="centerContinuous" vertical="center"/>
    </xf>
    <xf numFmtId="0" fontId="9" fillId="12" borderId="0" xfId="0" applyFont="1" applyFill="1" applyBorder="1" applyAlignment="1">
      <alignment vertical="center"/>
    </xf>
    <xf numFmtId="186" fontId="7" fillId="12" borderId="0" xfId="0" applyNumberFormat="1" applyFont="1" applyFill="1" applyBorder="1" applyAlignment="1" applyProtection="1">
      <alignment horizontal="centerContinuous" vertical="center"/>
    </xf>
    <xf numFmtId="184" fontId="9" fillId="12" borderId="0" xfId="0" applyNumberFormat="1" applyFont="1" applyFill="1" applyBorder="1" applyAlignment="1" applyProtection="1">
      <alignment horizontal="centerContinuous" vertical="center"/>
    </xf>
    <xf numFmtId="184" fontId="7" fillId="12" borderId="0" xfId="0" applyNumberFormat="1" applyFont="1" applyFill="1" applyBorder="1" applyAlignment="1" applyProtection="1">
      <alignment horizontal="centerContinuous" vertical="center"/>
    </xf>
    <xf numFmtId="184" fontId="7" fillId="12" borderId="0" xfId="0" applyNumberFormat="1" applyFont="1" applyFill="1" applyBorder="1" applyAlignment="1" applyProtection="1">
      <alignment vertical="center"/>
    </xf>
    <xf numFmtId="0" fontId="7" fillId="12" borderId="0" xfId="0" applyFont="1" applyFill="1" applyAlignment="1">
      <alignment vertical="center"/>
    </xf>
    <xf numFmtId="184" fontId="7" fillId="12" borderId="0" xfId="0" applyNumberFormat="1" applyFont="1" applyFill="1" applyBorder="1" applyAlignment="1">
      <alignment horizontal="centerContinuous" vertical="center"/>
    </xf>
    <xf numFmtId="184" fontId="7" fillId="12" borderId="0" xfId="0" applyNumberFormat="1" applyFont="1" applyFill="1" applyBorder="1" applyAlignment="1">
      <alignment vertical="center"/>
    </xf>
    <xf numFmtId="167" fontId="9" fillId="12" borderId="0" xfId="0" applyNumberFormat="1" applyFont="1" applyFill="1" applyBorder="1" applyAlignment="1" applyProtection="1">
      <alignment horizontal="center" vertical="center"/>
    </xf>
    <xf numFmtId="167" fontId="9" fillId="12" borderId="0" xfId="0" applyNumberFormat="1" applyFont="1" applyFill="1" applyBorder="1" applyAlignment="1">
      <alignment horizontal="centerContinuous" vertical="center"/>
    </xf>
    <xf numFmtId="167" fontId="9" fillId="12" borderId="0" xfId="0" applyNumberFormat="1" applyFont="1" applyFill="1" applyBorder="1" applyAlignment="1">
      <alignment vertical="center"/>
    </xf>
    <xf numFmtId="0" fontId="7" fillId="2" borderId="0" xfId="0" applyFont="1" applyFill="1" applyAlignment="1" applyProtection="1">
      <alignment horizontal="center" vertical="center"/>
      <protection hidden="1"/>
    </xf>
    <xf numFmtId="0" fontId="7" fillId="2" borderId="1" xfId="3" applyFont="1" applyFill="1" applyBorder="1" applyAlignment="1" applyProtection="1">
      <alignment horizontal="left" vertical="center" indent="1"/>
      <protection hidden="1"/>
    </xf>
    <xf numFmtId="4" fontId="14" fillId="8" borderId="1" xfId="18" applyNumberFormat="1" applyFont="1" applyFill="1" applyBorder="1" applyAlignment="1" applyProtection="1">
      <alignment horizontal="center" vertical="center"/>
      <protection hidden="1"/>
    </xf>
    <xf numFmtId="4" fontId="18" fillId="2" borderId="3" xfId="18" applyNumberFormat="1" applyFont="1" applyFill="1" applyBorder="1" applyAlignment="1" applyProtection="1">
      <alignment horizontal="left" vertical="center"/>
      <protection hidden="1"/>
    </xf>
    <xf numFmtId="4" fontId="8" fillId="4" borderId="1" xfId="14" applyNumberFormat="1" applyFont="1" applyFill="1" applyBorder="1" applyAlignment="1" applyProtection="1">
      <alignment horizontal="center"/>
      <protection locked="0"/>
    </xf>
    <xf numFmtId="4" fontId="10" fillId="4" borderId="1" xfId="14" applyNumberFormat="1" applyFont="1" applyFill="1" applyBorder="1" applyAlignment="1" applyProtection="1">
      <alignment horizontal="center"/>
      <protection locked="0"/>
    </xf>
    <xf numFmtId="4" fontId="10" fillId="4" borderId="1" xfId="16" applyNumberFormat="1" applyFont="1" applyFill="1" applyBorder="1" applyAlignment="1" applyProtection="1">
      <alignment horizontal="center"/>
      <protection locked="0"/>
    </xf>
    <xf numFmtId="4" fontId="18" fillId="0" borderId="1" xfId="14" applyNumberFormat="1" applyFont="1" applyFill="1" applyBorder="1" applyAlignment="1" applyProtection="1">
      <alignment horizontal="center"/>
      <protection hidden="1"/>
    </xf>
    <xf numFmtId="3" fontId="18" fillId="2" borderId="1" xfId="13" applyNumberFormat="1" applyFont="1" applyFill="1" applyBorder="1" applyAlignment="1" applyProtection="1">
      <alignment horizontal="right"/>
      <protection hidden="1"/>
    </xf>
    <xf numFmtId="0" fontId="9" fillId="8" borderId="1" xfId="3" applyFont="1" applyFill="1" applyBorder="1" applyAlignment="1" applyProtection="1">
      <alignment horizontal="center" vertical="center"/>
      <protection hidden="1"/>
    </xf>
    <xf numFmtId="0" fontId="9" fillId="2" borderId="0" xfId="3" applyFont="1" applyFill="1" applyBorder="1" applyAlignment="1" applyProtection="1">
      <alignment horizontal="center" vertical="center"/>
      <protection hidden="1"/>
    </xf>
    <xf numFmtId="0" fontId="0" fillId="2" borderId="0" xfId="0" applyFont="1" applyFill="1" applyBorder="1" applyAlignment="1" applyProtection="1">
      <alignment horizontal="center"/>
      <protection hidden="1"/>
    </xf>
    <xf numFmtId="0" fontId="9" fillId="2" borderId="0" xfId="0" applyFont="1" applyFill="1" applyBorder="1" applyAlignment="1" applyProtection="1">
      <alignment horizontal="center"/>
      <protection hidden="1"/>
    </xf>
    <xf numFmtId="0" fontId="7" fillId="2" borderId="0" xfId="0" applyFont="1" applyFill="1" applyAlignment="1" applyProtection="1">
      <alignment horizontal="center"/>
      <protection hidden="1"/>
    </xf>
    <xf numFmtId="173" fontId="0" fillId="2" borderId="0" xfId="0" applyNumberFormat="1" applyFont="1" applyFill="1" applyBorder="1" applyAlignment="1" applyProtection="1">
      <alignment horizontal="center"/>
      <protection hidden="1"/>
    </xf>
    <xf numFmtId="0" fontId="7" fillId="2" borderId="0" xfId="0" applyFont="1" applyFill="1" applyBorder="1" applyAlignment="1" applyProtection="1">
      <alignment horizontal="center"/>
      <protection hidden="1"/>
    </xf>
    <xf numFmtId="0" fontId="0" fillId="8" borderId="0" xfId="0" applyFill="1"/>
    <xf numFmtId="0" fontId="9" fillId="2" borderId="0" xfId="3" applyFont="1" applyFill="1" applyBorder="1" applyAlignment="1" applyProtection="1">
      <alignment horizontal="center" vertical="center"/>
      <protection hidden="1"/>
    </xf>
    <xf numFmtId="9" fontId="10" fillId="4" borderId="1" xfId="2" applyFont="1" applyFill="1" applyBorder="1" applyAlignment="1" applyProtection="1">
      <alignment horizontal="center"/>
      <protection locked="0"/>
    </xf>
    <xf numFmtId="0" fontId="17" fillId="2" borderId="0" xfId="0" applyFont="1" applyFill="1" applyProtection="1">
      <protection hidden="1"/>
    </xf>
    <xf numFmtId="0" fontId="17" fillId="2" borderId="1" xfId="0" applyFont="1" applyFill="1" applyBorder="1" applyProtection="1">
      <protection hidden="1"/>
    </xf>
    <xf numFmtId="176" fontId="26" fillId="2" borderId="0" xfId="0" applyNumberFormat="1" applyFont="1" applyFill="1" applyBorder="1" applyAlignment="1" applyProtection="1">
      <alignment horizontal="center"/>
      <protection hidden="1"/>
    </xf>
    <xf numFmtId="0" fontId="25" fillId="2" borderId="0" xfId="0" applyFont="1" applyFill="1" applyBorder="1" applyAlignment="1" applyProtection="1">
      <protection hidden="1"/>
    </xf>
    <xf numFmtId="176" fontId="27" fillId="2" borderId="0" xfId="0" applyNumberFormat="1" applyFont="1" applyFill="1" applyBorder="1" applyAlignment="1" applyProtection="1">
      <alignment horizontal="center"/>
      <protection hidden="1"/>
    </xf>
    <xf numFmtId="0" fontId="23" fillId="2" borderId="0" xfId="0" applyFont="1" applyFill="1" applyBorder="1" applyAlignment="1" applyProtection="1">
      <protection hidden="1"/>
    </xf>
    <xf numFmtId="0" fontId="17" fillId="2" borderId="0" xfId="0" applyFont="1" applyFill="1" applyBorder="1" applyAlignment="1" applyProtection="1">
      <protection hidden="1"/>
    </xf>
    <xf numFmtId="4" fontId="18" fillId="2" borderId="1" xfId="14" applyNumberFormat="1" applyFont="1" applyFill="1" applyBorder="1" applyProtection="1">
      <protection hidden="1"/>
    </xf>
    <xf numFmtId="4" fontId="18" fillId="2" borderId="1" xfId="16" applyNumberFormat="1" applyFont="1" applyFill="1" applyBorder="1" applyProtection="1">
      <protection hidden="1"/>
    </xf>
    <xf numFmtId="4" fontId="18" fillId="2" borderId="1" xfId="13" applyNumberFormat="1" applyFont="1" applyFill="1" applyBorder="1" applyProtection="1">
      <protection hidden="1"/>
    </xf>
    <xf numFmtId="4" fontId="14" fillId="2" borderId="1" xfId="14" applyNumberFormat="1" applyFont="1" applyFill="1" applyBorder="1" applyProtection="1">
      <protection hidden="1"/>
    </xf>
    <xf numFmtId="9" fontId="18" fillId="2" borderId="1" xfId="2" applyFont="1" applyFill="1" applyBorder="1" applyProtection="1">
      <protection hidden="1"/>
    </xf>
    <xf numFmtId="0" fontId="18" fillId="2" borderId="0" xfId="3" applyFont="1" applyFill="1" applyBorder="1" applyAlignment="1" applyProtection="1">
      <alignment horizontal="right" vertical="center"/>
    </xf>
    <xf numFmtId="0" fontId="0" fillId="2" borderId="0" xfId="0" applyFill="1" applyProtection="1"/>
    <xf numFmtId="0" fontId="31" fillId="2" borderId="0" xfId="0" applyFont="1" applyFill="1" applyProtection="1"/>
    <xf numFmtId="0" fontId="2" fillId="2" borderId="0" xfId="0" applyFont="1" applyFill="1" applyProtection="1"/>
    <xf numFmtId="0" fontId="18" fillId="2" borderId="0" xfId="3" applyFont="1" applyFill="1" applyBorder="1" applyAlignment="1" applyProtection="1">
      <alignment horizontal="left" vertical="center" indent="1"/>
    </xf>
    <xf numFmtId="0" fontId="2" fillId="2" borderId="0" xfId="0" applyFont="1" applyFill="1" applyBorder="1" applyProtection="1"/>
    <xf numFmtId="0" fontId="0" fillId="2" borderId="0" xfId="0" applyFill="1" applyBorder="1" applyProtection="1"/>
    <xf numFmtId="0" fontId="14" fillId="8" borderId="3" xfId="0" applyFont="1" applyFill="1" applyBorder="1" applyAlignment="1" applyProtection="1">
      <alignment horizontal="right" vertical="center" indent="1"/>
    </xf>
    <xf numFmtId="1" fontId="43" fillId="2" borderId="4" xfId="3" applyNumberFormat="1" applyFont="1" applyFill="1" applyBorder="1" applyAlignment="1" applyProtection="1">
      <alignment vertical="center" wrapText="1"/>
    </xf>
    <xf numFmtId="1" fontId="43" fillId="2" borderId="5" xfId="3" applyNumberFormat="1" applyFont="1" applyFill="1" applyBorder="1" applyAlignment="1" applyProtection="1">
      <alignment vertical="center" wrapText="1"/>
    </xf>
    <xf numFmtId="1" fontId="14" fillId="8" borderId="1" xfId="3" applyNumberFormat="1" applyFont="1" applyFill="1" applyBorder="1" applyAlignment="1" applyProtection="1">
      <alignment horizontal="center" vertical="center" wrapText="1"/>
    </xf>
    <xf numFmtId="4" fontId="18" fillId="2" borderId="1" xfId="3" applyNumberFormat="1" applyFont="1" applyFill="1" applyBorder="1" applyAlignment="1" applyProtection="1">
      <alignment horizontal="left" vertical="center" indent="1"/>
    </xf>
    <xf numFmtId="3" fontId="18" fillId="2" borderId="1" xfId="4" applyNumberFormat="1" applyFont="1" applyFill="1" applyBorder="1" applyAlignment="1" applyProtection="1">
      <alignment horizontal="left" vertical="center" indent="1"/>
    </xf>
    <xf numFmtId="167" fontId="18" fillId="2" borderId="1" xfId="3" applyNumberFormat="1" applyFont="1" applyFill="1" applyBorder="1" applyAlignment="1" applyProtection="1">
      <alignment horizontal="left" vertical="center" indent="1"/>
    </xf>
    <xf numFmtId="0" fontId="18" fillId="2" borderId="1" xfId="3" applyFont="1" applyFill="1" applyBorder="1" applyAlignment="1" applyProtection="1">
      <alignment horizontal="left" vertical="center" indent="1"/>
    </xf>
    <xf numFmtId="0" fontId="8" fillId="2" borderId="0" xfId="3" applyFont="1" applyFill="1" applyBorder="1" applyAlignment="1" applyProtection="1">
      <alignment vertical="center"/>
    </xf>
    <xf numFmtId="170" fontId="18" fillId="2" borderId="1" xfId="4" applyNumberFormat="1" applyFont="1" applyFill="1" applyBorder="1" applyAlignment="1" applyProtection="1">
      <alignment horizontal="left" vertical="center" indent="1"/>
    </xf>
    <xf numFmtId="10" fontId="18" fillId="2" borderId="0" xfId="6" applyNumberFormat="1" applyFont="1" applyFill="1" applyBorder="1" applyAlignment="1" applyProtection="1">
      <alignment horizontal="center" vertical="center"/>
    </xf>
    <xf numFmtId="171" fontId="10" fillId="2" borderId="0" xfId="4" applyNumberFormat="1" applyFont="1" applyFill="1" applyBorder="1" applyAlignment="1" applyProtection="1">
      <alignment horizontal="left" vertical="center" indent="2"/>
    </xf>
    <xf numFmtId="0" fontId="7" fillId="2" borderId="0" xfId="3" applyFont="1" applyFill="1" applyAlignment="1" applyProtection="1">
      <alignment vertical="center"/>
    </xf>
    <xf numFmtId="0" fontId="7" fillId="2" borderId="0" xfId="3" applyFont="1" applyFill="1" applyBorder="1" applyAlignment="1" applyProtection="1">
      <alignment vertical="center"/>
    </xf>
    <xf numFmtId="1" fontId="14" fillId="8" borderId="15" xfId="3" applyNumberFormat="1" applyFont="1" applyFill="1" applyBorder="1" applyAlignment="1" applyProtection="1">
      <alignment horizontal="center" vertical="center"/>
    </xf>
    <xf numFmtId="1" fontId="14" fillId="8" borderId="2" xfId="3" applyNumberFormat="1" applyFont="1" applyFill="1" applyBorder="1" applyAlignment="1" applyProtection="1">
      <alignment horizontal="center" vertical="center"/>
    </xf>
    <xf numFmtId="0" fontId="7" fillId="0" borderId="1" xfId="13" applyFont="1" applyBorder="1" applyAlignment="1" applyProtection="1">
      <alignment horizontal="left" indent="1"/>
    </xf>
    <xf numFmtId="0" fontId="7" fillId="2" borderId="0" xfId="13" applyFont="1" applyFill="1" applyBorder="1" applyProtection="1"/>
    <xf numFmtId="4" fontId="18" fillId="2" borderId="1" xfId="14" applyNumberFormat="1" applyFont="1" applyFill="1" applyBorder="1" applyAlignment="1" applyProtection="1">
      <alignment horizontal="center"/>
    </xf>
    <xf numFmtId="0" fontId="0" fillId="2" borderId="0" xfId="0" applyFill="1" applyProtection="1">
      <protection locked="0"/>
    </xf>
    <xf numFmtId="0" fontId="7" fillId="2" borderId="0" xfId="3" applyFont="1" applyFill="1" applyAlignment="1" applyProtection="1">
      <alignment vertical="center"/>
      <protection locked="0" hidden="1"/>
    </xf>
    <xf numFmtId="0" fontId="7" fillId="2" borderId="0" xfId="0" applyFont="1" applyFill="1" applyProtection="1">
      <protection locked="0"/>
    </xf>
    <xf numFmtId="0" fontId="0" fillId="2" borderId="0" xfId="0" applyFont="1" applyFill="1" applyProtection="1"/>
    <xf numFmtId="0" fontId="23" fillId="2" borderId="0" xfId="0" applyFont="1" applyFill="1" applyBorder="1" applyAlignment="1" applyProtection="1">
      <alignment horizontal="center"/>
    </xf>
    <xf numFmtId="167" fontId="5" fillId="2" borderId="0" xfId="0" applyNumberFormat="1" applyFont="1" applyFill="1" applyBorder="1" applyAlignment="1" applyProtection="1">
      <alignment vertical="center"/>
    </xf>
    <xf numFmtId="0" fontId="7" fillId="2" borderId="0" xfId="0" applyFont="1" applyFill="1" applyProtection="1"/>
    <xf numFmtId="173" fontId="23" fillId="2" borderId="0" xfId="2" applyNumberFormat="1" applyFont="1" applyFill="1" applyBorder="1" applyAlignment="1" applyProtection="1">
      <alignment horizontal="center"/>
    </xf>
    <xf numFmtId="173" fontId="23" fillId="2" borderId="0" xfId="0" applyNumberFormat="1" applyFont="1" applyFill="1" applyBorder="1" applyAlignment="1" applyProtection="1">
      <alignment horizontal="center"/>
    </xf>
    <xf numFmtId="17" fontId="23" fillId="2" borderId="0" xfId="0" applyNumberFormat="1" applyFont="1" applyFill="1" applyBorder="1" applyAlignment="1" applyProtection="1">
      <alignment horizontal="center"/>
    </xf>
    <xf numFmtId="9" fontId="23" fillId="2" borderId="0" xfId="2" applyFont="1" applyFill="1" applyBorder="1" applyAlignment="1" applyProtection="1">
      <alignment horizontal="center"/>
    </xf>
    <xf numFmtId="9" fontId="23" fillId="2" borderId="0" xfId="0" applyNumberFormat="1" applyFont="1" applyFill="1" applyBorder="1" applyAlignment="1" applyProtection="1">
      <alignment horizontal="center"/>
    </xf>
    <xf numFmtId="177" fontId="16" fillId="2" borderId="0" xfId="0" applyNumberFormat="1" applyFont="1" applyFill="1" applyBorder="1" applyAlignment="1" applyProtection="1">
      <alignment horizontal="center"/>
    </xf>
    <xf numFmtId="0" fontId="0" fillId="2" borderId="0" xfId="0" applyFont="1" applyFill="1" applyProtection="1">
      <protection locked="0" hidden="1"/>
    </xf>
    <xf numFmtId="0" fontId="9" fillId="8" borderId="1" xfId="3" applyFont="1" applyFill="1" applyBorder="1" applyAlignment="1" applyProtection="1">
      <alignment horizontal="center" vertical="center"/>
      <protection hidden="1"/>
    </xf>
    <xf numFmtId="1" fontId="14" fillId="8" borderId="1" xfId="3" applyNumberFormat="1" applyFont="1" applyFill="1" applyBorder="1" applyAlignment="1" applyProtection="1">
      <alignment horizontal="center" vertical="center" wrapText="1"/>
    </xf>
    <xf numFmtId="3" fontId="8" fillId="4" borderId="40" xfId="18" applyNumberFormat="1" applyFont="1" applyFill="1" applyBorder="1" applyAlignment="1" applyProtection="1">
      <alignment horizontal="center" vertical="center"/>
      <protection locked="0" hidden="1"/>
    </xf>
    <xf numFmtId="3" fontId="8" fillId="4" borderId="1" xfId="3" applyNumberFormat="1" applyFont="1" applyFill="1" applyBorder="1" applyAlignment="1" applyProtection="1">
      <alignment horizontal="center" vertical="center"/>
      <protection locked="0"/>
    </xf>
    <xf numFmtId="4" fontId="45" fillId="2" borderId="1" xfId="18" applyNumberFormat="1" applyFont="1" applyFill="1" applyBorder="1" applyAlignment="1" applyProtection="1">
      <alignment horizontal="center" vertical="center"/>
    </xf>
    <xf numFmtId="3" fontId="8" fillId="4" borderId="1" xfId="18" applyNumberFormat="1" applyFont="1" applyFill="1" applyBorder="1" applyAlignment="1" applyProtection="1">
      <alignment horizontal="center" vertical="center"/>
      <protection locked="0"/>
    </xf>
    <xf numFmtId="3" fontId="18" fillId="2" borderId="1" xfId="3" applyNumberFormat="1" applyFont="1" applyFill="1" applyBorder="1" applyAlignment="1" applyProtection="1">
      <alignment horizontal="center" vertical="center"/>
    </xf>
    <xf numFmtId="3" fontId="18" fillId="2" borderId="1" xfId="18" applyNumberFormat="1" applyFont="1" applyFill="1" applyBorder="1" applyAlignment="1" applyProtection="1">
      <alignment horizontal="center" vertical="center"/>
    </xf>
    <xf numFmtId="3" fontId="10" fillId="4" borderId="1" xfId="13" applyNumberFormat="1" applyFont="1" applyFill="1" applyBorder="1" applyAlignment="1" applyProtection="1">
      <alignment horizontal="center"/>
      <protection locked="0"/>
    </xf>
    <xf numFmtId="3" fontId="18" fillId="2" borderId="1" xfId="18" applyNumberFormat="1" applyFont="1" applyFill="1" applyBorder="1" applyAlignment="1" applyProtection="1">
      <alignment horizontal="left" vertical="center" indent="1"/>
      <protection hidden="1"/>
    </xf>
    <xf numFmtId="0" fontId="18" fillId="0" borderId="1" xfId="0" applyFont="1" applyFill="1" applyBorder="1" applyAlignment="1">
      <alignment vertical="center"/>
    </xf>
    <xf numFmtId="190" fontId="9" fillId="8" borderId="1" xfId="0" applyNumberFormat="1" applyFont="1" applyFill="1" applyBorder="1" applyAlignment="1" applyProtection="1">
      <alignment horizontal="center" vertical="center"/>
      <protection hidden="1"/>
    </xf>
    <xf numFmtId="0" fontId="41" fillId="2" borderId="0" xfId="0" applyFont="1" applyFill="1" applyAlignment="1" applyProtection="1"/>
    <xf numFmtId="4" fontId="45" fillId="2" borderId="1" xfId="18" applyNumberFormat="1" applyFont="1" applyFill="1" applyBorder="1" applyAlignment="1" applyProtection="1">
      <alignment horizontal="left" vertical="center" indent="1"/>
    </xf>
    <xf numFmtId="4" fontId="18" fillId="2" borderId="1" xfId="18" applyNumberFormat="1" applyFont="1" applyFill="1" applyBorder="1" applyAlignment="1" applyProtection="1">
      <alignment horizontal="left" vertical="center" indent="1"/>
    </xf>
    <xf numFmtId="10" fontId="10" fillId="4" borderId="1" xfId="2" applyNumberFormat="1" applyFont="1" applyFill="1" applyBorder="1" applyAlignment="1" applyProtection="1">
      <alignment horizontal="center"/>
      <protection locked="0"/>
    </xf>
    <xf numFmtId="10" fontId="10" fillId="4" borderId="1" xfId="13" applyNumberFormat="1" applyFont="1" applyFill="1" applyBorder="1" applyAlignment="1" applyProtection="1">
      <alignment horizontal="center"/>
      <protection locked="0"/>
    </xf>
    <xf numFmtId="0" fontId="7" fillId="8" borderId="1" xfId="13" applyFont="1" applyFill="1" applyBorder="1" applyAlignment="1" applyProtection="1">
      <alignment horizontal="left" indent="1"/>
      <protection hidden="1"/>
    </xf>
    <xf numFmtId="0" fontId="14" fillId="8" borderId="2" xfId="0" applyFont="1" applyFill="1" applyBorder="1" applyAlignment="1" applyProtection="1">
      <alignment horizontal="center" vertical="center"/>
      <protection hidden="1"/>
    </xf>
    <xf numFmtId="0" fontId="9" fillId="8" borderId="1" xfId="3" applyFont="1" applyFill="1" applyBorder="1" applyAlignment="1" applyProtection="1">
      <alignment horizontal="center" vertical="center"/>
      <protection hidden="1"/>
    </xf>
    <xf numFmtId="0" fontId="9" fillId="8" borderId="1" xfId="13" applyFont="1" applyFill="1" applyBorder="1" applyAlignment="1" applyProtection="1">
      <alignment horizontal="center"/>
      <protection hidden="1"/>
    </xf>
    <xf numFmtId="1" fontId="14" fillId="8" borderId="1" xfId="3" applyNumberFormat="1" applyFont="1" applyFill="1" applyBorder="1" applyAlignment="1" applyProtection="1">
      <alignment horizontal="center" vertical="center" wrapText="1"/>
    </xf>
    <xf numFmtId="0" fontId="9" fillId="8" borderId="1" xfId="11" applyFont="1" applyFill="1" applyBorder="1" applyAlignment="1" applyProtection="1">
      <alignment horizontal="center"/>
      <protection hidden="1"/>
    </xf>
    <xf numFmtId="0" fontId="9" fillId="8" borderId="1" xfId="3" applyFont="1" applyFill="1" applyBorder="1" applyAlignment="1" applyProtection="1">
      <alignment horizontal="center"/>
      <protection hidden="1"/>
    </xf>
    <xf numFmtId="0" fontId="9" fillId="8" borderId="1" xfId="0" applyFont="1" applyFill="1" applyBorder="1" applyAlignment="1" applyProtection="1">
      <alignment horizontal="center" vertical="center"/>
      <protection hidden="1"/>
    </xf>
    <xf numFmtId="1" fontId="14" fillId="11" borderId="1" xfId="0" applyNumberFormat="1" applyFont="1" applyFill="1" applyBorder="1" applyAlignment="1" applyProtection="1">
      <alignment horizontal="center" vertical="center"/>
      <protection hidden="1"/>
    </xf>
    <xf numFmtId="4" fontId="7" fillId="2" borderId="1" xfId="0" applyNumberFormat="1" applyFont="1" applyFill="1" applyBorder="1" applyAlignment="1" applyProtection="1">
      <alignment horizontal="center" vertical="center"/>
      <protection hidden="1"/>
    </xf>
    <xf numFmtId="173" fontId="8" fillId="4" borderId="1" xfId="13" applyNumberFormat="1" applyFont="1" applyFill="1" applyBorder="1" applyAlignment="1" applyProtection="1">
      <alignment horizontal="center"/>
      <protection locked="0"/>
    </xf>
    <xf numFmtId="173" fontId="10" fillId="4" borderId="1" xfId="2" applyNumberFormat="1" applyFont="1" applyFill="1" applyBorder="1" applyAlignment="1" applyProtection="1">
      <alignment horizontal="center"/>
      <protection locked="0"/>
    </xf>
    <xf numFmtId="173" fontId="10" fillId="4" borderId="1" xfId="13" applyNumberFormat="1" applyFont="1" applyFill="1" applyBorder="1" applyAlignment="1" applyProtection="1">
      <alignment horizontal="center"/>
      <protection locked="0"/>
    </xf>
    <xf numFmtId="177" fontId="18" fillId="2" borderId="1" xfId="13" applyNumberFormat="1" applyFont="1" applyFill="1" applyBorder="1" applyProtection="1">
      <protection hidden="1"/>
    </xf>
    <xf numFmtId="173" fontId="8" fillId="4" borderId="1" xfId="2" applyNumberFormat="1" applyFont="1" applyFill="1" applyBorder="1" applyAlignment="1" applyProtection="1">
      <alignment horizontal="center" vertical="center"/>
      <protection locked="0"/>
    </xf>
    <xf numFmtId="0" fontId="31" fillId="2" borderId="0" xfId="0" applyNumberFormat="1" applyFont="1" applyFill="1" applyProtection="1"/>
    <xf numFmtId="0" fontId="5" fillId="2" borderId="0" xfId="0" applyFont="1" applyFill="1" applyProtection="1"/>
    <xf numFmtId="0" fontId="31" fillId="2" borderId="0" xfId="0" applyFont="1" applyFill="1"/>
    <xf numFmtId="171" fontId="7" fillId="0" borderId="1" xfId="4" applyNumberFormat="1" applyFont="1" applyFill="1" applyBorder="1" applyAlignment="1" applyProtection="1">
      <alignment horizontal="center" vertical="center"/>
    </xf>
    <xf numFmtId="171" fontId="7" fillId="2" borderId="1" xfId="1" applyNumberFormat="1" applyFont="1" applyFill="1" applyBorder="1" applyAlignment="1" applyProtection="1">
      <alignment horizontal="left" vertical="center" indent="2"/>
    </xf>
    <xf numFmtId="9" fontId="18" fillId="2" borderId="1" xfId="2" applyFont="1" applyFill="1" applyBorder="1" applyAlignment="1" applyProtection="1">
      <alignment horizontal="center" vertical="center"/>
    </xf>
    <xf numFmtId="0" fontId="29" fillId="2" borderId="0" xfId="7" applyFont="1" applyFill="1" applyProtection="1"/>
    <xf numFmtId="0" fontId="29" fillId="2" borderId="0" xfId="7" applyFont="1" applyFill="1" applyAlignment="1" applyProtection="1">
      <alignment horizontal="center"/>
    </xf>
    <xf numFmtId="0" fontId="13" fillId="3" borderId="1" xfId="7" applyFont="1" applyFill="1" applyBorder="1" applyAlignment="1" applyProtection="1">
      <alignment horizontal="center"/>
    </xf>
    <xf numFmtId="0" fontId="29" fillId="8" borderId="1" xfId="7" applyFont="1" applyFill="1" applyBorder="1" applyAlignment="1" applyProtection="1">
      <alignment horizontal="center"/>
    </xf>
    <xf numFmtId="17" fontId="29" fillId="8" borderId="1" xfId="7" applyNumberFormat="1" applyFont="1" applyFill="1" applyBorder="1" applyAlignment="1" applyProtection="1">
      <alignment horizontal="center"/>
    </xf>
    <xf numFmtId="9" fontId="29" fillId="8" borderId="1" xfId="7" applyNumberFormat="1" applyFont="1" applyFill="1" applyBorder="1" applyAlignment="1" applyProtection="1">
      <alignment horizontal="center"/>
    </xf>
    <xf numFmtId="0" fontId="29" fillId="2" borderId="1" xfId="7" applyNumberFormat="1" applyFont="1" applyFill="1" applyBorder="1" applyAlignment="1" applyProtection="1">
      <alignment horizontal="center"/>
    </xf>
    <xf numFmtId="9" fontId="29" fillId="8" borderId="1" xfId="2" applyFont="1" applyFill="1" applyBorder="1" applyAlignment="1" applyProtection="1">
      <alignment horizontal="center"/>
    </xf>
    <xf numFmtId="177" fontId="29" fillId="8" borderId="1" xfId="7" applyNumberFormat="1" applyFont="1" applyFill="1" applyBorder="1" applyAlignment="1" applyProtection="1">
      <alignment horizontal="center"/>
    </xf>
    <xf numFmtId="3" fontId="29" fillId="8" borderId="1" xfId="7" applyNumberFormat="1" applyFont="1" applyFill="1" applyBorder="1" applyAlignment="1" applyProtection="1">
      <alignment horizontal="center"/>
    </xf>
    <xf numFmtId="10" fontId="29" fillId="8" borderId="1" xfId="7" applyNumberFormat="1" applyFont="1" applyFill="1" applyBorder="1" applyAlignment="1" applyProtection="1">
      <alignment horizontal="center"/>
    </xf>
    <xf numFmtId="0" fontId="29" fillId="2" borderId="0" xfId="8" applyFont="1" applyFill="1" applyAlignment="1" applyProtection="1">
      <alignment horizontal="center"/>
    </xf>
    <xf numFmtId="0" fontId="29" fillId="2" borderId="0" xfId="8" applyFont="1" applyFill="1" applyProtection="1"/>
    <xf numFmtId="0" fontId="29" fillId="2" borderId="0" xfId="8" applyFont="1" applyFill="1" applyBorder="1" applyAlignment="1" applyProtection="1">
      <alignment horizontal="left"/>
    </xf>
    <xf numFmtId="0" fontId="29" fillId="2" borderId="0" xfId="8" applyFont="1" applyFill="1" applyBorder="1" applyProtection="1"/>
    <xf numFmtId="0" fontId="29" fillId="2" borderId="0" xfId="8" applyFont="1" applyFill="1" applyBorder="1" applyAlignment="1" applyProtection="1">
      <alignment horizontal="center"/>
    </xf>
    <xf numFmtId="0" fontId="29" fillId="2" borderId="7" xfId="8" applyFont="1" applyFill="1" applyBorder="1" applyAlignment="1" applyProtection="1">
      <alignment horizontal="center"/>
    </xf>
    <xf numFmtId="0" fontId="29" fillId="2" borderId="7" xfId="8" applyFont="1" applyFill="1" applyBorder="1" applyProtection="1"/>
    <xf numFmtId="0" fontId="29" fillId="2" borderId="0" xfId="8" applyFont="1" applyFill="1" applyBorder="1" applyAlignment="1" applyProtection="1">
      <alignment horizontal="right"/>
    </xf>
    <xf numFmtId="0" fontId="29" fillId="2" borderId="12" xfId="8" applyFont="1" applyFill="1" applyBorder="1" applyProtection="1"/>
    <xf numFmtId="9" fontId="29" fillId="2" borderId="0" xfId="8" applyNumberFormat="1" applyFont="1" applyFill="1" applyProtection="1"/>
    <xf numFmtId="0" fontId="29" fillId="2" borderId="11" xfId="8" applyFont="1" applyFill="1" applyBorder="1" applyProtection="1"/>
    <xf numFmtId="0" fontId="29" fillId="2" borderId="12" xfId="8" applyFont="1" applyFill="1" applyBorder="1" applyAlignment="1" applyProtection="1">
      <alignment horizontal="center"/>
    </xf>
    <xf numFmtId="0" fontId="29" fillId="2" borderId="7" xfId="8" applyFont="1" applyFill="1" applyBorder="1" applyAlignment="1" applyProtection="1">
      <alignment horizontal="right"/>
    </xf>
    <xf numFmtId="0" fontId="29" fillId="2" borderId="14" xfId="8" applyFont="1" applyFill="1" applyBorder="1" applyProtection="1"/>
    <xf numFmtId="0" fontId="29" fillId="2" borderId="0" xfId="8" applyNumberFormat="1" applyFont="1" applyFill="1" applyProtection="1"/>
    <xf numFmtId="10" fontId="29" fillId="2" borderId="0" xfId="8" applyNumberFormat="1" applyFont="1" applyFill="1" applyProtection="1"/>
    <xf numFmtId="2" fontId="29" fillId="2" borderId="0" xfId="8" applyNumberFormat="1" applyFont="1" applyFill="1" applyBorder="1" applyAlignment="1" applyProtection="1">
      <alignment horizontal="center"/>
    </xf>
    <xf numFmtId="177" fontId="29" fillId="2" borderId="0" xfId="8" applyNumberFormat="1" applyFont="1" applyFill="1" applyBorder="1" applyAlignment="1" applyProtection="1">
      <alignment horizontal="center"/>
    </xf>
    <xf numFmtId="0" fontId="29" fillId="2" borderId="0" xfId="7" applyFont="1" applyFill="1" applyProtection="1">
      <protection locked="0"/>
    </xf>
    <xf numFmtId="0" fontId="7" fillId="0" borderId="0" xfId="13" applyFont="1" applyProtection="1"/>
    <xf numFmtId="0" fontId="7" fillId="0" borderId="44" xfId="13" applyFont="1" applyBorder="1" applyProtection="1"/>
    <xf numFmtId="0" fontId="7" fillId="0" borderId="45" xfId="13" applyFont="1" applyBorder="1" applyProtection="1"/>
    <xf numFmtId="0" fontId="7" fillId="0" borderId="0" xfId="13" applyFont="1" applyBorder="1" applyProtection="1"/>
    <xf numFmtId="0" fontId="7" fillId="0" borderId="46" xfId="13" applyFont="1" applyBorder="1" applyProtection="1"/>
    <xf numFmtId="0" fontId="7" fillId="2" borderId="0" xfId="13" applyFont="1" applyFill="1" applyBorder="1" applyAlignment="1" applyProtection="1">
      <alignment horizontal="left" indent="1"/>
    </xf>
    <xf numFmtId="0" fontId="7" fillId="2" borderId="36" xfId="13" applyFont="1" applyFill="1" applyBorder="1" applyProtection="1"/>
    <xf numFmtId="0" fontId="7" fillId="0" borderId="46" xfId="13" applyFont="1" applyBorder="1" applyAlignment="1" applyProtection="1">
      <alignment horizontal="center"/>
    </xf>
    <xf numFmtId="0" fontId="7" fillId="2" borderId="20" xfId="13" applyFont="1" applyFill="1" applyBorder="1" applyProtection="1"/>
    <xf numFmtId="0" fontId="18" fillId="2" borderId="1" xfId="13" applyFont="1" applyFill="1" applyBorder="1" applyProtection="1"/>
    <xf numFmtId="0" fontId="18" fillId="2" borderId="1" xfId="3" applyFont="1" applyFill="1" applyBorder="1" applyAlignment="1" applyProtection="1">
      <alignment horizontal="left" vertical="center"/>
    </xf>
    <xf numFmtId="9" fontId="18" fillId="2" borderId="1" xfId="2" applyFont="1" applyFill="1" applyBorder="1" applyProtection="1"/>
    <xf numFmtId="0" fontId="7" fillId="0" borderId="47" xfId="13" applyFont="1" applyBorder="1" applyProtection="1"/>
    <xf numFmtId="0" fontId="7" fillId="2" borderId="27" xfId="13" applyFont="1" applyFill="1" applyBorder="1" applyProtection="1"/>
    <xf numFmtId="0" fontId="7" fillId="2" borderId="28" xfId="13" applyFont="1" applyFill="1" applyBorder="1" applyProtection="1"/>
    <xf numFmtId="3" fontId="18" fillId="2" borderId="1" xfId="13" applyNumberFormat="1" applyFont="1" applyFill="1" applyBorder="1" applyAlignment="1" applyProtection="1">
      <alignment horizontal="right"/>
    </xf>
    <xf numFmtId="0" fontId="7" fillId="0" borderId="1" xfId="13" applyFont="1" applyBorder="1" applyAlignment="1" applyProtection="1">
      <alignment horizontal="left" indent="2"/>
    </xf>
    <xf numFmtId="9" fontId="18" fillId="2" borderId="1" xfId="15" applyFont="1" applyFill="1" applyBorder="1" applyProtection="1"/>
    <xf numFmtId="43" fontId="18" fillId="2" borderId="1" xfId="1" applyFont="1" applyFill="1" applyBorder="1" applyProtection="1"/>
    <xf numFmtId="0" fontId="7" fillId="2" borderId="20" xfId="13" applyFont="1" applyFill="1" applyBorder="1" applyAlignment="1" applyProtection="1">
      <alignment horizontal="left" indent="1"/>
    </xf>
    <xf numFmtId="0" fontId="7" fillId="0" borderId="0" xfId="13" applyFont="1" applyBorder="1" applyAlignment="1" applyProtection="1">
      <alignment horizontal="left" indent="1"/>
    </xf>
    <xf numFmtId="4" fontId="18" fillId="2" borderId="1" xfId="13" applyNumberFormat="1" applyFont="1" applyFill="1" applyBorder="1" applyProtection="1"/>
    <xf numFmtId="0" fontId="7" fillId="2" borderId="0" xfId="13" applyFont="1" applyFill="1" applyProtection="1"/>
    <xf numFmtId="4" fontId="18" fillId="2" borderId="1" xfId="16" applyNumberFormat="1" applyFont="1" applyFill="1" applyBorder="1" applyProtection="1"/>
    <xf numFmtId="4" fontId="18" fillId="2" borderId="1" xfId="14" applyNumberFormat="1" applyFont="1" applyFill="1" applyBorder="1" applyProtection="1"/>
    <xf numFmtId="0" fontId="8" fillId="2" borderId="0" xfId="13" applyFont="1" applyFill="1" applyBorder="1" applyAlignment="1" applyProtection="1">
      <alignment horizontal="left" indent="1"/>
    </xf>
    <xf numFmtId="0" fontId="7" fillId="2" borderId="29" xfId="13" applyFont="1" applyFill="1" applyBorder="1" applyProtection="1"/>
    <xf numFmtId="0" fontId="7" fillId="2" borderId="30" xfId="13" applyFont="1" applyFill="1" applyBorder="1" applyProtection="1"/>
    <xf numFmtId="0" fontId="7" fillId="2" borderId="22" xfId="13" applyFont="1" applyFill="1" applyBorder="1" applyProtection="1"/>
    <xf numFmtId="0" fontId="7" fillId="2" borderId="22" xfId="13" applyFont="1" applyFill="1" applyBorder="1" applyAlignment="1" applyProtection="1">
      <alignment horizontal="left" indent="1"/>
    </xf>
    <xf numFmtId="0" fontId="7" fillId="2" borderId="23" xfId="13" applyFont="1" applyFill="1" applyBorder="1" applyAlignment="1" applyProtection="1">
      <alignment horizontal="left" indent="1"/>
    </xf>
    <xf numFmtId="0" fontId="7" fillId="0" borderId="0" xfId="13" applyFont="1" applyProtection="1">
      <protection locked="0"/>
    </xf>
    <xf numFmtId="0" fontId="7" fillId="0" borderId="0" xfId="11" applyFont="1" applyProtection="1"/>
    <xf numFmtId="0" fontId="7" fillId="0" borderId="0" xfId="11" applyFont="1" applyAlignment="1" applyProtection="1">
      <alignment horizontal="center"/>
    </xf>
    <xf numFmtId="0" fontId="18" fillId="2" borderId="1" xfId="11" applyFont="1" applyFill="1" applyBorder="1" applyAlignment="1" applyProtection="1">
      <alignment horizontal="center"/>
    </xf>
    <xf numFmtId="0" fontId="7" fillId="2" borderId="1" xfId="11" applyFont="1" applyFill="1" applyBorder="1" applyAlignment="1" applyProtection="1">
      <alignment horizontal="center"/>
    </xf>
    <xf numFmtId="0" fontId="7" fillId="0" borderId="0" xfId="11" applyFont="1" applyAlignment="1" applyProtection="1"/>
    <xf numFmtId="1" fontId="14" fillId="8" borderId="1" xfId="3" applyNumberFormat="1" applyFont="1" applyFill="1" applyBorder="1" applyAlignment="1" applyProtection="1">
      <alignment horizontal="center" wrapText="1"/>
    </xf>
    <xf numFmtId="177" fontId="18" fillId="2" borderId="1" xfId="11" applyNumberFormat="1" applyFont="1" applyFill="1" applyBorder="1" applyAlignment="1" applyProtection="1">
      <alignment horizontal="center"/>
    </xf>
    <xf numFmtId="0" fontId="7" fillId="0" borderId="1" xfId="11" applyFont="1" applyBorder="1" applyAlignment="1" applyProtection="1">
      <alignment horizontal="left" indent="1"/>
    </xf>
    <xf numFmtId="0" fontId="7" fillId="0" borderId="0" xfId="11" applyFont="1" applyBorder="1" applyAlignment="1" applyProtection="1">
      <alignment horizontal="center"/>
    </xf>
    <xf numFmtId="0" fontId="7" fillId="2" borderId="1" xfId="11" applyFont="1" applyFill="1" applyBorder="1" applyAlignment="1" applyProtection="1">
      <alignment horizontal="left" indent="1"/>
    </xf>
    <xf numFmtId="0" fontId="7" fillId="0" borderId="0" xfId="11" applyFont="1" applyAlignment="1" applyProtection="1">
      <alignment horizontal="left"/>
    </xf>
    <xf numFmtId="0" fontId="7" fillId="0" borderId="0" xfId="11" applyFont="1" applyProtection="1">
      <protection locked="0" hidden="1"/>
    </xf>
    <xf numFmtId="3" fontId="7" fillId="2" borderId="1" xfId="0" applyNumberFormat="1" applyFont="1" applyFill="1" applyBorder="1" applyAlignment="1" applyProtection="1">
      <alignment horizontal="center"/>
    </xf>
    <xf numFmtId="0" fontId="18" fillId="2" borderId="0" xfId="0" applyFont="1" applyFill="1" applyAlignment="1" applyProtection="1">
      <alignment vertical="center"/>
      <protection locked="0" hidden="1"/>
    </xf>
    <xf numFmtId="0" fontId="7" fillId="2" borderId="0" xfId="19" applyFont="1" applyFill="1" applyProtection="1"/>
    <xf numFmtId="0" fontId="7" fillId="2" borderId="0" xfId="0" applyFont="1" applyFill="1" applyAlignment="1" applyProtection="1">
      <alignment vertical="center"/>
    </xf>
    <xf numFmtId="0" fontId="46" fillId="2" borderId="1" xfId="0" applyFont="1" applyFill="1" applyBorder="1" applyAlignment="1" applyProtection="1">
      <alignment horizontal="left" vertical="center" indent="1"/>
    </xf>
    <xf numFmtId="3" fontId="7" fillId="2" borderId="1" xfId="19" applyNumberFormat="1" applyFont="1" applyFill="1" applyBorder="1" applyAlignment="1" applyProtection="1">
      <alignment horizontal="center"/>
    </xf>
    <xf numFmtId="0" fontId="8" fillId="2" borderId="0" xfId="19" applyFont="1" applyFill="1" applyProtection="1"/>
    <xf numFmtId="9" fontId="7" fillId="2" borderId="0" xfId="19" applyNumberFormat="1" applyFont="1" applyFill="1" applyProtection="1"/>
    <xf numFmtId="0" fontId="18" fillId="2" borderId="0" xfId="0" applyFont="1" applyFill="1" applyProtection="1">
      <protection locked="0" hidden="1"/>
    </xf>
    <xf numFmtId="3" fontId="7" fillId="2" borderId="0" xfId="19" applyNumberFormat="1" applyFont="1" applyFill="1" applyProtection="1"/>
    <xf numFmtId="1" fontId="14" fillId="2" borderId="0" xfId="0" applyNumberFormat="1" applyFont="1" applyFill="1" applyBorder="1" applyAlignment="1" applyProtection="1">
      <alignment horizontal="center" vertical="center"/>
      <protection hidden="1"/>
    </xf>
    <xf numFmtId="17" fontId="14" fillId="8" borderId="1" xfId="0" applyNumberFormat="1" applyFont="1" applyFill="1" applyBorder="1" applyAlignment="1" applyProtection="1">
      <alignment horizontal="center" vertical="center"/>
      <protection hidden="1"/>
    </xf>
    <xf numFmtId="3" fontId="7" fillId="8" borderId="1" xfId="17" applyNumberFormat="1" applyFont="1" applyFill="1" applyBorder="1" applyAlignment="1" applyProtection="1">
      <alignment horizontal="center"/>
      <protection hidden="1"/>
    </xf>
    <xf numFmtId="182" fontId="9" fillId="8" borderId="1" xfId="0" applyNumberFormat="1" applyFont="1" applyFill="1" applyBorder="1" applyAlignment="1" applyProtection="1">
      <alignment horizontal="center"/>
      <protection hidden="1"/>
    </xf>
    <xf numFmtId="38" fontId="7" fillId="8" borderId="1" xfId="17" applyNumberFormat="1" applyFont="1" applyFill="1" applyBorder="1" applyAlignment="1" applyProtection="1">
      <alignment horizontal="center"/>
      <protection hidden="1"/>
    </xf>
    <xf numFmtId="38" fontId="7" fillId="8" borderId="1" xfId="0" applyNumberFormat="1" applyFont="1" applyFill="1" applyBorder="1" applyAlignment="1" applyProtection="1">
      <alignment horizontal="center"/>
      <protection hidden="1"/>
    </xf>
    <xf numFmtId="0" fontId="18" fillId="2" borderId="0" xfId="0" applyFont="1" applyFill="1" applyProtection="1"/>
    <xf numFmtId="0" fontId="14" fillId="2" borderId="0" xfId="0" applyFont="1" applyFill="1" applyBorder="1" applyProtection="1"/>
    <xf numFmtId="182" fontId="14" fillId="2" borderId="0" xfId="0" applyNumberFormat="1" applyFont="1" applyFill="1" applyBorder="1" applyAlignment="1" applyProtection="1"/>
    <xf numFmtId="2" fontId="14" fillId="2" borderId="0" xfId="0" applyNumberFormat="1" applyFont="1" applyFill="1" applyBorder="1" applyAlignment="1" applyProtection="1">
      <alignment horizontal="centerContinuous"/>
    </xf>
    <xf numFmtId="2" fontId="14" fillId="2" borderId="0" xfId="0" applyNumberFormat="1" applyFont="1" applyFill="1" applyBorder="1" applyAlignment="1" applyProtection="1"/>
    <xf numFmtId="0" fontId="18" fillId="2" borderId="0" xfId="0" applyFont="1" applyFill="1" applyBorder="1" applyProtection="1"/>
    <xf numFmtId="177" fontId="14" fillId="2" borderId="0" xfId="0" applyNumberFormat="1" applyFont="1" applyFill="1" applyBorder="1" applyAlignment="1" applyProtection="1">
      <alignment horizontal="center"/>
    </xf>
    <xf numFmtId="1" fontId="14" fillId="2" borderId="0" xfId="0" applyNumberFormat="1" applyFont="1" applyFill="1" applyBorder="1" applyAlignment="1" applyProtection="1">
      <alignment horizontal="center"/>
    </xf>
    <xf numFmtId="177" fontId="14" fillId="2" borderId="0" xfId="0" applyNumberFormat="1" applyFont="1" applyFill="1" applyBorder="1" applyAlignment="1" applyProtection="1"/>
    <xf numFmtId="1" fontId="14" fillId="2" borderId="0" xfId="0" applyNumberFormat="1" applyFont="1" applyFill="1" applyBorder="1" applyAlignment="1" applyProtection="1">
      <alignment horizontal="centerContinuous"/>
    </xf>
    <xf numFmtId="1" fontId="14" fillId="2" borderId="0" xfId="0" applyNumberFormat="1" applyFont="1" applyFill="1" applyBorder="1" applyAlignment="1" applyProtection="1"/>
    <xf numFmtId="183" fontId="14" fillId="2" borderId="0" xfId="0" applyNumberFormat="1" applyFont="1" applyFill="1" applyBorder="1" applyAlignment="1" applyProtection="1">
      <alignment horizontal="center"/>
    </xf>
    <xf numFmtId="183" fontId="14" fillId="2" borderId="0" xfId="0" applyNumberFormat="1" applyFont="1" applyFill="1" applyBorder="1" applyAlignment="1" applyProtection="1"/>
    <xf numFmtId="0" fontId="18" fillId="12" borderId="0" xfId="0" applyFont="1" applyFill="1" applyBorder="1" applyProtection="1"/>
    <xf numFmtId="0" fontId="18" fillId="12" borderId="0" xfId="0" applyFont="1" applyFill="1" applyBorder="1" applyAlignment="1" applyProtection="1"/>
    <xf numFmtId="0" fontId="14" fillId="12" borderId="0" xfId="0" applyFont="1" applyFill="1" applyBorder="1" applyAlignment="1" applyProtection="1">
      <alignment horizontal="centerContinuous"/>
    </xf>
    <xf numFmtId="0" fontId="18" fillId="12" borderId="0" xfId="0" applyFont="1" applyFill="1" applyBorder="1" applyAlignment="1" applyProtection="1">
      <alignment horizontal="centerContinuous"/>
    </xf>
    <xf numFmtId="0" fontId="14" fillId="12" borderId="0" xfId="0" applyFont="1" applyFill="1" applyBorder="1" applyAlignment="1" applyProtection="1"/>
    <xf numFmtId="0" fontId="18" fillId="12" borderId="0" xfId="0" applyFont="1" applyFill="1" applyProtection="1"/>
    <xf numFmtId="184" fontId="18" fillId="12" borderId="0" xfId="0" applyNumberFormat="1" applyFont="1" applyFill="1" applyBorder="1" applyProtection="1"/>
    <xf numFmtId="167" fontId="14" fillId="12" borderId="0" xfId="0" applyNumberFormat="1" applyFont="1" applyFill="1" applyBorder="1" applyAlignment="1" applyProtection="1">
      <alignment horizontal="centerContinuous"/>
    </xf>
    <xf numFmtId="167" fontId="14" fillId="12" borderId="0" xfId="0" applyNumberFormat="1" applyFont="1" applyFill="1" applyBorder="1" applyAlignment="1" applyProtection="1"/>
    <xf numFmtId="0" fontId="31" fillId="2" borderId="0" xfId="0" applyNumberFormat="1" applyFont="1" applyFill="1" applyProtection="1">
      <protection locked="0"/>
    </xf>
    <xf numFmtId="0" fontId="7" fillId="2" borderId="0" xfId="0" applyFont="1" applyFill="1" applyAlignment="1" applyProtection="1">
      <alignment vertical="center"/>
      <protection locked="0" hidden="1"/>
    </xf>
    <xf numFmtId="0" fontId="7" fillId="2" borderId="0" xfId="19" applyFont="1" applyFill="1" applyProtection="1">
      <protection locked="0" hidden="1"/>
    </xf>
    <xf numFmtId="9" fontId="18" fillId="12" borderId="1" xfId="2" applyFont="1" applyFill="1" applyBorder="1" applyAlignment="1" applyProtection="1">
      <alignment horizontal="center" vertical="center"/>
      <protection hidden="1"/>
    </xf>
    <xf numFmtId="181" fontId="18" fillId="12" borderId="1" xfId="0" applyNumberFormat="1" applyFont="1" applyFill="1" applyBorder="1" applyAlignment="1" applyProtection="1">
      <alignment horizontal="center" vertical="center"/>
      <protection hidden="1"/>
    </xf>
    <xf numFmtId="3" fontId="18" fillId="12" borderId="1" xfId="0" applyNumberFormat="1" applyFont="1" applyFill="1" applyBorder="1" applyAlignment="1" applyProtection="1">
      <alignment horizontal="center" vertical="center"/>
      <protection hidden="1"/>
    </xf>
    <xf numFmtId="0" fontId="9" fillId="2" borderId="5" xfId="0" applyFont="1" applyFill="1" applyBorder="1" applyAlignment="1" applyProtection="1">
      <alignment horizontal="left" vertical="center" indent="1"/>
      <protection hidden="1"/>
    </xf>
    <xf numFmtId="0" fontId="9" fillId="2" borderId="15" xfId="0" applyFont="1" applyFill="1" applyBorder="1" applyAlignment="1" applyProtection="1">
      <alignment horizontal="left" vertical="center" indent="1"/>
      <protection hidden="1"/>
    </xf>
    <xf numFmtId="183" fontId="9" fillId="12" borderId="1" xfId="0" applyNumberFormat="1" applyFont="1" applyFill="1" applyBorder="1" applyAlignment="1" applyProtection="1">
      <alignment horizontal="left" vertical="center" indent="1"/>
      <protection hidden="1"/>
    </xf>
    <xf numFmtId="3" fontId="7" fillId="0" borderId="1" xfId="13" applyNumberFormat="1" applyFont="1" applyFill="1" applyBorder="1" applyProtection="1">
      <protection hidden="1"/>
    </xf>
    <xf numFmtId="191" fontId="18" fillId="0" borderId="1" xfId="16" applyNumberFormat="1" applyFont="1" applyFill="1" applyBorder="1" applyProtection="1">
      <protection hidden="1"/>
    </xf>
    <xf numFmtId="3" fontId="9" fillId="0" borderId="1" xfId="14" applyNumberFormat="1" applyFont="1" applyFill="1" applyBorder="1" applyProtection="1">
      <protection hidden="1"/>
    </xf>
    <xf numFmtId="3" fontId="9" fillId="0" borderId="1" xfId="13" applyNumberFormat="1" applyFont="1" applyFill="1" applyBorder="1" applyProtection="1">
      <protection hidden="1"/>
    </xf>
    <xf numFmtId="1" fontId="14" fillId="11" borderId="3" xfId="18" applyNumberFormat="1" applyFont="1" applyFill="1" applyBorder="1" applyAlignment="1" applyProtection="1">
      <alignment horizontal="center" wrapText="1"/>
      <protection hidden="1"/>
    </xf>
    <xf numFmtId="1" fontId="14" fillId="8" borderId="3" xfId="18" applyNumberFormat="1" applyFont="1" applyFill="1" applyBorder="1" applyAlignment="1" applyProtection="1">
      <alignment horizontal="center"/>
      <protection hidden="1"/>
    </xf>
    <xf numFmtId="4" fontId="18" fillId="2" borderId="3" xfId="18" applyNumberFormat="1" applyFont="1" applyFill="1" applyBorder="1" applyAlignment="1" applyProtection="1">
      <alignment horizontal="center" vertical="center"/>
      <protection hidden="1"/>
    </xf>
    <xf numFmtId="3" fontId="18" fillId="2" borderId="3" xfId="18" applyNumberFormat="1" applyFont="1" applyFill="1" applyBorder="1" applyAlignment="1" applyProtection="1">
      <alignment horizontal="center" vertical="center"/>
      <protection hidden="1"/>
    </xf>
    <xf numFmtId="181" fontId="18" fillId="2" borderId="3" xfId="18" applyNumberFormat="1" applyFont="1" applyFill="1" applyBorder="1" applyAlignment="1" applyProtection="1">
      <alignment horizontal="center" vertical="center"/>
      <protection hidden="1"/>
    </xf>
    <xf numFmtId="4" fontId="18" fillId="11" borderId="3" xfId="18" applyNumberFormat="1" applyFont="1" applyFill="1" applyBorder="1" applyAlignment="1" applyProtection="1">
      <alignment horizontal="center" vertical="center"/>
      <protection hidden="1"/>
    </xf>
    <xf numFmtId="3" fontId="7" fillId="2" borderId="3" xfId="18" applyNumberFormat="1" applyFont="1" applyFill="1" applyBorder="1" applyAlignment="1" applyProtection="1">
      <alignment horizontal="center" vertical="center"/>
      <protection hidden="1"/>
    </xf>
    <xf numFmtId="3" fontId="18" fillId="8" borderId="3" xfId="18" applyNumberFormat="1" applyFont="1" applyFill="1" applyBorder="1" applyAlignment="1" applyProtection="1">
      <alignment horizontal="center" vertical="center"/>
      <protection hidden="1"/>
    </xf>
    <xf numFmtId="3" fontId="18" fillId="11" borderId="3" xfId="18" applyNumberFormat="1" applyFont="1" applyFill="1" applyBorder="1" applyAlignment="1" applyProtection="1">
      <alignment horizontal="center" vertical="center"/>
      <protection hidden="1"/>
    </xf>
    <xf numFmtId="3" fontId="18" fillId="8" borderId="42" xfId="18" applyNumberFormat="1" applyFont="1" applyFill="1" applyBorder="1" applyAlignment="1" applyProtection="1">
      <alignment horizontal="center" vertical="center"/>
      <protection hidden="1"/>
    </xf>
    <xf numFmtId="3" fontId="18" fillId="2" borderId="4" xfId="18" applyNumberFormat="1" applyFont="1" applyFill="1" applyBorder="1" applyAlignment="1" applyProtection="1">
      <alignment horizontal="center" vertical="center"/>
      <protection hidden="1"/>
    </xf>
    <xf numFmtId="3" fontId="18" fillId="11" borderId="51" xfId="18" applyNumberFormat="1" applyFont="1" applyFill="1" applyBorder="1" applyAlignment="1" applyProtection="1">
      <alignment horizontal="center" vertical="center"/>
      <protection hidden="1"/>
    </xf>
    <xf numFmtId="3" fontId="18" fillId="11" borderId="39" xfId="18" applyNumberFormat="1" applyFont="1" applyFill="1" applyBorder="1" applyAlignment="1" applyProtection="1">
      <alignment horizontal="center" vertical="center"/>
      <protection hidden="1"/>
    </xf>
    <xf numFmtId="0" fontId="14" fillId="8" borderId="4" xfId="18" applyFont="1" applyFill="1" applyBorder="1" applyAlignment="1" applyProtection="1">
      <alignment horizontal="center"/>
      <protection hidden="1"/>
    </xf>
    <xf numFmtId="1" fontId="14" fillId="8" borderId="4" xfId="0" applyNumberFormat="1" applyFont="1" applyFill="1" applyBorder="1" applyAlignment="1" applyProtection="1">
      <alignment horizontal="center" vertical="center"/>
      <protection hidden="1"/>
    </xf>
    <xf numFmtId="9" fontId="18" fillId="2" borderId="4" xfId="2" applyFont="1" applyFill="1" applyBorder="1" applyAlignment="1" applyProtection="1">
      <alignment horizontal="center" vertical="center"/>
      <protection hidden="1"/>
    </xf>
    <xf numFmtId="9" fontId="18" fillId="8" borderId="4" xfId="2" applyFont="1" applyFill="1" applyBorder="1" applyAlignment="1" applyProtection="1">
      <alignment horizontal="center" vertical="center"/>
      <protection hidden="1"/>
    </xf>
    <xf numFmtId="173" fontId="8" fillId="4" borderId="4" xfId="2" applyNumberFormat="1" applyFont="1" applyFill="1" applyBorder="1" applyAlignment="1" applyProtection="1">
      <alignment horizontal="center" vertical="center"/>
      <protection locked="0"/>
    </xf>
    <xf numFmtId="3" fontId="8" fillId="4" borderId="4" xfId="18" applyNumberFormat="1" applyFont="1" applyFill="1" applyBorder="1" applyAlignment="1" applyProtection="1">
      <alignment horizontal="center" vertical="center"/>
      <protection locked="0"/>
    </xf>
    <xf numFmtId="3" fontId="18" fillId="8" borderId="4" xfId="18" applyNumberFormat="1" applyFont="1" applyFill="1" applyBorder="1" applyAlignment="1" applyProtection="1">
      <alignment horizontal="center" vertical="center"/>
      <protection hidden="1"/>
    </xf>
    <xf numFmtId="3" fontId="18" fillId="8" borderId="4" xfId="2" applyNumberFormat="1" applyFont="1" applyFill="1" applyBorder="1" applyAlignment="1" applyProtection="1">
      <alignment horizontal="center" vertical="center"/>
      <protection hidden="1"/>
    </xf>
    <xf numFmtId="181" fontId="18" fillId="2" borderId="4" xfId="18" applyNumberFormat="1" applyFont="1" applyFill="1" applyBorder="1" applyAlignment="1" applyProtection="1">
      <alignment horizontal="center" vertical="center"/>
      <protection hidden="1"/>
    </xf>
    <xf numFmtId="181" fontId="18" fillId="8" borderId="4" xfId="18" applyNumberFormat="1" applyFont="1" applyFill="1" applyBorder="1" applyAlignment="1" applyProtection="1">
      <alignment horizontal="center" vertical="center"/>
      <protection hidden="1"/>
    </xf>
    <xf numFmtId="4" fontId="18" fillId="11" borderId="4" xfId="18" applyNumberFormat="1" applyFont="1" applyFill="1" applyBorder="1" applyAlignment="1" applyProtection="1">
      <alignment horizontal="center" vertical="center"/>
      <protection hidden="1"/>
    </xf>
    <xf numFmtId="4" fontId="18" fillId="11" borderId="4" xfId="18" applyNumberFormat="1" applyFont="1" applyFill="1" applyBorder="1" applyAlignment="1" applyProtection="1">
      <alignment vertical="center"/>
      <protection hidden="1"/>
    </xf>
    <xf numFmtId="4" fontId="18" fillId="11" borderId="4" xfId="0" applyNumberFormat="1" applyFont="1" applyFill="1" applyBorder="1" applyAlignment="1" applyProtection="1">
      <alignment horizontal="center" vertical="center"/>
      <protection hidden="1"/>
    </xf>
    <xf numFmtId="3" fontId="18" fillId="2" borderId="4" xfId="0" applyNumberFormat="1" applyFont="1" applyFill="1" applyBorder="1" applyAlignment="1" applyProtection="1">
      <alignment horizontal="center" vertical="center"/>
      <protection hidden="1"/>
    </xf>
    <xf numFmtId="3" fontId="7" fillId="2" borderId="4" xfId="18" applyNumberFormat="1" applyFont="1" applyFill="1" applyBorder="1" applyAlignment="1" applyProtection="1">
      <alignment horizontal="center" vertical="center"/>
      <protection hidden="1"/>
    </xf>
    <xf numFmtId="3" fontId="18" fillId="11" borderId="4" xfId="18" applyNumberFormat="1" applyFont="1" applyFill="1" applyBorder="1" applyAlignment="1" applyProtection="1">
      <alignment horizontal="center" vertical="center"/>
      <protection hidden="1"/>
    </xf>
    <xf numFmtId="181" fontId="18" fillId="8" borderId="50" xfId="18" applyNumberFormat="1" applyFont="1" applyFill="1" applyBorder="1" applyAlignment="1" applyProtection="1">
      <alignment horizontal="center" vertical="center"/>
      <protection hidden="1"/>
    </xf>
    <xf numFmtId="3" fontId="18" fillId="11" borderId="50" xfId="18" applyNumberFormat="1" applyFont="1" applyFill="1" applyBorder="1" applyAlignment="1" applyProtection="1">
      <alignment horizontal="center" vertical="center"/>
      <protection hidden="1"/>
    </xf>
    <xf numFmtId="3" fontId="18" fillId="11" borderId="50" xfId="0" applyNumberFormat="1" applyFont="1" applyFill="1" applyBorder="1" applyAlignment="1" applyProtection="1">
      <alignment horizontal="center" vertical="center"/>
      <protection hidden="1"/>
    </xf>
    <xf numFmtId="3" fontId="18" fillId="11" borderId="42" xfId="18" applyNumberFormat="1" applyFont="1" applyFill="1" applyBorder="1" applyAlignment="1" applyProtection="1">
      <alignment horizontal="center" vertical="center"/>
      <protection hidden="1"/>
    </xf>
    <xf numFmtId="0" fontId="7" fillId="2" borderId="4" xfId="17" applyFont="1" applyFill="1" applyBorder="1" applyAlignment="1" applyProtection="1">
      <alignment horizontal="center" vertical="center"/>
      <protection hidden="1"/>
    </xf>
    <xf numFmtId="0" fontId="7" fillId="0" borderId="4" xfId="17" applyFont="1" applyFill="1" applyBorder="1" applyAlignment="1" applyProtection="1">
      <alignment horizontal="center" vertical="center"/>
      <protection hidden="1"/>
    </xf>
    <xf numFmtId="0" fontId="7" fillId="8" borderId="4" xfId="17" applyFont="1" applyFill="1" applyBorder="1" applyAlignment="1" applyProtection="1">
      <alignment horizontal="center" vertical="center"/>
      <protection hidden="1"/>
    </xf>
    <xf numFmtId="0" fontId="7" fillId="11" borderId="4" xfId="17" applyFont="1" applyFill="1" applyBorder="1" applyAlignment="1" applyProtection="1">
      <alignment horizontal="center" vertical="center"/>
      <protection hidden="1"/>
    </xf>
    <xf numFmtId="0" fontId="14" fillId="8" borderId="4" xfId="18" applyFont="1" applyFill="1" applyBorder="1" applyAlignment="1" applyProtection="1">
      <alignment horizontal="center" vertical="center"/>
      <protection hidden="1"/>
    </xf>
    <xf numFmtId="3" fontId="7" fillId="2" borderId="4" xfId="17" applyNumberFormat="1" applyFont="1" applyFill="1" applyBorder="1" applyAlignment="1" applyProtection="1">
      <alignment horizontal="center" vertical="center"/>
      <protection hidden="1"/>
    </xf>
    <xf numFmtId="181" fontId="7" fillId="2" borderId="4" xfId="17" applyNumberFormat="1" applyFont="1" applyFill="1" applyBorder="1" applyAlignment="1" applyProtection="1">
      <alignment horizontal="center" vertical="center"/>
      <protection hidden="1"/>
    </xf>
    <xf numFmtId="176" fontId="7" fillId="2" borderId="4" xfId="17" applyNumberFormat="1" applyFont="1" applyFill="1" applyBorder="1" applyAlignment="1" applyProtection="1">
      <alignment horizontal="center" vertical="center"/>
      <protection hidden="1"/>
    </xf>
    <xf numFmtId="3" fontId="9" fillId="2" borderId="4" xfId="0" applyNumberFormat="1" applyFont="1" applyFill="1" applyBorder="1" applyAlignment="1" applyProtection="1">
      <alignment horizontal="center" vertical="center"/>
      <protection hidden="1"/>
    </xf>
    <xf numFmtId="3" fontId="7" fillId="0" borderId="4" xfId="17" applyNumberFormat="1" applyFont="1" applyFill="1" applyBorder="1" applyAlignment="1" applyProtection="1">
      <alignment horizontal="center" vertical="center"/>
      <protection hidden="1"/>
    </xf>
    <xf numFmtId="3" fontId="9" fillId="0" borderId="4" xfId="0" applyNumberFormat="1" applyFont="1" applyFill="1" applyBorder="1" applyAlignment="1" applyProtection="1">
      <alignment horizontal="center" vertical="center"/>
      <protection hidden="1"/>
    </xf>
    <xf numFmtId="3" fontId="7" fillId="8" borderId="4" xfId="17" applyNumberFormat="1" applyFont="1" applyFill="1" applyBorder="1" applyAlignment="1" applyProtection="1">
      <alignment horizontal="center" vertical="center"/>
      <protection hidden="1"/>
    </xf>
    <xf numFmtId="3" fontId="9" fillId="8" borderId="4" xfId="0" applyNumberFormat="1" applyFont="1" applyFill="1" applyBorder="1" applyAlignment="1" applyProtection="1">
      <alignment horizontal="center" vertical="center"/>
      <protection hidden="1"/>
    </xf>
    <xf numFmtId="3" fontId="7" fillId="17" borderId="4" xfId="0" applyNumberFormat="1" applyFont="1" applyFill="1" applyBorder="1" applyAlignment="1" applyProtection="1">
      <alignment horizontal="center" vertical="center"/>
      <protection hidden="1"/>
    </xf>
    <xf numFmtId="38" fontId="7" fillId="11" borderId="4" xfId="17" applyNumberFormat="1" applyFont="1" applyFill="1" applyBorder="1" applyAlignment="1" applyProtection="1">
      <alignment horizontal="center" vertical="center"/>
      <protection hidden="1"/>
    </xf>
    <xf numFmtId="3" fontId="8" fillId="23" borderId="4" xfId="18" applyNumberFormat="1" applyFont="1" applyFill="1" applyBorder="1" applyAlignment="1" applyProtection="1">
      <alignment horizontal="center" vertical="center"/>
      <protection locked="0"/>
    </xf>
    <xf numFmtId="3" fontId="13" fillId="23" borderId="4" xfId="18" applyNumberFormat="1" applyFont="1" applyFill="1" applyBorder="1" applyAlignment="1" applyProtection="1">
      <alignment horizontal="center" vertical="center"/>
      <protection locked="0"/>
    </xf>
    <xf numFmtId="3" fontId="8" fillId="23" borderId="4" xfId="0" applyNumberFormat="1" applyFont="1" applyFill="1" applyBorder="1" applyAlignment="1" applyProtection="1">
      <alignment horizontal="center" vertical="center"/>
      <protection locked="0"/>
    </xf>
    <xf numFmtId="181" fontId="8" fillId="23" borderId="50" xfId="18" applyNumberFormat="1" applyFont="1" applyFill="1" applyBorder="1" applyAlignment="1" applyProtection="1">
      <alignment horizontal="center" vertical="center"/>
      <protection locked="0"/>
    </xf>
    <xf numFmtId="4" fontId="8" fillId="21" borderId="1" xfId="18" applyNumberFormat="1" applyFont="1" applyFill="1" applyBorder="1" applyAlignment="1" applyProtection="1">
      <alignment horizontal="left" vertical="center" indent="1"/>
      <protection hidden="1"/>
    </xf>
    <xf numFmtId="4" fontId="8" fillId="21" borderId="3" xfId="18" applyNumberFormat="1" applyFont="1" applyFill="1" applyBorder="1" applyAlignment="1" applyProtection="1">
      <alignment horizontal="left" vertical="center" indent="1"/>
      <protection hidden="1"/>
    </xf>
    <xf numFmtId="0" fontId="21" fillId="2" borderId="0" xfId="19" applyFont="1" applyFill="1" applyProtection="1">
      <protection locked="0"/>
    </xf>
    <xf numFmtId="0" fontId="32" fillId="2" borderId="0" xfId="19" applyFill="1" applyProtection="1">
      <protection locked="0"/>
    </xf>
    <xf numFmtId="0" fontId="63" fillId="2" borderId="0" xfId="19" applyFont="1" applyFill="1" applyAlignment="1" applyProtection="1">
      <alignment horizontal="right"/>
      <protection locked="0"/>
    </xf>
    <xf numFmtId="1" fontId="63" fillId="2" borderId="0" xfId="19" applyNumberFormat="1" applyFont="1" applyFill="1" applyProtection="1">
      <protection locked="0"/>
    </xf>
    <xf numFmtId="0" fontId="21" fillId="2" borderId="0" xfId="19" applyFont="1" applyFill="1" applyBorder="1" applyProtection="1">
      <protection locked="0"/>
    </xf>
    <xf numFmtId="0" fontId="14" fillId="2" borderId="0" xfId="0" applyFont="1" applyFill="1" applyBorder="1" applyAlignment="1" applyProtection="1">
      <alignment horizontal="right" vertical="center" indent="1"/>
      <protection locked="0"/>
    </xf>
    <xf numFmtId="0" fontId="25" fillId="2" borderId="0" xfId="19" applyFont="1" applyFill="1" applyBorder="1" applyAlignment="1" applyProtection="1">
      <protection locked="0"/>
    </xf>
    <xf numFmtId="0" fontId="21" fillId="2" borderId="0" xfId="19" applyFont="1" applyFill="1" applyBorder="1" applyAlignment="1" applyProtection="1">
      <alignment vertical="center"/>
      <protection locked="0"/>
    </xf>
    <xf numFmtId="0" fontId="21" fillId="2" borderId="0" xfId="19" applyFont="1" applyFill="1" applyBorder="1" applyAlignment="1" applyProtection="1">
      <alignment horizontal="center" vertical="center"/>
      <protection locked="0"/>
    </xf>
    <xf numFmtId="0" fontId="21" fillId="2" borderId="0" xfId="19" applyFont="1" applyFill="1" applyBorder="1" applyAlignment="1" applyProtection="1">
      <protection locked="0"/>
    </xf>
    <xf numFmtId="1" fontId="21" fillId="2" borderId="0" xfId="19" applyNumberFormat="1" applyFont="1" applyFill="1" applyBorder="1" applyAlignment="1" applyProtection="1">
      <alignment horizontal="center" vertical="center"/>
      <protection locked="0"/>
    </xf>
    <xf numFmtId="173" fontId="25" fillId="2" borderId="0" xfId="19" applyNumberFormat="1" applyFont="1" applyFill="1" applyBorder="1" applyAlignment="1" applyProtection="1">
      <alignment horizontal="center" vertical="center"/>
      <protection locked="0"/>
    </xf>
    <xf numFmtId="173" fontId="26" fillId="2" borderId="0" xfId="19" applyNumberFormat="1" applyFont="1" applyFill="1" applyBorder="1" applyAlignment="1" applyProtection="1">
      <protection locked="0"/>
    </xf>
    <xf numFmtId="173" fontId="25" fillId="2" borderId="0" xfId="2" applyNumberFormat="1" applyFont="1" applyFill="1" applyBorder="1" applyAlignment="1" applyProtection="1">
      <alignment horizontal="center" vertical="center"/>
      <protection locked="0"/>
    </xf>
    <xf numFmtId="177" fontId="25" fillId="2" borderId="0" xfId="19" applyNumberFormat="1" applyFont="1" applyFill="1" applyBorder="1" applyAlignment="1" applyProtection="1">
      <alignment horizontal="center" vertical="center"/>
      <protection locked="0"/>
    </xf>
    <xf numFmtId="2" fontId="26" fillId="2" borderId="0" xfId="19" applyNumberFormat="1" applyFont="1" applyFill="1" applyBorder="1" applyAlignment="1" applyProtection="1">
      <protection locked="0"/>
    </xf>
    <xf numFmtId="0" fontId="25" fillId="2" borderId="0" xfId="19" applyFont="1" applyFill="1" applyBorder="1" applyAlignment="1" applyProtection="1">
      <alignment horizontal="center"/>
      <protection locked="0"/>
    </xf>
    <xf numFmtId="173" fontId="21" fillId="2" borderId="0" xfId="19" applyNumberFormat="1" applyFont="1" applyFill="1" applyBorder="1" applyAlignment="1" applyProtection="1">
      <alignment horizontal="center"/>
      <protection locked="0"/>
    </xf>
    <xf numFmtId="173" fontId="26" fillId="2" borderId="0" xfId="19" applyNumberFormat="1" applyFont="1" applyFill="1" applyBorder="1" applyAlignment="1" applyProtection="1">
      <alignment horizontal="center"/>
      <protection locked="0"/>
    </xf>
    <xf numFmtId="176" fontId="26" fillId="2" borderId="0" xfId="19" applyNumberFormat="1" applyFont="1" applyFill="1" applyBorder="1" applyAlignment="1" applyProtection="1">
      <alignment horizontal="center"/>
      <protection locked="0"/>
    </xf>
    <xf numFmtId="0" fontId="21" fillId="2" borderId="0" xfId="19" applyFont="1" applyFill="1" applyBorder="1" applyAlignment="1" applyProtection="1">
      <alignment horizontal="center"/>
      <protection locked="0"/>
    </xf>
    <xf numFmtId="3" fontId="25" fillId="2" borderId="0" xfId="19" applyNumberFormat="1" applyFont="1" applyFill="1" applyBorder="1" applyAlignment="1" applyProtection="1">
      <alignment horizontal="center" vertical="center"/>
      <protection locked="0"/>
    </xf>
    <xf numFmtId="0" fontId="64" fillId="2" borderId="0" xfId="19" applyFont="1" applyFill="1" applyBorder="1" applyProtection="1">
      <protection locked="0"/>
    </xf>
    <xf numFmtId="9" fontId="26" fillId="2" borderId="0" xfId="19" applyNumberFormat="1" applyFont="1" applyFill="1" applyBorder="1" applyAlignment="1" applyProtection="1">
      <alignment horizontal="center"/>
      <protection locked="0"/>
    </xf>
    <xf numFmtId="0" fontId="27" fillId="2" borderId="0" xfId="19" applyFont="1" applyFill="1" applyBorder="1" applyProtection="1">
      <protection locked="0"/>
    </xf>
    <xf numFmtId="9" fontId="27" fillId="2" borderId="0" xfId="19" applyNumberFormat="1" applyFont="1" applyFill="1" applyBorder="1" applyAlignment="1" applyProtection="1">
      <alignment horizontal="center"/>
      <protection locked="0"/>
    </xf>
    <xf numFmtId="0" fontId="7" fillId="2" borderId="0" xfId="19" applyFont="1" applyFill="1" applyProtection="1">
      <protection locked="0"/>
    </xf>
    <xf numFmtId="176" fontId="27" fillId="2" borderId="0" xfId="19" applyNumberFormat="1" applyFont="1" applyFill="1" applyBorder="1" applyAlignment="1" applyProtection="1">
      <alignment horizontal="center"/>
      <protection locked="0"/>
    </xf>
    <xf numFmtId="176" fontId="25" fillId="2" borderId="0" xfId="19" applyNumberFormat="1" applyFont="1" applyFill="1" applyBorder="1" applyAlignment="1" applyProtection="1">
      <alignment horizontal="center" vertical="center"/>
      <protection locked="0"/>
    </xf>
    <xf numFmtId="0" fontId="41" fillId="2" borderId="0" xfId="19" applyFont="1" applyFill="1" applyAlignment="1" applyProtection="1">
      <alignment horizontal="center"/>
      <protection locked="0"/>
    </xf>
    <xf numFmtId="0" fontId="42" fillId="2" borderId="0" xfId="19" applyFont="1" applyFill="1" applyAlignment="1" applyProtection="1">
      <alignment horizontal="center"/>
      <protection locked="0"/>
    </xf>
    <xf numFmtId="167" fontId="25" fillId="2" borderId="0" xfId="19" applyNumberFormat="1" applyFont="1" applyFill="1" applyBorder="1" applyAlignment="1" applyProtection="1">
      <alignment horizontal="center" vertical="center"/>
      <protection locked="0"/>
    </xf>
    <xf numFmtId="0" fontId="65" fillId="2" borderId="0" xfId="19" applyFont="1" applyFill="1" applyAlignment="1" applyProtection="1">
      <alignment horizontal="center"/>
      <protection locked="0"/>
    </xf>
    <xf numFmtId="0" fontId="66" fillId="2" borderId="0" xfId="19" applyFont="1" applyFill="1" applyAlignment="1" applyProtection="1">
      <alignment horizontal="center"/>
      <protection locked="0"/>
    </xf>
    <xf numFmtId="0" fontId="27" fillId="2" borderId="0" xfId="19" applyFont="1" applyFill="1" applyBorder="1" applyAlignment="1" applyProtection="1">
      <alignment horizontal="center"/>
      <protection locked="0"/>
    </xf>
    <xf numFmtId="0" fontId="7" fillId="2" borderId="0" xfId="19" applyFont="1" applyFill="1" applyAlignment="1" applyProtection="1">
      <alignment horizontal="center"/>
      <protection locked="0"/>
    </xf>
    <xf numFmtId="0" fontId="27" fillId="2" borderId="0" xfId="19" applyFont="1" applyFill="1" applyBorder="1" applyAlignment="1" applyProtection="1">
      <protection locked="0"/>
    </xf>
    <xf numFmtId="1" fontId="25" fillId="2" borderId="0" xfId="19" applyNumberFormat="1" applyFont="1" applyFill="1" applyBorder="1" applyAlignment="1" applyProtection="1">
      <alignment horizontal="center" vertical="center"/>
      <protection locked="0"/>
    </xf>
    <xf numFmtId="0" fontId="67" fillId="2" borderId="0" xfId="19" applyFont="1" applyFill="1" applyAlignment="1" applyProtection="1">
      <alignment horizontal="center"/>
      <protection locked="0"/>
    </xf>
    <xf numFmtId="1" fontId="67" fillId="2" borderId="0" xfId="19" applyNumberFormat="1" applyFont="1" applyFill="1" applyAlignment="1" applyProtection="1">
      <alignment horizontal="center"/>
      <protection locked="0"/>
    </xf>
    <xf numFmtId="0" fontId="67" fillId="2" borderId="0" xfId="19" applyFont="1" applyFill="1" applyProtection="1">
      <protection locked="0"/>
    </xf>
    <xf numFmtId="1" fontId="67" fillId="2" borderId="0" xfId="19" applyNumberFormat="1" applyFont="1" applyFill="1" applyProtection="1">
      <protection locked="0"/>
    </xf>
    <xf numFmtId="0" fontId="6" fillId="2" borderId="0" xfId="19" applyFont="1" applyFill="1" applyProtection="1">
      <protection locked="0"/>
    </xf>
    <xf numFmtId="0" fontId="6" fillId="2" borderId="0" xfId="19" applyFont="1" applyFill="1" applyBorder="1" applyProtection="1">
      <protection locked="0"/>
    </xf>
    <xf numFmtId="0" fontId="6" fillId="2" borderId="0" xfId="19" applyFont="1" applyFill="1" applyAlignment="1" applyProtection="1">
      <alignment horizontal="center"/>
      <protection locked="0"/>
    </xf>
    <xf numFmtId="0" fontId="68" fillId="2" borderId="0" xfId="19" applyFont="1" applyFill="1" applyProtection="1">
      <protection locked="0"/>
    </xf>
    <xf numFmtId="9" fontId="68" fillId="2" borderId="0" xfId="19" applyNumberFormat="1" applyFont="1" applyFill="1" applyAlignment="1" applyProtection="1">
      <alignment horizontal="center"/>
      <protection locked="0"/>
    </xf>
    <xf numFmtId="0" fontId="70" fillId="2" borderId="0" xfId="19" applyFont="1" applyFill="1" applyBorder="1" applyAlignment="1" applyProtection="1">
      <alignment horizontal="center"/>
      <protection locked="0"/>
    </xf>
    <xf numFmtId="0" fontId="68" fillId="2" borderId="0" xfId="19" applyFont="1" applyFill="1" applyBorder="1" applyAlignment="1" applyProtection="1">
      <alignment horizontal="center"/>
      <protection locked="0"/>
    </xf>
    <xf numFmtId="0" fontId="71" fillId="2" borderId="0" xfId="19" applyFont="1" applyFill="1" applyBorder="1" applyAlignment="1" applyProtection="1">
      <alignment horizontal="center"/>
      <protection locked="0"/>
    </xf>
    <xf numFmtId="0" fontId="72" fillId="2" borderId="0" xfId="19" applyFont="1" applyFill="1" applyBorder="1" applyAlignment="1" applyProtection="1">
      <alignment horizontal="center"/>
      <protection locked="0"/>
    </xf>
    <xf numFmtId="0" fontId="32" fillId="2" borderId="0" xfId="19" applyFill="1" applyBorder="1" applyProtection="1">
      <protection locked="0"/>
    </xf>
    <xf numFmtId="9" fontId="73" fillId="2" borderId="0" xfId="19" applyNumberFormat="1" applyFont="1" applyFill="1" applyBorder="1" applyAlignment="1" applyProtection="1">
      <alignment horizontal="center"/>
      <protection locked="0"/>
    </xf>
    <xf numFmtId="0" fontId="6" fillId="2" borderId="0" xfId="19" applyFont="1" applyFill="1" applyBorder="1" applyAlignment="1" applyProtection="1">
      <alignment horizontal="center"/>
      <protection locked="0"/>
    </xf>
    <xf numFmtId="0" fontId="68" fillId="2" borderId="0" xfId="19" applyFont="1" applyFill="1" applyBorder="1" applyProtection="1">
      <protection locked="0"/>
    </xf>
    <xf numFmtId="9" fontId="72" fillId="2" borderId="0" xfId="19" applyNumberFormat="1" applyFont="1" applyFill="1" applyBorder="1" applyAlignment="1" applyProtection="1">
      <alignment horizontal="center"/>
      <protection locked="0"/>
    </xf>
    <xf numFmtId="0" fontId="32" fillId="2" borderId="0" xfId="19" applyFont="1" applyFill="1" applyBorder="1" applyProtection="1">
      <protection locked="0"/>
    </xf>
    <xf numFmtId="0" fontId="6" fillId="2" borderId="0" xfId="19" applyFont="1" applyFill="1" applyBorder="1" applyAlignment="1" applyProtection="1">
      <alignment wrapText="1"/>
      <protection locked="0"/>
    </xf>
    <xf numFmtId="0" fontId="32" fillId="2" borderId="0" xfId="19" applyFont="1" applyFill="1" applyBorder="1" applyAlignment="1" applyProtection="1">
      <alignment horizontal="center"/>
      <protection locked="0"/>
    </xf>
    <xf numFmtId="9" fontId="32" fillId="2" borderId="0" xfId="19" applyNumberFormat="1" applyFont="1" applyFill="1" applyBorder="1" applyAlignment="1" applyProtection="1">
      <alignment horizontal="center"/>
      <protection locked="0"/>
    </xf>
    <xf numFmtId="173" fontId="72" fillId="2" borderId="0" xfId="19" applyNumberFormat="1" applyFont="1" applyFill="1" applyBorder="1" applyAlignment="1" applyProtection="1">
      <alignment horizontal="center"/>
      <protection locked="0"/>
    </xf>
    <xf numFmtId="0" fontId="62" fillId="2" borderId="0" xfId="19" applyFont="1" applyFill="1" applyBorder="1" applyProtection="1">
      <protection locked="0"/>
    </xf>
    <xf numFmtId="9" fontId="8" fillId="4" borderId="4" xfId="2" applyNumberFormat="1" applyFont="1" applyFill="1" applyBorder="1" applyAlignment="1" applyProtection="1">
      <alignment horizontal="center" vertical="center"/>
      <protection locked="0"/>
    </xf>
    <xf numFmtId="9" fontId="18" fillId="8" borderId="4" xfId="2" applyNumberFormat="1" applyFont="1" applyFill="1" applyBorder="1" applyAlignment="1" applyProtection="1">
      <alignment horizontal="center" vertical="center"/>
      <protection hidden="1"/>
    </xf>
    <xf numFmtId="1" fontId="8" fillId="4" borderId="4" xfId="18" applyNumberFormat="1" applyFont="1" applyFill="1" applyBorder="1" applyAlignment="1" applyProtection="1">
      <alignment horizontal="center" vertical="center"/>
      <protection locked="0"/>
    </xf>
    <xf numFmtId="1" fontId="18" fillId="8" borderId="4" xfId="18" applyNumberFormat="1" applyFont="1" applyFill="1" applyBorder="1" applyAlignment="1" applyProtection="1">
      <alignment horizontal="center" vertical="center"/>
      <protection hidden="1"/>
    </xf>
    <xf numFmtId="9" fontId="18" fillId="2" borderId="4" xfId="2" applyNumberFormat="1" applyFont="1" applyFill="1" applyBorder="1" applyAlignment="1" applyProtection="1">
      <alignment horizontal="center" vertical="center"/>
      <protection hidden="1"/>
    </xf>
    <xf numFmtId="181" fontId="18" fillId="8" borderId="4" xfId="2" applyNumberFormat="1" applyFont="1" applyFill="1" applyBorder="1" applyAlignment="1" applyProtection="1">
      <alignment horizontal="center" vertical="center"/>
      <protection hidden="1"/>
    </xf>
    <xf numFmtId="0" fontId="23" fillId="4" borderId="1" xfId="0" applyNumberFormat="1" applyFont="1" applyFill="1" applyBorder="1" applyAlignment="1" applyProtection="1">
      <alignment horizontal="center"/>
      <protection locked="0"/>
    </xf>
    <xf numFmtId="9" fontId="23" fillId="4" borderId="1" xfId="2" applyFont="1" applyFill="1" applyBorder="1" applyAlignment="1" applyProtection="1">
      <alignment horizontal="center"/>
      <protection locked="0"/>
    </xf>
    <xf numFmtId="0" fontId="21" fillId="2" borderId="0" xfId="19" applyFont="1" applyFill="1" applyBorder="1" applyAlignment="1" applyProtection="1">
      <alignment horizontal="center"/>
      <protection locked="0"/>
    </xf>
    <xf numFmtId="0" fontId="25" fillId="2" borderId="0" xfId="19" applyFont="1" applyFill="1" applyBorder="1" applyAlignment="1" applyProtection="1">
      <alignment horizontal="center"/>
      <protection locked="0"/>
    </xf>
    <xf numFmtId="0" fontId="17" fillId="8" borderId="1" xfId="7" applyFont="1" applyFill="1" applyBorder="1" applyAlignment="1" applyProtection="1">
      <alignment horizontal="center"/>
    </xf>
    <xf numFmtId="164" fontId="14" fillId="8" borderId="1" xfId="11" applyNumberFormat="1" applyFont="1" applyFill="1" applyBorder="1" applyAlignment="1" applyProtection="1">
      <alignment horizontal="center"/>
      <protection hidden="1"/>
    </xf>
    <xf numFmtId="9" fontId="29" fillId="2" borderId="0" xfId="2" applyFont="1" applyFill="1" applyProtection="1"/>
    <xf numFmtId="0" fontId="19" fillId="2" borderId="0" xfId="19" applyFont="1" applyFill="1" applyProtection="1">
      <protection locked="0"/>
    </xf>
    <xf numFmtId="0" fontId="19" fillId="2" borderId="0" xfId="19" applyFont="1" applyFill="1" applyAlignment="1" applyProtection="1">
      <alignment horizontal="right"/>
      <protection locked="0"/>
    </xf>
    <xf numFmtId="0" fontId="71" fillId="2" borderId="0" xfId="19" applyFont="1" applyFill="1" applyProtection="1">
      <protection locked="0"/>
    </xf>
    <xf numFmtId="0" fontId="70" fillId="2" borderId="0" xfId="19" applyFont="1" applyFill="1" applyBorder="1" applyProtection="1">
      <protection locked="0"/>
    </xf>
    <xf numFmtId="3" fontId="19" fillId="2" borderId="0" xfId="19" applyNumberFormat="1" applyFont="1" applyFill="1" applyProtection="1"/>
    <xf numFmtId="1" fontId="19" fillId="2" borderId="0" xfId="19" applyNumberFormat="1" applyFont="1" applyFill="1" applyProtection="1"/>
    <xf numFmtId="165" fontId="19" fillId="2" borderId="0" xfId="440" applyFont="1" applyFill="1" applyProtection="1"/>
    <xf numFmtId="9" fontId="19" fillId="2" borderId="0" xfId="2" applyFont="1" applyFill="1" applyProtection="1"/>
    <xf numFmtId="0" fontId="75" fillId="2" borderId="0" xfId="19" applyFont="1" applyFill="1" applyBorder="1" applyAlignment="1" applyProtection="1">
      <alignment horizontal="center"/>
      <protection locked="0"/>
    </xf>
    <xf numFmtId="0" fontId="71" fillId="2" borderId="0" xfId="19" applyFont="1" applyFill="1" applyBorder="1" applyProtection="1">
      <protection locked="0"/>
    </xf>
    <xf numFmtId="0" fontId="19" fillId="2" borderId="0" xfId="19" applyFont="1" applyFill="1" applyBorder="1" applyAlignment="1" applyProtection="1">
      <alignment horizontal="center"/>
      <protection locked="0"/>
    </xf>
    <xf numFmtId="0" fontId="76" fillId="2" borderId="0" xfId="19" applyFont="1" applyFill="1" applyBorder="1" applyAlignment="1" applyProtection="1">
      <alignment horizontal="center"/>
      <protection locked="0"/>
    </xf>
    <xf numFmtId="0" fontId="21" fillId="2" borderId="0" xfId="19" applyFont="1" applyFill="1" applyBorder="1" applyAlignment="1" applyProtection="1">
      <alignment horizontal="center"/>
      <protection locked="0"/>
    </xf>
    <xf numFmtId="0" fontId="25" fillId="2" borderId="0" xfId="19" applyFont="1" applyFill="1" applyBorder="1" applyAlignment="1" applyProtection="1">
      <alignment horizontal="center"/>
      <protection locked="0"/>
    </xf>
    <xf numFmtId="4" fontId="0" fillId="2" borderId="1" xfId="0" applyNumberFormat="1" applyFont="1" applyFill="1" applyBorder="1" applyAlignment="1" applyProtection="1">
      <alignment vertical="center"/>
      <protection hidden="1"/>
    </xf>
    <xf numFmtId="173" fontId="8" fillId="23" borderId="70" xfId="2" applyNumberFormat="1" applyFont="1" applyFill="1" applyBorder="1" applyAlignment="1" applyProtection="1">
      <alignment horizontal="center" vertical="center"/>
      <protection locked="0"/>
    </xf>
    <xf numFmtId="3" fontId="18" fillId="25" borderId="42" xfId="18" applyNumberFormat="1" applyFont="1" applyFill="1" applyBorder="1" applyAlignment="1" applyProtection="1">
      <alignment horizontal="center" vertical="center"/>
      <protection hidden="1"/>
    </xf>
    <xf numFmtId="3" fontId="8" fillId="23" borderId="4" xfId="17" applyNumberFormat="1" applyFont="1" applyFill="1" applyBorder="1" applyAlignment="1" applyProtection="1">
      <alignment horizontal="center" vertical="center"/>
      <protection hidden="1"/>
    </xf>
    <xf numFmtId="2" fontId="18" fillId="2" borderId="4" xfId="2" applyNumberFormat="1" applyFont="1" applyFill="1" applyBorder="1" applyAlignment="1" applyProtection="1">
      <alignment horizontal="center" vertical="center"/>
      <protection hidden="1"/>
    </xf>
    <xf numFmtId="173" fontId="18" fillId="8" borderId="4" xfId="2" applyNumberFormat="1" applyFont="1" applyFill="1" applyBorder="1" applyAlignment="1" applyProtection="1">
      <alignment horizontal="center" vertical="center"/>
      <protection hidden="1"/>
    </xf>
    <xf numFmtId="173" fontId="18" fillId="8" borderId="50" xfId="2" applyNumberFormat="1" applyFont="1" applyFill="1" applyBorder="1" applyAlignment="1" applyProtection="1">
      <alignment horizontal="center" vertical="center"/>
      <protection hidden="1"/>
    </xf>
    <xf numFmtId="3" fontId="7" fillId="0" borderId="0" xfId="17" applyNumberFormat="1" applyFont="1" applyFill="1" applyBorder="1" applyAlignment="1" applyProtection="1">
      <alignment horizontal="center" vertical="center"/>
      <protection hidden="1"/>
    </xf>
    <xf numFmtId="3" fontId="9" fillId="0" borderId="42" xfId="0" applyNumberFormat="1" applyFont="1" applyFill="1" applyBorder="1" applyAlignment="1" applyProtection="1">
      <alignment horizontal="center" vertical="center"/>
      <protection hidden="1"/>
    </xf>
    <xf numFmtId="3" fontId="7" fillId="0" borderId="50" xfId="17" applyNumberFormat="1" applyFont="1" applyFill="1" applyBorder="1" applyAlignment="1" applyProtection="1">
      <alignment horizontal="center" vertical="center"/>
      <protection hidden="1"/>
    </xf>
    <xf numFmtId="0" fontId="32" fillId="2" borderId="0" xfId="19" applyFont="1" applyFill="1" applyProtection="1">
      <protection locked="0"/>
    </xf>
    <xf numFmtId="0" fontId="21" fillId="2" borderId="0" xfId="19" applyFont="1" applyFill="1" applyAlignment="1" applyProtection="1">
      <alignment horizontal="right"/>
      <protection locked="0"/>
    </xf>
    <xf numFmtId="1" fontId="21" fillId="2" borderId="0" xfId="19" applyNumberFormat="1" applyFont="1" applyFill="1" applyProtection="1">
      <protection locked="0"/>
    </xf>
    <xf numFmtId="0" fontId="24" fillId="2" borderId="0" xfId="0" applyFont="1" applyFill="1" applyBorder="1" applyAlignment="1" applyProtection="1">
      <alignment horizontal="right" vertical="center" indent="1"/>
      <protection locked="0"/>
    </xf>
    <xf numFmtId="0" fontId="25" fillId="2" borderId="0" xfId="19" applyFont="1" applyFill="1" applyAlignment="1" applyProtection="1">
      <alignment horizontal="center"/>
      <protection locked="0"/>
    </xf>
    <xf numFmtId="0" fontId="33" fillId="2" borderId="0" xfId="19" applyFont="1" applyFill="1" applyAlignment="1" applyProtection="1">
      <alignment horizontal="center"/>
      <protection locked="0"/>
    </xf>
    <xf numFmtId="0" fontId="21" fillId="2" borderId="0" xfId="19" applyFont="1" applyFill="1" applyAlignment="1" applyProtection="1">
      <alignment horizontal="center"/>
      <protection locked="0"/>
    </xf>
    <xf numFmtId="1" fontId="25" fillId="2" borderId="0" xfId="19" applyNumberFormat="1" applyFont="1" applyFill="1" applyAlignment="1" applyProtection="1">
      <alignment horizontal="center"/>
      <protection locked="0"/>
    </xf>
    <xf numFmtId="0" fontId="25" fillId="2" borderId="0" xfId="19" applyFont="1" applyFill="1" applyProtection="1">
      <protection locked="0"/>
    </xf>
    <xf numFmtId="1" fontId="25" fillId="2" borderId="0" xfId="19" applyNumberFormat="1" applyFont="1" applyFill="1" applyProtection="1">
      <protection locked="0"/>
    </xf>
    <xf numFmtId="0" fontId="32" fillId="2" borderId="0" xfId="19" applyFont="1" applyFill="1" applyAlignment="1" applyProtection="1">
      <alignment horizontal="center"/>
      <protection locked="0"/>
    </xf>
    <xf numFmtId="0" fontId="73" fillId="2" borderId="0" xfId="19" applyFont="1" applyFill="1" applyProtection="1">
      <protection locked="0"/>
    </xf>
    <xf numFmtId="9" fontId="73" fillId="2" borderId="0" xfId="19" applyNumberFormat="1" applyFont="1" applyFill="1" applyAlignment="1" applyProtection="1">
      <alignment horizontal="center"/>
      <protection locked="0"/>
    </xf>
    <xf numFmtId="0" fontId="73" fillId="2" borderId="0" xfId="19" applyFont="1" applyFill="1" applyBorder="1" applyAlignment="1" applyProtection="1">
      <alignment horizontal="center"/>
      <protection locked="0"/>
    </xf>
    <xf numFmtId="0" fontId="73" fillId="2" borderId="0" xfId="19" applyFont="1" applyFill="1" applyBorder="1" applyProtection="1">
      <protection locked="0"/>
    </xf>
    <xf numFmtId="0" fontId="32" fillId="2" borderId="0" xfId="19" applyFont="1" applyFill="1" applyBorder="1" applyAlignment="1" applyProtection="1">
      <alignment wrapText="1"/>
      <protection locked="0"/>
    </xf>
    <xf numFmtId="0" fontId="19" fillId="2" borderId="0" xfId="19" applyFont="1" applyFill="1" applyBorder="1" applyProtection="1">
      <protection locked="0"/>
    </xf>
    <xf numFmtId="0" fontId="21" fillId="2" borderId="69" xfId="19" applyFont="1" applyFill="1" applyBorder="1" applyAlignment="1" applyProtection="1">
      <alignment horizontal="center" vertical="center"/>
      <protection locked="0"/>
    </xf>
    <xf numFmtId="0" fontId="21" fillId="2" borderId="69" xfId="19" applyFont="1" applyFill="1" applyBorder="1" applyAlignment="1" applyProtection="1">
      <alignment horizontal="center" wrapText="1"/>
      <protection locked="0"/>
    </xf>
    <xf numFmtId="0" fontId="9" fillId="8" borderId="15" xfId="3" applyFont="1" applyFill="1" applyBorder="1" applyAlignment="1" applyProtection="1">
      <alignment horizontal="center" vertical="center"/>
      <protection hidden="1"/>
    </xf>
    <xf numFmtId="0" fontId="9" fillId="8" borderId="2" xfId="3" applyFont="1" applyFill="1" applyBorder="1" applyAlignment="1" applyProtection="1">
      <alignment horizontal="center" vertical="center"/>
      <protection hidden="1"/>
    </xf>
    <xf numFmtId="1" fontId="14" fillId="8" borderId="3" xfId="3" applyNumberFormat="1" applyFont="1" applyFill="1" applyBorder="1" applyAlignment="1" applyProtection="1">
      <alignment horizontal="center" wrapText="1"/>
    </xf>
    <xf numFmtId="1" fontId="14" fillId="8" borderId="5" xfId="3" applyNumberFormat="1" applyFont="1" applyFill="1" applyBorder="1" applyAlignment="1" applyProtection="1">
      <alignment horizontal="center" wrapText="1"/>
    </xf>
    <xf numFmtId="0" fontId="9" fillId="8" borderId="3" xfId="11" applyFont="1" applyFill="1" applyBorder="1" applyAlignment="1" applyProtection="1">
      <alignment horizontal="center"/>
      <protection hidden="1"/>
    </xf>
    <xf numFmtId="0" fontId="9" fillId="8" borderId="4" xfId="11" applyFont="1" applyFill="1" applyBorder="1" applyAlignment="1" applyProtection="1">
      <alignment horizontal="center"/>
      <protection hidden="1"/>
    </xf>
    <xf numFmtId="0" fontId="9" fillId="8" borderId="5" xfId="11" applyFont="1" applyFill="1" applyBorder="1" applyAlignment="1" applyProtection="1">
      <alignment horizontal="center"/>
      <protection hidden="1"/>
    </xf>
    <xf numFmtId="0" fontId="9" fillId="8" borderId="1" xfId="3" applyFont="1" applyFill="1" applyBorder="1" applyAlignment="1" applyProtection="1">
      <alignment horizontal="center" vertical="center"/>
      <protection hidden="1"/>
    </xf>
    <xf numFmtId="0" fontId="28" fillId="2" borderId="0" xfId="0" applyFont="1" applyFill="1" applyAlignment="1" applyProtection="1">
      <alignment horizontal="center"/>
      <protection hidden="1"/>
    </xf>
    <xf numFmtId="0" fontId="9" fillId="2" borderId="0" xfId="0" applyFont="1" applyFill="1" applyBorder="1" applyAlignment="1" applyProtection="1">
      <alignment horizontal="center"/>
      <protection hidden="1"/>
    </xf>
    <xf numFmtId="1" fontId="14" fillId="8" borderId="1" xfId="3" applyNumberFormat="1" applyFont="1" applyFill="1" applyBorder="1" applyAlignment="1" applyProtection="1">
      <alignment horizontal="center" vertical="center" wrapText="1"/>
    </xf>
    <xf numFmtId="0" fontId="9" fillId="8" borderId="1" xfId="11" applyFont="1" applyFill="1" applyBorder="1" applyAlignment="1" applyProtection="1">
      <alignment horizontal="center"/>
      <protection hidden="1"/>
    </xf>
    <xf numFmtId="0" fontId="21" fillId="2" borderId="0" xfId="0" applyFont="1" applyFill="1" applyBorder="1" applyAlignment="1" applyProtection="1">
      <alignment horizontal="center"/>
      <protection hidden="1"/>
    </xf>
    <xf numFmtId="0" fontId="30" fillId="8" borderId="0" xfId="3" applyFont="1" applyFill="1" applyBorder="1" applyAlignment="1" applyProtection="1">
      <alignment horizontal="left" vertical="center" indent="1"/>
      <protection locked="0"/>
    </xf>
    <xf numFmtId="1" fontId="44" fillId="2" borderId="0" xfId="0" applyNumberFormat="1" applyFont="1" applyFill="1" applyAlignment="1" applyProtection="1">
      <alignment horizontal="left"/>
    </xf>
    <xf numFmtId="0" fontId="7" fillId="0" borderId="1" xfId="13" applyFont="1" applyBorder="1" applyAlignment="1" applyProtection="1">
      <alignment horizontal="center"/>
    </xf>
    <xf numFmtId="170" fontId="7" fillId="30" borderId="74" xfId="6" applyNumberFormat="1" applyFont="1" applyFill="1" applyBorder="1" applyAlignment="1" applyProtection="1">
      <alignment horizontal="center" vertical="center"/>
      <protection hidden="1"/>
    </xf>
    <xf numFmtId="10" fontId="7" fillId="30" borderId="74" xfId="6" applyNumberFormat="1" applyFont="1" applyFill="1" applyBorder="1" applyAlignment="1" applyProtection="1">
      <alignment horizontal="center" vertical="center"/>
      <protection hidden="1"/>
    </xf>
    <xf numFmtId="174" fontId="9" fillId="30" borderId="74" xfId="3" applyNumberFormat="1" applyFont="1" applyFill="1" applyBorder="1" applyAlignment="1" applyProtection="1">
      <alignment horizontal="center" vertical="center"/>
      <protection hidden="1"/>
    </xf>
    <xf numFmtId="6" fontId="9" fillId="30" borderId="74" xfId="3" applyNumberFormat="1" applyFont="1" applyFill="1" applyBorder="1" applyAlignment="1" applyProtection="1">
      <alignment horizontal="center" vertical="center"/>
      <protection hidden="1"/>
    </xf>
    <xf numFmtId="173" fontId="9" fillId="30" borderId="74" xfId="2" applyNumberFormat="1" applyFont="1" applyFill="1" applyBorder="1" applyAlignment="1" applyProtection="1">
      <alignment horizontal="center" vertical="center"/>
      <protection hidden="1"/>
    </xf>
    <xf numFmtId="2" fontId="9" fillId="30" borderId="74" xfId="3" applyNumberFormat="1" applyFont="1" applyFill="1" applyBorder="1" applyAlignment="1" applyProtection="1">
      <alignment horizontal="center" vertical="center"/>
      <protection hidden="1"/>
    </xf>
    <xf numFmtId="3" fontId="9" fillId="30" borderId="74" xfId="1" applyNumberFormat="1" applyFont="1" applyFill="1" applyBorder="1" applyAlignment="1" applyProtection="1">
      <alignment horizontal="center" vertical="center" readingOrder="1"/>
      <protection hidden="1"/>
    </xf>
    <xf numFmtId="176" fontId="9" fillId="30" borderId="74" xfId="1" applyNumberFormat="1" applyFont="1" applyFill="1" applyBorder="1" applyAlignment="1" applyProtection="1">
      <alignment horizontal="center" vertical="center" readingOrder="1"/>
      <protection hidden="1"/>
    </xf>
    <xf numFmtId="3" fontId="7" fillId="30" borderId="74" xfId="5" applyNumberFormat="1" applyFont="1" applyFill="1" applyBorder="1" applyAlignment="1" applyProtection="1">
      <alignment horizontal="center" vertical="center" wrapText="1"/>
      <protection hidden="1"/>
    </xf>
    <xf numFmtId="168" fontId="7" fillId="30" borderId="74" xfId="5" applyNumberFormat="1" applyFont="1" applyFill="1" applyBorder="1" applyAlignment="1" applyProtection="1">
      <alignment horizontal="center" vertical="center" wrapText="1"/>
      <protection hidden="1"/>
    </xf>
    <xf numFmtId="170" fontId="7" fillId="30" borderId="74" xfId="3" applyNumberFormat="1" applyFont="1" applyFill="1" applyBorder="1" applyAlignment="1" applyProtection="1">
      <alignment horizontal="center" vertical="center"/>
      <protection hidden="1"/>
    </xf>
    <xf numFmtId="0" fontId="7" fillId="30" borderId="75" xfId="3" applyFont="1" applyFill="1" applyBorder="1" applyAlignment="1" applyProtection="1">
      <alignment horizontal="left" vertical="center" indent="2"/>
      <protection hidden="1"/>
    </xf>
    <xf numFmtId="0" fontId="7" fillId="30" borderId="76" xfId="3" applyFont="1" applyFill="1" applyBorder="1" applyAlignment="1" applyProtection="1">
      <alignment horizontal="left" vertical="center" indent="2"/>
      <protection hidden="1"/>
    </xf>
    <xf numFmtId="3" fontId="7" fillId="30" borderId="74" xfId="1" applyNumberFormat="1" applyFont="1" applyFill="1" applyBorder="1" applyAlignment="1" applyProtection="1">
      <alignment horizontal="center" vertical="center" wrapText="1"/>
      <protection hidden="1"/>
    </xf>
    <xf numFmtId="0" fontId="13" fillId="31" borderId="74" xfId="3" applyFont="1" applyFill="1" applyBorder="1" applyAlignment="1" applyProtection="1">
      <alignment horizontal="center" vertical="center"/>
      <protection hidden="1"/>
    </xf>
    <xf numFmtId="0" fontId="13" fillId="31" borderId="0" xfId="3" applyFont="1" applyFill="1" applyBorder="1" applyAlignment="1" applyProtection="1">
      <alignment horizontal="center" vertical="center"/>
      <protection hidden="1"/>
    </xf>
    <xf numFmtId="170" fontId="13" fillId="31" borderId="0" xfId="3" applyNumberFormat="1" applyFont="1" applyFill="1" applyBorder="1" applyAlignment="1" applyProtection="1">
      <alignment horizontal="center" vertical="center"/>
      <protection hidden="1"/>
    </xf>
    <xf numFmtId="170" fontId="13" fillId="31" borderId="74" xfId="6" applyNumberFormat="1" applyFont="1" applyFill="1" applyBorder="1" applyAlignment="1" applyProtection="1">
      <alignment horizontal="center" vertical="center"/>
      <protection hidden="1"/>
    </xf>
    <xf numFmtId="173" fontId="13" fillId="31" borderId="74" xfId="6" applyNumberFormat="1" applyFont="1" applyFill="1" applyBorder="1" applyAlignment="1" applyProtection="1">
      <alignment horizontal="center" vertical="center"/>
      <protection hidden="1"/>
    </xf>
    <xf numFmtId="1" fontId="13" fillId="31" borderId="74" xfId="3" applyNumberFormat="1" applyFont="1" applyFill="1" applyBorder="1" applyAlignment="1" applyProtection="1">
      <alignment horizontal="center" vertical="center" wrapText="1"/>
      <protection hidden="1"/>
    </xf>
    <xf numFmtId="4" fontId="18" fillId="2" borderId="77" xfId="3" applyNumberFormat="1" applyFont="1" applyFill="1" applyBorder="1" applyAlignment="1" applyProtection="1">
      <alignment horizontal="left" vertical="center" indent="1"/>
    </xf>
    <xf numFmtId="0" fontId="7" fillId="2" borderId="77" xfId="3" applyFont="1" applyFill="1" applyBorder="1" applyAlignment="1" applyProtection="1">
      <alignment horizontal="left" vertical="center" indent="2"/>
      <protection hidden="1"/>
    </xf>
    <xf numFmtId="0" fontId="81" fillId="27" borderId="77" xfId="19" applyFont="1" applyFill="1" applyBorder="1" applyAlignment="1" applyProtection="1">
      <alignment horizontal="center" vertical="center"/>
      <protection locked="0"/>
    </xf>
    <xf numFmtId="0" fontId="7" fillId="2" borderId="0" xfId="19" applyFont="1" applyFill="1" applyBorder="1" applyAlignment="1" applyProtection="1">
      <alignment vertical="center"/>
      <protection locked="0"/>
    </xf>
    <xf numFmtId="0" fontId="7" fillId="2" borderId="69" xfId="19" applyFont="1" applyFill="1" applyBorder="1" applyAlignment="1" applyProtection="1">
      <alignment horizontal="center" vertical="center" wrapText="1"/>
      <protection locked="0"/>
    </xf>
    <xf numFmtId="0" fontId="9" fillId="2" borderId="0" xfId="19" applyFont="1" applyFill="1" applyBorder="1" applyAlignment="1" applyProtection="1">
      <alignment vertical="center"/>
      <protection locked="0"/>
    </xf>
    <xf numFmtId="0" fontId="7" fillId="2" borderId="0" xfId="19" applyFont="1" applyFill="1" applyAlignment="1" applyProtection="1">
      <alignment vertical="center"/>
      <protection locked="0"/>
    </xf>
    <xf numFmtId="0" fontId="6" fillId="2" borderId="0" xfId="19" applyFont="1" applyFill="1" applyAlignment="1" applyProtection="1">
      <alignment vertical="center"/>
      <protection locked="0"/>
    </xf>
    <xf numFmtId="189" fontId="10" fillId="4" borderId="1" xfId="4" applyNumberFormat="1" applyFont="1" applyFill="1" applyBorder="1" applyAlignment="1" applyProtection="1">
      <alignment horizontal="right" vertical="center"/>
      <protection locked="0"/>
    </xf>
    <xf numFmtId="9" fontId="23" fillId="8" borderId="1" xfId="2" applyFont="1" applyFill="1" applyBorder="1" applyAlignment="1" applyProtection="1">
      <alignment horizontal="center"/>
    </xf>
    <xf numFmtId="9" fontId="23" fillId="8" borderId="1" xfId="7" applyNumberFormat="1" applyFont="1" applyFill="1" applyBorder="1" applyAlignment="1" applyProtection="1">
      <alignment horizontal="center"/>
    </xf>
    <xf numFmtId="3" fontId="23" fillId="8" borderId="1" xfId="7" applyNumberFormat="1" applyFont="1" applyFill="1" applyBorder="1" applyAlignment="1" applyProtection="1">
      <alignment horizontal="center"/>
    </xf>
    <xf numFmtId="0" fontId="23" fillId="8" borderId="1" xfId="7" applyFont="1" applyFill="1" applyBorder="1" applyAlignment="1" applyProtection="1">
      <alignment horizontal="center"/>
    </xf>
    <xf numFmtId="0" fontId="21" fillId="2" borderId="0" xfId="19" applyFont="1" applyFill="1" applyProtection="1"/>
    <xf numFmtId="0" fontId="32" fillId="2" borderId="0" xfId="19" applyFill="1" applyProtection="1"/>
    <xf numFmtId="0" fontId="63" fillId="2" borderId="0" xfId="19" applyFont="1" applyFill="1" applyAlignment="1" applyProtection="1">
      <alignment horizontal="right"/>
    </xf>
    <xf numFmtId="1" fontId="63" fillId="2" borderId="0" xfId="19" applyNumberFormat="1" applyFont="1" applyFill="1" applyProtection="1"/>
    <xf numFmtId="0" fontId="21" fillId="2" borderId="0" xfId="19" applyFont="1" applyFill="1" applyBorder="1" applyProtection="1"/>
    <xf numFmtId="0" fontId="14" fillId="2" borderId="0" xfId="0" applyFont="1" applyFill="1" applyBorder="1" applyAlignment="1" applyProtection="1">
      <alignment horizontal="right" vertical="center" indent="1"/>
    </xf>
    <xf numFmtId="0" fontId="25" fillId="2" borderId="0" xfId="19" applyFont="1" applyFill="1" applyBorder="1" applyAlignment="1" applyProtection="1"/>
    <xf numFmtId="173" fontId="25" fillId="2" borderId="0" xfId="19" applyNumberFormat="1" applyFont="1" applyFill="1" applyBorder="1" applyAlignment="1" applyProtection="1">
      <alignment horizontal="center" vertical="center"/>
    </xf>
    <xf numFmtId="1" fontId="21" fillId="2" borderId="0" xfId="19" applyNumberFormat="1" applyFont="1" applyFill="1" applyBorder="1" applyAlignment="1" applyProtection="1">
      <alignment horizontal="center" vertical="center"/>
    </xf>
    <xf numFmtId="0" fontId="13" fillId="2" borderId="0" xfId="13" applyFont="1" applyFill="1" applyBorder="1" applyAlignment="1" applyProtection="1">
      <alignment horizontal="center"/>
      <protection hidden="1"/>
    </xf>
    <xf numFmtId="180" fontId="8" fillId="2" borderId="0" xfId="16" applyNumberFormat="1" applyFont="1" applyFill="1" applyBorder="1" applyProtection="1">
      <protection hidden="1"/>
    </xf>
    <xf numFmtId="0" fontId="13" fillId="2" borderId="0" xfId="13" applyFont="1" applyFill="1" applyBorder="1" applyProtection="1">
      <protection hidden="1"/>
    </xf>
    <xf numFmtId="9" fontId="8" fillId="2" borderId="0" xfId="15" applyNumberFormat="1" applyFont="1" applyFill="1" applyBorder="1" applyProtection="1">
      <protection hidden="1"/>
    </xf>
    <xf numFmtId="173" fontId="8" fillId="2" borderId="0" xfId="15" applyNumberFormat="1" applyFont="1" applyFill="1" applyBorder="1" applyProtection="1">
      <protection hidden="1"/>
    </xf>
    <xf numFmtId="9" fontId="8" fillId="2" borderId="0" xfId="15" applyFont="1" applyFill="1" applyBorder="1" applyProtection="1">
      <protection hidden="1"/>
    </xf>
    <xf numFmtId="0" fontId="8" fillId="2" borderId="0" xfId="13" applyFont="1" applyFill="1" applyBorder="1" applyProtection="1">
      <protection hidden="1"/>
    </xf>
    <xf numFmtId="0" fontId="8" fillId="2" borderId="0" xfId="13" applyFont="1" applyFill="1" applyBorder="1" applyProtection="1"/>
    <xf numFmtId="0" fontId="13" fillId="2" borderId="0" xfId="13" applyFont="1" applyFill="1" applyBorder="1" applyAlignment="1" applyProtection="1">
      <alignment horizontal="left"/>
      <protection hidden="1"/>
    </xf>
    <xf numFmtId="171" fontId="8" fillId="2" borderId="0" xfId="16" applyNumberFormat="1" applyFont="1" applyFill="1" applyBorder="1" applyProtection="1">
      <protection hidden="1"/>
    </xf>
    <xf numFmtId="177" fontId="8" fillId="2" borderId="0" xfId="13" applyNumberFormat="1" applyFont="1" applyFill="1" applyBorder="1" applyProtection="1">
      <protection hidden="1"/>
    </xf>
    <xf numFmtId="179" fontId="8" fillId="2" borderId="0" xfId="16" applyNumberFormat="1" applyFont="1" applyFill="1" applyBorder="1" applyProtection="1">
      <protection hidden="1"/>
    </xf>
    <xf numFmtId="10" fontId="8" fillId="2" borderId="0" xfId="15" applyNumberFormat="1" applyFont="1" applyFill="1" applyBorder="1" applyProtection="1">
      <protection hidden="1"/>
    </xf>
    <xf numFmtId="43" fontId="8" fillId="2" borderId="0" xfId="16" applyFont="1" applyFill="1" applyBorder="1" applyProtection="1">
      <protection hidden="1"/>
    </xf>
    <xf numFmtId="10" fontId="13" fillId="2" borderId="0" xfId="15" applyNumberFormat="1" applyFont="1" applyFill="1" applyBorder="1" applyAlignment="1" applyProtection="1">
      <alignment horizontal="center"/>
      <protection hidden="1"/>
    </xf>
    <xf numFmtId="173" fontId="13" fillId="2" borderId="0" xfId="15" applyNumberFormat="1" applyFont="1" applyFill="1" applyBorder="1" applyAlignment="1" applyProtection="1">
      <alignment horizontal="center"/>
      <protection hidden="1"/>
    </xf>
    <xf numFmtId="171" fontId="13" fillId="2" borderId="0" xfId="16" applyNumberFormat="1" applyFont="1" applyFill="1" applyBorder="1" applyAlignment="1" applyProtection="1">
      <alignment horizontal="center"/>
      <protection hidden="1"/>
    </xf>
    <xf numFmtId="177" fontId="8" fillId="2" borderId="0" xfId="15" applyNumberFormat="1" applyFont="1" applyFill="1" applyBorder="1" applyProtection="1">
      <protection hidden="1"/>
    </xf>
    <xf numFmtId="177" fontId="8" fillId="2" borderId="0" xfId="13" applyNumberFormat="1" applyFont="1" applyFill="1" applyBorder="1" applyProtection="1"/>
    <xf numFmtId="0" fontId="0" fillId="0" borderId="0" xfId="0" applyProtection="1"/>
    <xf numFmtId="0" fontId="61" fillId="0" borderId="60" xfId="10" applyFont="1" applyFill="1" applyBorder="1" applyAlignment="1" applyProtection="1">
      <alignment horizontal="center" vertical="center" wrapText="1"/>
    </xf>
    <xf numFmtId="0" fontId="58" fillId="0" borderId="62" xfId="0" applyFont="1" applyBorder="1" applyAlignment="1" applyProtection="1">
      <alignment vertical="center" textRotation="90"/>
    </xf>
    <xf numFmtId="0" fontId="0" fillId="0" borderId="0" xfId="0" applyAlignment="1" applyProtection="1">
      <alignment horizontal="left" vertical="top"/>
    </xf>
    <xf numFmtId="0" fontId="61" fillId="2" borderId="58" xfId="10" applyFont="1" applyFill="1" applyBorder="1" applyAlignment="1" applyProtection="1">
      <alignment vertical="center" textRotation="90"/>
    </xf>
    <xf numFmtId="173" fontId="26" fillId="2" borderId="0" xfId="19" applyNumberFormat="1" applyFont="1" applyFill="1" applyBorder="1" applyAlignment="1" applyProtection="1"/>
    <xf numFmtId="0" fontId="4" fillId="29" borderId="77" xfId="19" applyFont="1" applyFill="1" applyBorder="1" applyAlignment="1" applyProtection="1">
      <alignment horizontal="center" vertical="center"/>
    </xf>
    <xf numFmtId="1" fontId="4" fillId="29" borderId="77" xfId="19" applyNumberFormat="1" applyFont="1" applyFill="1" applyBorder="1" applyAlignment="1" applyProtection="1">
      <alignment horizontal="center" vertical="center"/>
    </xf>
    <xf numFmtId="173" fontId="4" fillId="29" borderId="77" xfId="2" applyNumberFormat="1" applyFont="1" applyFill="1" applyBorder="1" applyAlignment="1" applyProtection="1">
      <alignment horizontal="center" vertical="center"/>
    </xf>
    <xf numFmtId="0" fontId="46" fillId="29" borderId="77" xfId="19" applyFont="1" applyFill="1" applyBorder="1" applyAlignment="1" applyProtection="1">
      <alignment horizontal="center" vertical="center"/>
    </xf>
    <xf numFmtId="0" fontId="80" fillId="29" borderId="77" xfId="19" applyFont="1" applyFill="1" applyBorder="1" applyAlignment="1" applyProtection="1">
      <alignment horizontal="center" vertical="center"/>
    </xf>
    <xf numFmtId="0" fontId="46" fillId="2" borderId="77" xfId="19" applyFont="1" applyFill="1" applyBorder="1" applyAlignment="1" applyProtection="1">
      <alignment horizontal="center" vertical="center"/>
    </xf>
    <xf numFmtId="3" fontId="8" fillId="23" borderId="42" xfId="18" applyNumberFormat="1" applyFont="1" applyFill="1" applyBorder="1" applyAlignment="1" applyProtection="1">
      <alignment horizontal="center" vertical="center"/>
      <protection locked="0"/>
    </xf>
    <xf numFmtId="9" fontId="8" fillId="23" borderId="4" xfId="2" applyFont="1" applyFill="1" applyBorder="1" applyAlignment="1" applyProtection="1">
      <alignment horizontal="center" vertical="center"/>
      <protection locked="0"/>
    </xf>
    <xf numFmtId="4" fontId="18" fillId="2" borderId="1" xfId="18" applyNumberFormat="1" applyFont="1" applyFill="1" applyBorder="1" applyAlignment="1" applyProtection="1">
      <alignment horizontal="center" vertical="center"/>
      <protection hidden="1"/>
    </xf>
    <xf numFmtId="9" fontId="18" fillId="2" borderId="3" xfId="2" applyFont="1" applyFill="1" applyBorder="1" applyAlignment="1" applyProtection="1">
      <alignment horizontal="center" vertical="center"/>
      <protection hidden="1"/>
    </xf>
    <xf numFmtId="9" fontId="18" fillId="8" borderId="3" xfId="2" applyNumberFormat="1" applyFont="1" applyFill="1" applyBorder="1" applyAlignment="1" applyProtection="1">
      <alignment horizontal="center" vertical="center"/>
      <protection hidden="1"/>
    </xf>
    <xf numFmtId="4" fontId="45" fillId="2" borderId="1" xfId="18" applyNumberFormat="1" applyFont="1" applyFill="1" applyBorder="1" applyAlignment="1" applyProtection="1">
      <alignment horizontal="center" vertical="center"/>
      <protection hidden="1"/>
    </xf>
    <xf numFmtId="1" fontId="18" fillId="8" borderId="3" xfId="2" applyNumberFormat="1" applyFont="1" applyFill="1" applyBorder="1" applyAlignment="1" applyProtection="1">
      <alignment horizontal="center" vertical="center"/>
      <protection hidden="1"/>
    </xf>
    <xf numFmtId="0" fontId="18" fillId="2" borderId="0" xfId="18" applyFont="1" applyFill="1" applyAlignment="1" applyProtection="1">
      <alignment vertical="center"/>
      <protection hidden="1"/>
    </xf>
    <xf numFmtId="9" fontId="18" fillId="2" borderId="3" xfId="2" applyNumberFormat="1" applyFont="1" applyFill="1" applyBorder="1" applyAlignment="1" applyProtection="1">
      <alignment horizontal="center" vertical="center"/>
      <protection hidden="1"/>
    </xf>
    <xf numFmtId="1" fontId="18" fillId="8" borderId="3" xfId="1" applyNumberFormat="1" applyFont="1" applyFill="1" applyBorder="1" applyAlignment="1" applyProtection="1">
      <alignment horizontal="center" vertical="center"/>
      <protection hidden="1"/>
    </xf>
    <xf numFmtId="4" fontId="18" fillId="11" borderId="1" xfId="18" applyNumberFormat="1" applyFont="1" applyFill="1" applyBorder="1" applyAlignment="1" applyProtection="1">
      <alignment horizontal="center" vertical="center"/>
      <protection hidden="1"/>
    </xf>
    <xf numFmtId="3" fontId="18" fillId="25" borderId="42" xfId="0" applyNumberFormat="1" applyFont="1" applyFill="1" applyBorder="1" applyAlignment="1" applyProtection="1">
      <alignment horizontal="center" vertical="center"/>
      <protection hidden="1"/>
    </xf>
    <xf numFmtId="4" fontId="18" fillId="2" borderId="0" xfId="18" applyNumberFormat="1" applyFont="1" applyFill="1" applyBorder="1" applyAlignment="1" applyProtection="1">
      <alignment horizontal="center" vertical="center"/>
      <protection hidden="1"/>
    </xf>
    <xf numFmtId="4" fontId="18" fillId="11" borderId="2" xfId="18" applyNumberFormat="1" applyFont="1" applyFill="1" applyBorder="1" applyAlignment="1" applyProtection="1">
      <alignment horizontal="center" vertical="center"/>
      <protection hidden="1"/>
    </xf>
    <xf numFmtId="3" fontId="18" fillId="11" borderId="42" xfId="0" applyNumberFormat="1" applyFont="1" applyFill="1" applyBorder="1" applyAlignment="1" applyProtection="1">
      <alignment horizontal="center" vertical="center"/>
      <protection hidden="1"/>
    </xf>
    <xf numFmtId="1" fontId="18" fillId="2" borderId="0" xfId="18" applyNumberFormat="1" applyFont="1" applyFill="1" applyBorder="1" applyAlignment="1" applyProtection="1">
      <alignment horizontal="center"/>
      <protection hidden="1"/>
    </xf>
    <xf numFmtId="189" fontId="23" fillId="27" borderId="77" xfId="440" applyNumberFormat="1" applyFont="1" applyFill="1" applyBorder="1" applyAlignment="1" applyProtection="1">
      <alignment horizontal="center" vertical="center"/>
      <protection locked="0"/>
    </xf>
    <xf numFmtId="189" fontId="23" fillId="27" borderId="77" xfId="0" applyNumberFormat="1" applyFont="1" applyFill="1" applyBorder="1" applyAlignment="1" applyProtection="1">
      <alignment horizontal="center" vertical="center"/>
      <protection locked="0"/>
    </xf>
    <xf numFmtId="0" fontId="16" fillId="27" borderId="77" xfId="0" applyFont="1" applyFill="1" applyBorder="1" applyAlignment="1" applyProtection="1">
      <alignment vertical="center"/>
      <protection locked="0"/>
    </xf>
    <xf numFmtId="9" fontId="23" fillId="27" borderId="77" xfId="2" applyFont="1" applyFill="1" applyBorder="1" applyAlignment="1" applyProtection="1">
      <alignment horizontal="center" vertical="center"/>
      <protection locked="0"/>
    </xf>
    <xf numFmtId="165" fontId="23" fillId="27" borderId="77" xfId="440" applyFont="1" applyFill="1" applyBorder="1" applyAlignment="1" applyProtection="1">
      <alignment horizontal="center" vertical="center"/>
      <protection locked="0"/>
    </xf>
    <xf numFmtId="0" fontId="14" fillId="2" borderId="0" xfId="0" applyFont="1" applyFill="1" applyProtection="1">
      <protection hidden="1"/>
    </xf>
    <xf numFmtId="0" fontId="16" fillId="31" borderId="77" xfId="0" applyFont="1" applyFill="1" applyBorder="1" applyAlignment="1" applyProtection="1">
      <alignment vertical="center"/>
      <protection hidden="1"/>
    </xf>
    <xf numFmtId="1" fontId="24" fillId="2" borderId="77" xfId="0" applyNumberFormat="1" applyFont="1" applyFill="1" applyBorder="1" applyAlignment="1" applyProtection="1">
      <alignment horizontal="center" vertical="center"/>
      <protection hidden="1"/>
    </xf>
    <xf numFmtId="0" fontId="1" fillId="2" borderId="0" xfId="0" applyFont="1" applyFill="1" applyProtection="1">
      <protection hidden="1"/>
    </xf>
    <xf numFmtId="0" fontId="16" fillId="31" borderId="77" xfId="0" applyFont="1" applyFill="1" applyBorder="1" applyAlignment="1" applyProtection="1">
      <alignment horizontal="left" vertical="center" wrapText="1"/>
      <protection hidden="1"/>
    </xf>
    <xf numFmtId="0" fontId="24" fillId="30" borderId="77" xfId="0" applyFont="1" applyFill="1" applyBorder="1" applyAlignment="1" applyProtection="1">
      <alignment horizontal="center" vertical="center" wrapText="1"/>
      <protection hidden="1"/>
    </xf>
    <xf numFmtId="189" fontId="1" fillId="30" borderId="77" xfId="440" applyNumberFormat="1" applyFont="1" applyFill="1" applyBorder="1" applyAlignment="1" applyProtection="1">
      <alignment horizontal="center" vertical="center"/>
      <protection hidden="1"/>
    </xf>
    <xf numFmtId="0" fontId="1" fillId="2" borderId="0" xfId="0" applyFont="1" applyFill="1" applyAlignment="1" applyProtection="1">
      <alignment vertical="center"/>
      <protection hidden="1"/>
    </xf>
    <xf numFmtId="0" fontId="16" fillId="31" borderId="77" xfId="0" applyFont="1" applyFill="1" applyBorder="1" applyAlignment="1" applyProtection="1">
      <alignment horizontal="center" vertical="center"/>
      <protection hidden="1"/>
    </xf>
    <xf numFmtId="1" fontId="16" fillId="31" borderId="77" xfId="0" applyNumberFormat="1" applyFont="1" applyFill="1" applyBorder="1" applyAlignment="1" applyProtection="1">
      <alignment horizontal="center" vertical="center"/>
      <protection hidden="1"/>
    </xf>
    <xf numFmtId="0" fontId="24" fillId="2" borderId="77" xfId="0" applyFont="1" applyFill="1" applyBorder="1" applyAlignment="1" applyProtection="1">
      <alignment horizontal="left" vertical="center" indent="1"/>
      <protection hidden="1"/>
    </xf>
    <xf numFmtId="0" fontId="1" fillId="2" borderId="77" xfId="0" applyFont="1" applyFill="1" applyBorder="1" applyAlignment="1" applyProtection="1">
      <alignment horizontal="center" vertical="center"/>
      <protection hidden="1"/>
    </xf>
    <xf numFmtId="189" fontId="1" fillId="2" borderId="77" xfId="440" applyNumberFormat="1" applyFont="1" applyFill="1" applyBorder="1" applyAlignment="1" applyProtection="1">
      <alignment horizontal="center" vertical="center"/>
      <protection hidden="1"/>
    </xf>
    <xf numFmtId="0" fontId="24" fillId="30" borderId="77" xfId="0" applyFont="1" applyFill="1" applyBorder="1" applyAlignment="1" applyProtection="1">
      <alignment horizontal="left" vertical="center" indent="1"/>
      <protection hidden="1"/>
    </xf>
    <xf numFmtId="0" fontId="1" fillId="30" borderId="77" xfId="0" applyFont="1" applyFill="1" applyBorder="1" applyAlignment="1" applyProtection="1">
      <alignment horizontal="center" vertical="center"/>
      <protection hidden="1"/>
    </xf>
    <xf numFmtId="189" fontId="1" fillId="30" borderId="77" xfId="0" applyNumberFormat="1" applyFont="1" applyFill="1" applyBorder="1" applyAlignment="1" applyProtection="1">
      <alignment horizontal="center" vertical="center"/>
      <protection hidden="1"/>
    </xf>
    <xf numFmtId="189" fontId="1" fillId="2" borderId="77" xfId="0" applyNumberFormat="1" applyFont="1" applyFill="1" applyBorder="1" applyAlignment="1" applyProtection="1">
      <alignment horizontal="center" vertical="center"/>
      <protection hidden="1"/>
    </xf>
    <xf numFmtId="0" fontId="24" fillId="2" borderId="0" xfId="0" applyFont="1" applyFill="1" applyBorder="1" applyAlignment="1" applyProtection="1">
      <alignment horizontal="center" vertical="center" wrapText="1"/>
      <protection hidden="1"/>
    </xf>
    <xf numFmtId="0" fontId="1" fillId="2" borderId="0" xfId="0" applyFont="1" applyFill="1" applyBorder="1" applyAlignment="1" applyProtection="1">
      <alignment horizontal="center" vertical="center"/>
      <protection hidden="1"/>
    </xf>
    <xf numFmtId="189" fontId="24" fillId="2" borderId="0" xfId="440" applyNumberFormat="1" applyFont="1" applyFill="1" applyBorder="1" applyAlignment="1" applyProtection="1">
      <alignment horizontal="center" vertical="center"/>
      <protection hidden="1"/>
    </xf>
    <xf numFmtId="0" fontId="24" fillId="30" borderId="77" xfId="0" applyFont="1" applyFill="1" applyBorder="1" applyAlignment="1" applyProtection="1">
      <alignment vertical="center"/>
      <protection hidden="1"/>
    </xf>
    <xf numFmtId="0" fontId="24" fillId="30" borderId="77" xfId="0" applyFont="1" applyFill="1" applyBorder="1" applyAlignment="1" applyProtection="1">
      <alignment horizontal="center" vertical="center"/>
      <protection hidden="1"/>
    </xf>
    <xf numFmtId="0" fontId="24" fillId="30" borderId="77" xfId="0" applyFont="1" applyFill="1" applyBorder="1" applyAlignment="1" applyProtection="1">
      <alignment horizontal="left" vertical="center"/>
      <protection hidden="1"/>
    </xf>
    <xf numFmtId="0" fontId="24" fillId="24" borderId="0" xfId="0" applyFont="1" applyFill="1" applyAlignment="1" applyProtection="1">
      <alignment horizontal="center" vertical="center"/>
      <protection hidden="1"/>
    </xf>
    <xf numFmtId="0" fontId="23" fillId="28" borderId="0" xfId="0" applyFont="1" applyFill="1" applyAlignment="1" applyProtection="1">
      <alignment horizontal="center" vertical="center"/>
      <protection hidden="1"/>
    </xf>
    <xf numFmtId="0" fontId="33" fillId="2" borderId="0" xfId="10" applyFont="1" applyFill="1" applyProtection="1">
      <protection hidden="1"/>
    </xf>
    <xf numFmtId="0" fontId="32" fillId="2" borderId="0" xfId="10" applyFont="1" applyFill="1" applyBorder="1" applyAlignment="1" applyProtection="1">
      <alignment horizontal="left"/>
      <protection hidden="1"/>
    </xf>
    <xf numFmtId="0" fontId="19" fillId="2" borderId="0" xfId="10" applyFont="1" applyFill="1" applyProtection="1">
      <protection hidden="1"/>
    </xf>
    <xf numFmtId="0" fontId="32" fillId="2" borderId="0" xfId="10" applyFont="1" applyFill="1" applyProtection="1">
      <protection hidden="1"/>
    </xf>
    <xf numFmtId="3" fontId="17" fillId="2" borderId="1" xfId="2" applyNumberFormat="1" applyFont="1" applyFill="1" applyBorder="1" applyAlignment="1" applyProtection="1">
      <alignment horizontal="center"/>
      <protection hidden="1"/>
    </xf>
    <xf numFmtId="3" fontId="17" fillId="2" borderId="1" xfId="0" applyNumberFormat="1" applyFont="1" applyFill="1" applyBorder="1" applyAlignment="1" applyProtection="1">
      <alignment horizontal="center"/>
      <protection hidden="1"/>
    </xf>
    <xf numFmtId="177" fontId="17" fillId="2" borderId="1" xfId="2" applyNumberFormat="1" applyFont="1" applyFill="1" applyBorder="1" applyAlignment="1" applyProtection="1">
      <alignment horizontal="center"/>
      <protection hidden="1"/>
    </xf>
    <xf numFmtId="9" fontId="17" fillId="2" borderId="1" xfId="2" applyNumberFormat="1" applyFont="1" applyFill="1" applyBorder="1" applyAlignment="1" applyProtection="1">
      <alignment horizontal="center"/>
      <protection hidden="1"/>
    </xf>
    <xf numFmtId="0" fontId="9" fillId="8" borderId="1" xfId="13" applyFont="1" applyFill="1" applyBorder="1" applyAlignment="1" applyProtection="1">
      <alignment horizontal="center"/>
      <protection hidden="1"/>
    </xf>
    <xf numFmtId="1" fontId="14" fillId="8" borderId="1" xfId="3" applyNumberFormat="1" applyFont="1" applyFill="1" applyBorder="1" applyAlignment="1" applyProtection="1">
      <alignment horizontal="center" vertical="center" wrapText="1"/>
    </xf>
    <xf numFmtId="0" fontId="16" fillId="31" borderId="77" xfId="0" applyFont="1" applyFill="1" applyBorder="1" applyAlignment="1" applyProtection="1">
      <alignment horizontal="center" vertical="center" wrapText="1"/>
      <protection hidden="1"/>
    </xf>
    <xf numFmtId="0" fontId="21" fillId="2" borderId="0" xfId="19" applyFont="1" applyFill="1" applyProtection="1">
      <protection hidden="1"/>
    </xf>
    <xf numFmtId="0" fontId="32" fillId="2" borderId="0" xfId="19" applyFont="1" applyFill="1" applyProtection="1">
      <protection hidden="1"/>
    </xf>
    <xf numFmtId="0" fontId="21" fillId="2" borderId="0" xfId="19" applyFont="1" applyFill="1" applyAlignment="1" applyProtection="1">
      <alignment horizontal="right"/>
      <protection hidden="1"/>
    </xf>
    <xf numFmtId="1" fontId="21" fillId="2" borderId="0" xfId="19" applyNumberFormat="1" applyFont="1" applyFill="1" applyProtection="1">
      <protection hidden="1"/>
    </xf>
    <xf numFmtId="0" fontId="21" fillId="2" borderId="0" xfId="19" applyFont="1" applyFill="1" applyBorder="1" applyProtection="1">
      <protection hidden="1"/>
    </xf>
    <xf numFmtId="0" fontId="24" fillId="2" borderId="0" xfId="0" applyFont="1" applyFill="1" applyBorder="1" applyAlignment="1" applyProtection="1">
      <alignment horizontal="right" vertical="center" indent="1"/>
      <protection hidden="1"/>
    </xf>
    <xf numFmtId="0" fontId="25" fillId="2" borderId="0" xfId="19" applyFont="1" applyFill="1" applyAlignment="1" applyProtection="1">
      <alignment horizontal="center"/>
      <protection hidden="1"/>
    </xf>
    <xf numFmtId="0" fontId="33" fillId="2" borderId="0" xfId="19" applyFont="1" applyFill="1" applyAlignment="1" applyProtection="1">
      <alignment horizontal="center"/>
      <protection hidden="1"/>
    </xf>
    <xf numFmtId="0" fontId="21" fillId="2" borderId="0" xfId="19" applyFont="1" applyFill="1" applyAlignment="1" applyProtection="1">
      <alignment horizontal="center"/>
      <protection hidden="1"/>
    </xf>
    <xf numFmtId="0" fontId="27" fillId="2" borderId="0" xfId="19" applyFont="1" applyFill="1" applyBorder="1" applyAlignment="1" applyProtection="1">
      <protection hidden="1"/>
    </xf>
    <xf numFmtId="1" fontId="21" fillId="2" borderId="0" xfId="19" applyNumberFormat="1" applyFont="1" applyFill="1" applyBorder="1" applyAlignment="1" applyProtection="1">
      <alignment horizontal="center" vertical="center"/>
      <protection hidden="1"/>
    </xf>
    <xf numFmtId="1" fontId="25" fillId="2" borderId="0" xfId="19" applyNumberFormat="1" applyFont="1" applyFill="1" applyBorder="1" applyAlignment="1" applyProtection="1">
      <alignment horizontal="center" vertical="center"/>
      <protection hidden="1"/>
    </xf>
    <xf numFmtId="0" fontId="21" fillId="2" borderId="0" xfId="19" applyFont="1" applyFill="1" applyBorder="1" applyAlignment="1" applyProtection="1">
      <alignment vertical="center"/>
      <protection hidden="1"/>
    </xf>
    <xf numFmtId="177" fontId="25" fillId="2" borderId="0" xfId="19" applyNumberFormat="1" applyFont="1" applyFill="1" applyBorder="1" applyAlignment="1" applyProtection="1">
      <alignment horizontal="center" vertical="center"/>
      <protection hidden="1"/>
    </xf>
    <xf numFmtId="1" fontId="25" fillId="2" borderId="0" xfId="19" applyNumberFormat="1" applyFont="1" applyFill="1" applyAlignment="1" applyProtection="1">
      <alignment horizontal="center"/>
      <protection hidden="1"/>
    </xf>
    <xf numFmtId="0" fontId="25" fillId="2" borderId="0" xfId="19" applyFont="1" applyFill="1" applyProtection="1">
      <protection hidden="1"/>
    </xf>
    <xf numFmtId="1" fontId="25" fillId="2" borderId="0" xfId="19" applyNumberFormat="1" applyFont="1" applyFill="1" applyProtection="1">
      <protection hidden="1"/>
    </xf>
    <xf numFmtId="0" fontId="32" fillId="2" borderId="0" xfId="19" applyFont="1" applyFill="1" applyAlignment="1" applyProtection="1">
      <alignment horizontal="center"/>
      <protection hidden="1"/>
    </xf>
    <xf numFmtId="0" fontId="73" fillId="2" borderId="0" xfId="19" applyFont="1" applyFill="1" applyProtection="1">
      <protection hidden="1"/>
    </xf>
    <xf numFmtId="9" fontId="73" fillId="2" borderId="0" xfId="19" applyNumberFormat="1" applyFont="1" applyFill="1" applyAlignment="1" applyProtection="1">
      <alignment horizontal="center"/>
      <protection hidden="1"/>
    </xf>
    <xf numFmtId="0" fontId="32" fillId="2" borderId="0" xfId="19" applyFont="1" applyFill="1" applyBorder="1" applyProtection="1">
      <protection hidden="1"/>
    </xf>
    <xf numFmtId="0" fontId="71" fillId="2" borderId="0" xfId="19" applyFont="1" applyFill="1" applyBorder="1" applyAlignment="1" applyProtection="1">
      <alignment horizontal="center"/>
      <protection hidden="1"/>
    </xf>
    <xf numFmtId="0" fontId="73" fillId="2" borderId="0" xfId="19" applyFont="1" applyFill="1" applyBorder="1" applyAlignment="1" applyProtection="1">
      <alignment horizontal="center"/>
      <protection hidden="1"/>
    </xf>
    <xf numFmtId="0" fontId="72" fillId="2" borderId="0" xfId="19" applyFont="1" applyFill="1" applyBorder="1" applyAlignment="1" applyProtection="1">
      <alignment horizontal="center"/>
      <protection hidden="1"/>
    </xf>
    <xf numFmtId="9" fontId="73" fillId="2" borderId="0" xfId="19" applyNumberFormat="1" applyFont="1" applyFill="1" applyBorder="1" applyAlignment="1" applyProtection="1">
      <alignment horizontal="center"/>
      <protection hidden="1"/>
    </xf>
    <xf numFmtId="0" fontId="32" fillId="2" borderId="0" xfId="19" applyFont="1" applyFill="1" applyBorder="1" applyAlignment="1" applyProtection="1">
      <alignment horizontal="center"/>
      <protection hidden="1"/>
    </xf>
    <xf numFmtId="0" fontId="73" fillId="2" borderId="0" xfId="19" applyFont="1" applyFill="1" applyBorder="1" applyProtection="1">
      <protection hidden="1"/>
    </xf>
    <xf numFmtId="9" fontId="72" fillId="2" borderId="0" xfId="19" applyNumberFormat="1" applyFont="1" applyFill="1" applyBorder="1" applyAlignment="1" applyProtection="1">
      <alignment horizontal="center"/>
      <protection hidden="1"/>
    </xf>
    <xf numFmtId="0" fontId="32" fillId="2" borderId="0" xfId="19" applyFont="1" applyFill="1" applyBorder="1" applyAlignment="1" applyProtection="1">
      <alignment wrapText="1"/>
      <protection hidden="1"/>
    </xf>
    <xf numFmtId="9" fontId="32" fillId="2" borderId="0" xfId="19" applyNumberFormat="1" applyFont="1" applyFill="1" applyBorder="1" applyAlignment="1" applyProtection="1">
      <alignment horizontal="center"/>
      <protection hidden="1"/>
    </xf>
    <xf numFmtId="173" fontId="72" fillId="2" borderId="0" xfId="19" applyNumberFormat="1" applyFont="1" applyFill="1" applyBorder="1" applyAlignment="1" applyProtection="1">
      <alignment horizontal="center"/>
      <protection hidden="1"/>
    </xf>
    <xf numFmtId="0" fontId="19" fillId="2" borderId="0" xfId="19" applyFont="1" applyFill="1" applyBorder="1" applyProtection="1">
      <protection hidden="1"/>
    </xf>
    <xf numFmtId="0" fontId="0" fillId="2" borderId="86" xfId="0" applyFill="1" applyBorder="1" applyProtection="1"/>
    <xf numFmtId="0" fontId="0" fillId="2" borderId="87" xfId="0" applyFill="1" applyBorder="1" applyProtection="1"/>
    <xf numFmtId="0" fontId="9" fillId="8" borderId="89" xfId="3" applyFont="1" applyFill="1" applyBorder="1" applyAlignment="1" applyProtection="1">
      <alignment horizontal="center" vertical="center"/>
      <protection hidden="1"/>
    </xf>
    <xf numFmtId="0" fontId="7" fillId="0" borderId="89" xfId="13" applyFont="1" applyBorder="1" applyAlignment="1" applyProtection="1">
      <alignment horizontal="left" indent="1"/>
      <protection hidden="1"/>
    </xf>
    <xf numFmtId="0" fontId="7" fillId="0" borderId="89" xfId="13" applyFont="1" applyFill="1" applyBorder="1" applyAlignment="1" applyProtection="1">
      <alignment horizontal="left" indent="1"/>
      <protection hidden="1"/>
    </xf>
    <xf numFmtId="0" fontId="7" fillId="0" borderId="91" xfId="13" applyFont="1" applyBorder="1" applyAlignment="1" applyProtection="1">
      <alignment horizontal="left" indent="1"/>
    </xf>
    <xf numFmtId="0" fontId="0" fillId="2" borderId="92" xfId="0" applyFill="1" applyBorder="1" applyProtection="1"/>
    <xf numFmtId="0" fontId="0" fillId="2" borderId="93" xfId="0" applyFill="1" applyBorder="1" applyProtection="1"/>
    <xf numFmtId="0" fontId="0" fillId="2" borderId="94" xfId="0" applyFill="1" applyBorder="1" applyProtection="1"/>
    <xf numFmtId="0" fontId="21" fillId="2" borderId="0" xfId="19" applyFont="1" applyFill="1" applyBorder="1" applyAlignment="1" applyProtection="1">
      <alignment horizontal="center"/>
      <protection locked="0"/>
    </xf>
    <xf numFmtId="0" fontId="25" fillId="2" borderId="0" xfId="19" applyFont="1" applyFill="1" applyBorder="1" applyAlignment="1" applyProtection="1">
      <alignment horizontal="center"/>
      <protection locked="0"/>
    </xf>
    <xf numFmtId="173" fontId="8" fillId="23" borderId="75" xfId="2" applyNumberFormat="1" applyFont="1" applyFill="1" applyBorder="1" applyAlignment="1" applyProtection="1">
      <alignment horizontal="center" vertical="center"/>
      <protection locked="0"/>
    </xf>
    <xf numFmtId="173" fontId="8" fillId="23" borderId="95" xfId="2" applyNumberFormat="1" applyFont="1" applyFill="1" applyBorder="1" applyAlignment="1" applyProtection="1">
      <alignment horizontal="center" vertical="center"/>
      <protection locked="0"/>
    </xf>
    <xf numFmtId="0" fontId="84" fillId="2" borderId="0" xfId="19" applyFont="1" applyFill="1" applyProtection="1">
      <protection locked="0"/>
    </xf>
    <xf numFmtId="0" fontId="84" fillId="2" borderId="0" xfId="19" applyFont="1" applyFill="1" applyBorder="1" applyProtection="1">
      <protection locked="0"/>
    </xf>
    <xf numFmtId="0" fontId="85" fillId="2" borderId="0" xfId="19" applyFont="1" applyFill="1" applyBorder="1" applyAlignment="1" applyProtection="1">
      <protection locked="0"/>
    </xf>
    <xf numFmtId="0" fontId="84" fillId="2" borderId="0" xfId="19" applyFont="1" applyFill="1" applyBorder="1" applyAlignment="1" applyProtection="1">
      <protection locked="0"/>
    </xf>
    <xf numFmtId="173" fontId="85" fillId="2" borderId="0" xfId="19" applyNumberFormat="1" applyFont="1" applyFill="1" applyBorder="1" applyAlignment="1" applyProtection="1">
      <protection locked="0"/>
    </xf>
    <xf numFmtId="176" fontId="85" fillId="2" borderId="0" xfId="19" applyNumberFormat="1" applyFont="1" applyFill="1" applyBorder="1" applyAlignment="1" applyProtection="1">
      <alignment horizontal="center"/>
      <protection locked="0"/>
    </xf>
    <xf numFmtId="176" fontId="84" fillId="2" borderId="0" xfId="19" applyNumberFormat="1" applyFont="1" applyFill="1" applyBorder="1" applyAlignment="1" applyProtection="1">
      <alignment horizontal="center"/>
      <protection locked="0"/>
    </xf>
    <xf numFmtId="1" fontId="84" fillId="2" borderId="0" xfId="19" applyNumberFormat="1" applyFont="1" applyFill="1" applyBorder="1" applyAlignment="1" applyProtection="1">
      <alignment horizontal="center" vertical="center"/>
      <protection locked="0"/>
    </xf>
    <xf numFmtId="0" fontId="84" fillId="2" borderId="0" xfId="19" applyFont="1" applyFill="1" applyBorder="1" applyAlignment="1" applyProtection="1">
      <alignment vertical="center"/>
      <protection locked="0"/>
    </xf>
    <xf numFmtId="0" fontId="86" fillId="2" borderId="0" xfId="19" applyFont="1" applyFill="1" applyProtection="1">
      <protection locked="0"/>
    </xf>
    <xf numFmtId="0" fontId="87" fillId="2" borderId="0" xfId="19" applyFont="1" applyFill="1" applyBorder="1" applyProtection="1">
      <protection locked="0"/>
    </xf>
    <xf numFmtId="0" fontId="84" fillId="2" borderId="0" xfId="19" applyFont="1" applyFill="1" applyBorder="1" applyAlignment="1" applyProtection="1">
      <alignment horizontal="center" vertical="center"/>
      <protection locked="0"/>
    </xf>
    <xf numFmtId="173" fontId="85" fillId="2" borderId="0" xfId="19" applyNumberFormat="1" applyFont="1" applyFill="1" applyBorder="1" applyAlignment="1" applyProtection="1">
      <alignment horizontal="center" vertical="center"/>
      <protection locked="0"/>
    </xf>
    <xf numFmtId="173" fontId="85" fillId="2" borderId="0" xfId="2" applyNumberFormat="1" applyFont="1" applyFill="1" applyBorder="1" applyAlignment="1" applyProtection="1">
      <alignment horizontal="center" vertical="center"/>
      <protection locked="0"/>
    </xf>
    <xf numFmtId="176" fontId="85" fillId="2" borderId="0" xfId="19" applyNumberFormat="1" applyFont="1" applyFill="1" applyBorder="1" applyAlignment="1" applyProtection="1">
      <alignment horizontal="center" vertical="center"/>
      <protection locked="0"/>
    </xf>
    <xf numFmtId="167" fontId="85" fillId="2" borderId="0" xfId="19" applyNumberFormat="1" applyFont="1" applyFill="1" applyBorder="1" applyAlignment="1" applyProtection="1">
      <alignment horizontal="center" vertical="center"/>
      <protection locked="0"/>
    </xf>
    <xf numFmtId="0" fontId="87" fillId="2" borderId="0" xfId="19" applyFont="1" applyFill="1" applyProtection="1">
      <protection locked="0"/>
    </xf>
    <xf numFmtId="9" fontId="86" fillId="2" borderId="0" xfId="19" applyNumberFormat="1" applyFont="1" applyFill="1" applyBorder="1" applyAlignment="1" applyProtection="1">
      <alignment horizontal="center"/>
      <protection locked="0"/>
    </xf>
    <xf numFmtId="4" fontId="18" fillId="12" borderId="41" xfId="0" applyNumberFormat="1" applyFont="1" applyFill="1" applyBorder="1" applyAlignment="1" applyProtection="1">
      <alignment horizontal="center" vertical="center"/>
      <protection hidden="1"/>
    </xf>
    <xf numFmtId="0" fontId="21" fillId="2" borderId="69" xfId="19" applyFont="1" applyFill="1" applyBorder="1" applyAlignment="1" applyProtection="1">
      <alignment horizontal="center" vertical="center" wrapText="1"/>
      <protection locked="0"/>
    </xf>
    <xf numFmtId="3" fontId="18" fillId="2" borderId="4" xfId="18" applyNumberFormat="1" applyFont="1" applyFill="1" applyBorder="1" applyAlignment="1" applyProtection="1">
      <alignment horizontal="center" vertical="center" wrapText="1"/>
      <protection hidden="1"/>
    </xf>
    <xf numFmtId="0" fontId="62" fillId="2" borderId="0" xfId="19" applyFont="1" applyFill="1" applyProtection="1">
      <protection locked="0"/>
    </xf>
    <xf numFmtId="9" fontId="62" fillId="2" borderId="0" xfId="19" applyNumberFormat="1" applyFont="1" applyFill="1" applyAlignment="1" applyProtection="1">
      <alignment horizontal="center"/>
      <protection locked="0"/>
    </xf>
    <xf numFmtId="0" fontId="87" fillId="2" borderId="0" xfId="19" applyFont="1" applyFill="1" applyBorder="1" applyAlignment="1" applyProtection="1">
      <alignment horizontal="center"/>
      <protection locked="0"/>
    </xf>
    <xf numFmtId="0" fontId="86" fillId="2" borderId="0" xfId="19" applyFont="1" applyFill="1" applyBorder="1" applyAlignment="1" applyProtection="1">
      <alignment horizontal="center"/>
      <protection locked="0"/>
    </xf>
    <xf numFmtId="0" fontId="89" fillId="2" borderId="0" xfId="19" applyFont="1" applyFill="1" applyBorder="1" applyAlignment="1" applyProtection="1">
      <alignment horizontal="center"/>
      <protection locked="0"/>
    </xf>
    <xf numFmtId="176" fontId="8" fillId="4" borderId="1" xfId="0" applyNumberFormat="1" applyFont="1" applyFill="1" applyBorder="1" applyAlignment="1" applyProtection="1">
      <alignment horizontal="center" vertical="center"/>
      <protection locked="0"/>
    </xf>
    <xf numFmtId="176" fontId="8" fillId="4" borderId="1" xfId="0" applyNumberFormat="1" applyFont="1" applyFill="1" applyBorder="1" applyAlignment="1" applyProtection="1">
      <alignment horizontal="center" vertical="center"/>
      <protection locked="0" hidden="1"/>
    </xf>
    <xf numFmtId="0" fontId="19" fillId="2" borderId="0" xfId="19" applyFont="1" applyFill="1" applyAlignment="1" applyProtection="1">
      <alignment horizontal="right" wrapText="1"/>
      <protection locked="0"/>
    </xf>
    <xf numFmtId="3" fontId="7" fillId="2" borderId="50" xfId="17" applyNumberFormat="1" applyFont="1" applyFill="1" applyBorder="1" applyAlignment="1" applyProtection="1">
      <alignment horizontal="center" vertical="center"/>
      <protection hidden="1"/>
    </xf>
    <xf numFmtId="3" fontId="7" fillId="0" borderId="97" xfId="17" applyNumberFormat="1" applyFont="1" applyFill="1" applyBorder="1" applyAlignment="1" applyProtection="1">
      <alignment horizontal="center" vertical="center"/>
      <protection hidden="1"/>
    </xf>
    <xf numFmtId="3" fontId="8" fillId="23" borderId="96" xfId="17" applyNumberFormat="1" applyFont="1" applyFill="1" applyBorder="1" applyAlignment="1" applyProtection="1">
      <alignment horizontal="center" vertical="center"/>
      <protection hidden="1"/>
    </xf>
    <xf numFmtId="177" fontId="19" fillId="2" borderId="0" xfId="19" applyNumberFormat="1" applyFont="1" applyFill="1" applyProtection="1"/>
    <xf numFmtId="192" fontId="19" fillId="2" borderId="0" xfId="440" applyNumberFormat="1" applyFont="1" applyFill="1" applyProtection="1"/>
    <xf numFmtId="3" fontId="19" fillId="2" borderId="0" xfId="19" applyNumberFormat="1" applyFont="1" applyFill="1" applyProtection="1">
      <protection locked="0"/>
    </xf>
    <xf numFmtId="0" fontId="62" fillId="2" borderId="0" xfId="19" applyFont="1" applyFill="1" applyBorder="1" applyAlignment="1" applyProtection="1">
      <alignment horizontal="center"/>
      <protection locked="0"/>
    </xf>
    <xf numFmtId="0" fontId="19" fillId="2" borderId="0" xfId="19" applyFont="1" applyFill="1" applyBorder="1" applyAlignment="1" applyProtection="1">
      <alignment horizontal="right"/>
      <protection locked="0"/>
    </xf>
    <xf numFmtId="9" fontId="19" fillId="2" borderId="0" xfId="19" applyNumberFormat="1" applyFont="1" applyFill="1" applyProtection="1">
      <protection locked="0"/>
    </xf>
    <xf numFmtId="9" fontId="19" fillId="2" borderId="0" xfId="19" applyNumberFormat="1" applyFont="1" applyFill="1" applyBorder="1" applyAlignment="1" applyProtection="1">
      <alignment horizontal="center"/>
      <protection locked="0"/>
    </xf>
    <xf numFmtId="4" fontId="19" fillId="2" borderId="0" xfId="19" applyNumberFormat="1" applyFont="1" applyFill="1" applyProtection="1">
      <protection locked="0"/>
    </xf>
    <xf numFmtId="0" fontId="62" fillId="2" borderId="0" xfId="19" applyFont="1" applyFill="1" applyBorder="1" applyAlignment="1" applyProtection="1">
      <alignment wrapText="1"/>
      <protection locked="0"/>
    </xf>
    <xf numFmtId="173" fontId="19" fillId="2" borderId="0" xfId="19" applyNumberFormat="1" applyFont="1" applyFill="1" applyBorder="1" applyAlignment="1" applyProtection="1">
      <alignment horizontal="center"/>
      <protection locked="0"/>
    </xf>
    <xf numFmtId="0" fontId="44" fillId="8" borderId="0" xfId="0" applyFont="1" applyFill="1" applyBorder="1" applyAlignment="1">
      <alignment horizontal="center" vertical="center"/>
    </xf>
    <xf numFmtId="0" fontId="44" fillId="8" borderId="0" xfId="3" applyFont="1" applyFill="1" applyBorder="1" applyAlignment="1" applyProtection="1">
      <alignment horizontal="right" vertical="center"/>
      <protection hidden="1"/>
    </xf>
    <xf numFmtId="0" fontId="0" fillId="8" borderId="0" xfId="0" applyFill="1" applyAlignment="1">
      <alignment horizontal="center"/>
    </xf>
    <xf numFmtId="0" fontId="41" fillId="2" borderId="0" xfId="0" applyFont="1" applyFill="1" applyAlignment="1" applyProtection="1">
      <alignment horizontal="center"/>
    </xf>
    <xf numFmtId="1" fontId="4" fillId="2" borderId="0" xfId="3" applyNumberFormat="1" applyFont="1" applyFill="1" applyBorder="1" applyAlignment="1" applyProtection="1">
      <alignment horizontal="center" vertical="center" wrapText="1"/>
    </xf>
    <xf numFmtId="0" fontId="16" fillId="2" borderId="0" xfId="19" applyFont="1" applyFill="1" applyBorder="1" applyAlignment="1" applyProtection="1">
      <alignment horizontal="center" vertical="center"/>
    </xf>
    <xf numFmtId="0" fontId="13" fillId="31" borderId="75" xfId="3" applyFont="1" applyFill="1" applyBorder="1" applyAlignment="1" applyProtection="1">
      <alignment horizontal="left" vertical="center" indent="1"/>
      <protection hidden="1"/>
    </xf>
    <xf numFmtId="0" fontId="13" fillId="31" borderId="76" xfId="3" applyFont="1" applyFill="1" applyBorder="1" applyAlignment="1" applyProtection="1">
      <alignment horizontal="left" vertical="center" indent="1"/>
      <protection hidden="1"/>
    </xf>
    <xf numFmtId="0" fontId="9" fillId="8" borderId="77" xfId="3" applyFont="1" applyFill="1" applyBorder="1" applyAlignment="1" applyProtection="1">
      <alignment horizontal="center" vertical="center"/>
      <protection hidden="1"/>
    </xf>
    <xf numFmtId="0" fontId="7" fillId="30" borderId="75" xfId="3" applyFont="1" applyFill="1" applyBorder="1" applyAlignment="1" applyProtection="1">
      <alignment horizontal="left" vertical="center" indent="2"/>
      <protection hidden="1"/>
    </xf>
    <xf numFmtId="0" fontId="7" fillId="30" borderId="76" xfId="3" applyFont="1" applyFill="1" applyBorder="1" applyAlignment="1" applyProtection="1">
      <alignment horizontal="left" vertical="center" indent="2"/>
      <protection hidden="1"/>
    </xf>
    <xf numFmtId="0" fontId="9" fillId="8" borderId="1" xfId="3" applyFont="1" applyFill="1" applyBorder="1" applyAlignment="1" applyProtection="1">
      <alignment horizontal="center" vertical="center"/>
      <protection hidden="1"/>
    </xf>
    <xf numFmtId="0" fontId="9" fillId="8" borderId="3" xfId="3" applyFont="1" applyFill="1" applyBorder="1" applyAlignment="1" applyProtection="1">
      <alignment horizontal="center" vertical="center"/>
      <protection hidden="1"/>
    </xf>
    <xf numFmtId="0" fontId="9" fillId="8" borderId="4" xfId="3" applyFont="1" applyFill="1" applyBorder="1" applyAlignment="1" applyProtection="1">
      <alignment horizontal="center" vertical="center"/>
      <protection hidden="1"/>
    </xf>
    <xf numFmtId="0" fontId="9" fillId="8" borderId="5" xfId="3" applyFont="1" applyFill="1" applyBorder="1" applyAlignment="1" applyProtection="1">
      <alignment horizontal="center" vertical="center"/>
      <protection hidden="1"/>
    </xf>
    <xf numFmtId="0" fontId="9" fillId="8" borderId="83" xfId="3" applyFont="1" applyFill="1" applyBorder="1" applyAlignment="1" applyProtection="1">
      <alignment horizontal="center" vertical="center"/>
      <protection hidden="1"/>
    </xf>
    <xf numFmtId="0" fontId="9" fillId="8" borderId="84" xfId="3" applyFont="1" applyFill="1" applyBorder="1" applyAlignment="1" applyProtection="1">
      <alignment horizontal="center" vertical="center"/>
      <protection hidden="1"/>
    </xf>
    <xf numFmtId="0" fontId="9" fillId="8" borderId="85" xfId="3" applyFont="1" applyFill="1" applyBorder="1" applyAlignment="1" applyProtection="1">
      <alignment horizontal="center" vertical="center"/>
      <protection hidden="1"/>
    </xf>
    <xf numFmtId="0" fontId="14" fillId="8" borderId="15" xfId="0" applyFont="1" applyFill="1" applyBorder="1" applyAlignment="1" applyProtection="1">
      <alignment horizontal="center" vertical="center"/>
      <protection hidden="1"/>
    </xf>
    <xf numFmtId="0" fontId="14" fillId="8" borderId="2" xfId="0" applyFont="1" applyFill="1" applyBorder="1" applyAlignment="1" applyProtection="1">
      <alignment horizontal="center" vertical="center"/>
      <protection hidden="1"/>
    </xf>
    <xf numFmtId="0" fontId="9" fillId="8" borderId="88" xfId="3" applyFont="1" applyFill="1" applyBorder="1" applyAlignment="1" applyProtection="1">
      <alignment horizontal="center" vertical="center"/>
      <protection hidden="1"/>
    </xf>
    <xf numFmtId="0" fontId="9" fillId="8" borderId="90" xfId="3" applyFont="1" applyFill="1" applyBorder="1" applyAlignment="1" applyProtection="1">
      <alignment horizontal="center" vertical="center"/>
      <protection hidden="1"/>
    </xf>
    <xf numFmtId="0" fontId="9" fillId="8" borderId="42" xfId="3" applyFont="1" applyFill="1" applyBorder="1" applyAlignment="1" applyProtection="1">
      <alignment horizontal="center" vertical="center"/>
      <protection hidden="1"/>
    </xf>
    <xf numFmtId="0" fontId="9" fillId="8" borderId="89" xfId="13" applyFont="1" applyFill="1" applyBorder="1" applyAlignment="1" applyProtection="1">
      <alignment horizontal="center"/>
      <protection hidden="1"/>
    </xf>
    <xf numFmtId="0" fontId="9" fillId="8" borderId="1" xfId="13" applyFont="1" applyFill="1" applyBorder="1" applyAlignment="1" applyProtection="1">
      <alignment horizontal="center"/>
      <protection hidden="1"/>
    </xf>
    <xf numFmtId="0" fontId="9" fillId="8" borderId="91" xfId="13" applyFont="1" applyFill="1" applyBorder="1" applyAlignment="1" applyProtection="1">
      <alignment horizontal="center"/>
      <protection hidden="1"/>
    </xf>
    <xf numFmtId="0" fontId="9" fillId="8" borderId="89" xfId="3" applyFont="1" applyFill="1" applyBorder="1" applyAlignment="1" applyProtection="1">
      <alignment horizontal="center" vertical="center"/>
      <protection hidden="1"/>
    </xf>
    <xf numFmtId="1" fontId="14" fillId="8" borderId="1" xfId="3" applyNumberFormat="1" applyFont="1" applyFill="1" applyBorder="1" applyAlignment="1" applyProtection="1">
      <alignment horizontal="center" vertical="center" wrapText="1"/>
    </xf>
    <xf numFmtId="1" fontId="14" fillId="8" borderId="91" xfId="3" applyNumberFormat="1" applyFont="1" applyFill="1" applyBorder="1" applyAlignment="1" applyProtection="1">
      <alignment horizontal="center" vertical="center" wrapText="1"/>
    </xf>
    <xf numFmtId="1" fontId="14" fillId="8" borderId="42" xfId="18" applyNumberFormat="1" applyFont="1" applyFill="1" applyBorder="1" applyAlignment="1" applyProtection="1">
      <alignment horizontal="center" wrapText="1"/>
      <protection hidden="1"/>
    </xf>
    <xf numFmtId="0" fontId="0" fillId="2" borderId="0" xfId="0" applyFont="1" applyFill="1" applyBorder="1" applyAlignment="1" applyProtection="1">
      <alignment horizontal="center"/>
      <protection hidden="1"/>
    </xf>
    <xf numFmtId="0" fontId="9" fillId="2" borderId="0" xfId="0" applyFont="1" applyFill="1" applyBorder="1" applyAlignment="1" applyProtection="1">
      <alignment horizontal="center"/>
      <protection hidden="1"/>
    </xf>
    <xf numFmtId="0" fontId="3" fillId="3" borderId="1" xfId="0" applyFont="1" applyFill="1" applyBorder="1" applyAlignment="1" applyProtection="1">
      <alignment horizontal="center"/>
      <protection hidden="1"/>
    </xf>
    <xf numFmtId="0" fontId="7" fillId="2" borderId="0" xfId="0" applyFont="1" applyFill="1" applyAlignment="1" applyProtection="1">
      <alignment horizontal="center"/>
      <protection hidden="1"/>
    </xf>
    <xf numFmtId="173" fontId="0" fillId="2" borderId="0" xfId="0" applyNumberFormat="1" applyFont="1" applyFill="1" applyBorder="1" applyAlignment="1" applyProtection="1">
      <alignment horizontal="center"/>
      <protection hidden="1"/>
    </xf>
    <xf numFmtId="0" fontId="0" fillId="2" borderId="1" xfId="0" applyFont="1" applyFill="1" applyBorder="1" applyAlignment="1" applyProtection="1">
      <alignment horizontal="left" vertical="center"/>
      <protection hidden="1"/>
    </xf>
    <xf numFmtId="167" fontId="0" fillId="2" borderId="1" xfId="0" applyNumberFormat="1" applyFont="1" applyFill="1" applyBorder="1" applyAlignment="1" applyProtection="1">
      <alignment horizontal="right" vertical="center"/>
      <protection hidden="1"/>
    </xf>
    <xf numFmtId="0" fontId="3" fillId="3" borderId="3" xfId="0" applyFont="1" applyFill="1" applyBorder="1" applyAlignment="1" applyProtection="1">
      <alignment horizontal="center"/>
      <protection hidden="1"/>
    </xf>
    <xf numFmtId="0" fontId="3" fillId="3" borderId="5" xfId="0" applyFont="1" applyFill="1" applyBorder="1" applyAlignment="1" applyProtection="1">
      <alignment horizontal="center"/>
      <protection hidden="1"/>
    </xf>
    <xf numFmtId="0" fontId="28" fillId="2" borderId="0" xfId="0" applyFont="1" applyFill="1" applyAlignment="1" applyProtection="1">
      <alignment horizontal="center"/>
      <protection hidden="1"/>
    </xf>
    <xf numFmtId="1" fontId="43" fillId="2" borderId="4" xfId="3" applyNumberFormat="1" applyFont="1" applyFill="1" applyBorder="1" applyAlignment="1" applyProtection="1">
      <alignment horizontal="center" vertical="center" wrapText="1"/>
    </xf>
    <xf numFmtId="1" fontId="43" fillId="2" borderId="5" xfId="3" applyNumberFormat="1" applyFont="1" applyFill="1" applyBorder="1" applyAlignment="1" applyProtection="1">
      <alignment horizontal="center" vertical="center" wrapText="1"/>
    </xf>
    <xf numFmtId="0" fontId="29" fillId="2" borderId="0" xfId="8" applyFont="1" applyFill="1" applyBorder="1" applyAlignment="1" applyProtection="1">
      <alignment horizontal="center" vertical="center"/>
    </xf>
    <xf numFmtId="0" fontId="30" fillId="2" borderId="0" xfId="7" applyFont="1" applyFill="1" applyBorder="1" applyAlignment="1" applyProtection="1">
      <alignment horizontal="center" vertical="center"/>
    </xf>
    <xf numFmtId="0" fontId="30" fillId="2" borderId="6" xfId="7" applyFont="1" applyFill="1" applyBorder="1" applyAlignment="1" applyProtection="1">
      <alignment horizontal="center" vertical="center"/>
    </xf>
    <xf numFmtId="0" fontId="29" fillId="2" borderId="8" xfId="8" applyFont="1" applyFill="1" applyBorder="1" applyAlignment="1" applyProtection="1">
      <alignment horizontal="center"/>
    </xf>
    <xf numFmtId="0" fontId="29" fillId="2" borderId="9" xfId="8" applyFont="1" applyFill="1" applyBorder="1" applyAlignment="1" applyProtection="1">
      <alignment horizontal="center"/>
    </xf>
    <xf numFmtId="0" fontId="29" fillId="2" borderId="10" xfId="8" applyFont="1" applyFill="1" applyBorder="1" applyAlignment="1" applyProtection="1">
      <alignment horizontal="center"/>
    </xf>
    <xf numFmtId="1" fontId="4" fillId="2" borderId="4" xfId="3" applyNumberFormat="1" applyFont="1" applyFill="1" applyBorder="1" applyAlignment="1" applyProtection="1">
      <alignment horizontal="center" vertical="center" wrapText="1"/>
    </xf>
    <xf numFmtId="1" fontId="4" fillId="2" borderId="5" xfId="3" applyNumberFormat="1" applyFont="1" applyFill="1" applyBorder="1" applyAlignment="1" applyProtection="1">
      <alignment horizontal="center" vertical="center" wrapText="1"/>
    </xf>
    <xf numFmtId="0" fontId="29" fillId="2" borderId="0" xfId="8" applyFont="1" applyFill="1" applyAlignment="1" applyProtection="1">
      <alignment horizontal="center"/>
    </xf>
    <xf numFmtId="0" fontId="29" fillId="2" borderId="0" xfId="8" applyFont="1" applyFill="1" applyAlignment="1" applyProtection="1">
      <alignment horizontal="center" vertical="center" wrapText="1"/>
    </xf>
    <xf numFmtId="0" fontId="29" fillId="2" borderId="11" xfId="8" applyFont="1" applyFill="1" applyBorder="1" applyAlignment="1" applyProtection="1">
      <alignment horizontal="center" vertical="center"/>
    </xf>
    <xf numFmtId="0" fontId="29" fillId="2" borderId="13" xfId="8" applyFont="1" applyFill="1" applyBorder="1" applyAlignment="1" applyProtection="1">
      <alignment horizontal="center" vertical="center"/>
    </xf>
    <xf numFmtId="0" fontId="25" fillId="2" borderId="0" xfId="0" applyFont="1" applyFill="1" applyBorder="1" applyAlignment="1" applyProtection="1">
      <alignment horizontal="center"/>
      <protection hidden="1"/>
    </xf>
    <xf numFmtId="0" fontId="23" fillId="3" borderId="1" xfId="0" applyFont="1" applyFill="1" applyBorder="1" applyAlignment="1" applyProtection="1">
      <alignment horizontal="center"/>
      <protection hidden="1"/>
    </xf>
    <xf numFmtId="0" fontId="21" fillId="2" borderId="0" xfId="0" applyFont="1" applyFill="1" applyBorder="1" applyAlignment="1" applyProtection="1">
      <alignment horizontal="center"/>
      <protection hidden="1"/>
    </xf>
    <xf numFmtId="0" fontId="9" fillId="8" borderId="1" xfId="11" applyFont="1" applyFill="1" applyBorder="1" applyAlignment="1" applyProtection="1">
      <alignment horizontal="center"/>
      <protection hidden="1"/>
    </xf>
    <xf numFmtId="0" fontId="9" fillId="8" borderId="1" xfId="3" applyFont="1" applyFill="1" applyBorder="1" applyAlignment="1" applyProtection="1">
      <alignment horizontal="center"/>
      <protection hidden="1"/>
    </xf>
    <xf numFmtId="1" fontId="14" fillId="8" borderId="1" xfId="3" applyNumberFormat="1" applyFont="1" applyFill="1" applyBorder="1" applyAlignment="1" applyProtection="1">
      <alignment horizontal="center" wrapText="1"/>
    </xf>
    <xf numFmtId="0" fontId="9" fillId="8" borderId="3" xfId="11" applyFont="1" applyFill="1" applyBorder="1" applyAlignment="1" applyProtection="1">
      <alignment horizontal="center"/>
      <protection hidden="1"/>
    </xf>
    <xf numFmtId="0" fontId="9" fillId="8" borderId="4" xfId="11" applyFont="1" applyFill="1" applyBorder="1" applyAlignment="1" applyProtection="1">
      <alignment horizontal="center"/>
      <protection hidden="1"/>
    </xf>
    <xf numFmtId="0" fontId="9" fillId="8" borderId="5" xfId="11" applyFont="1" applyFill="1" applyBorder="1" applyAlignment="1" applyProtection="1">
      <alignment horizontal="center"/>
      <protection hidden="1"/>
    </xf>
    <xf numFmtId="1" fontId="14" fillId="8" borderId="15" xfId="3" applyNumberFormat="1" applyFont="1" applyFill="1" applyBorder="1" applyAlignment="1" applyProtection="1">
      <alignment horizontal="center"/>
    </xf>
    <xf numFmtId="1" fontId="14" fillId="8" borderId="2" xfId="3" applyNumberFormat="1" applyFont="1" applyFill="1" applyBorder="1" applyAlignment="1" applyProtection="1">
      <alignment horizontal="center"/>
    </xf>
    <xf numFmtId="0" fontId="9" fillId="8" borderId="3" xfId="13" applyFont="1" applyFill="1" applyBorder="1" applyAlignment="1" applyProtection="1">
      <alignment horizontal="center"/>
      <protection hidden="1"/>
    </xf>
    <xf numFmtId="0" fontId="9" fillId="8" borderId="4" xfId="13" applyFont="1" applyFill="1" applyBorder="1" applyAlignment="1" applyProtection="1">
      <alignment horizontal="center"/>
      <protection hidden="1"/>
    </xf>
    <xf numFmtId="0" fontId="9" fillId="8" borderId="5" xfId="13" applyFont="1" applyFill="1" applyBorder="1" applyAlignment="1" applyProtection="1">
      <alignment horizontal="center"/>
      <protection hidden="1"/>
    </xf>
    <xf numFmtId="0" fontId="38" fillId="2" borderId="16" xfId="13" applyFont="1" applyFill="1" applyBorder="1" applyAlignment="1" applyProtection="1">
      <alignment horizontal="center" vertical="center"/>
    </xf>
    <xf numFmtId="0" fontId="38" fillId="2" borderId="17" xfId="13" applyFont="1" applyFill="1" applyBorder="1" applyAlignment="1" applyProtection="1">
      <alignment horizontal="center" vertical="center"/>
    </xf>
    <xf numFmtId="0" fontId="38" fillId="2" borderId="18" xfId="13" applyFont="1" applyFill="1" applyBorder="1" applyAlignment="1" applyProtection="1">
      <alignment horizontal="center" vertical="center"/>
    </xf>
    <xf numFmtId="0" fontId="37" fillId="2" borderId="24" xfId="13" applyFont="1" applyFill="1" applyBorder="1" applyAlignment="1" applyProtection="1">
      <alignment horizontal="center" vertical="center"/>
    </xf>
    <xf numFmtId="0" fontId="37" fillId="2" borderId="25" xfId="13" applyFont="1" applyFill="1" applyBorder="1" applyAlignment="1" applyProtection="1">
      <alignment horizontal="center" vertical="center"/>
    </xf>
    <xf numFmtId="0" fontId="37" fillId="2" borderId="26" xfId="13" applyFont="1" applyFill="1" applyBorder="1" applyAlignment="1" applyProtection="1">
      <alignment horizontal="center" vertical="center"/>
    </xf>
    <xf numFmtId="0" fontId="39" fillId="2" borderId="32" xfId="13" applyFont="1" applyFill="1" applyBorder="1" applyAlignment="1" applyProtection="1">
      <alignment horizontal="center" vertical="center"/>
    </xf>
    <xf numFmtId="0" fontId="39" fillId="2" borderId="33" xfId="13" applyFont="1" applyFill="1" applyBorder="1" applyAlignment="1" applyProtection="1">
      <alignment horizontal="center" vertical="center"/>
    </xf>
    <xf numFmtId="0" fontId="39" fillId="2" borderId="34" xfId="13" applyFont="1" applyFill="1" applyBorder="1" applyAlignment="1" applyProtection="1">
      <alignment horizontal="center" vertical="center"/>
    </xf>
    <xf numFmtId="0" fontId="39" fillId="2" borderId="0" xfId="13" applyFont="1" applyFill="1" applyBorder="1" applyAlignment="1" applyProtection="1">
      <alignment horizontal="center" vertical="center"/>
    </xf>
    <xf numFmtId="4" fontId="18" fillId="0" borderId="3" xfId="14" applyNumberFormat="1" applyFont="1" applyFill="1" applyBorder="1" applyAlignment="1" applyProtection="1">
      <alignment horizontal="center"/>
      <protection hidden="1"/>
    </xf>
    <xf numFmtId="4" fontId="18" fillId="0" borderId="5" xfId="14" applyNumberFormat="1" applyFont="1" applyFill="1" applyBorder="1" applyAlignment="1" applyProtection="1">
      <alignment horizontal="center"/>
      <protection hidden="1"/>
    </xf>
    <xf numFmtId="0" fontId="7" fillId="0" borderId="1" xfId="13" applyFont="1" applyFill="1" applyBorder="1" applyAlignment="1" applyProtection="1">
      <alignment horizontal="left"/>
      <protection hidden="1"/>
    </xf>
    <xf numFmtId="0" fontId="83" fillId="27" borderId="56" xfId="10" applyFont="1" applyFill="1" applyBorder="1" applyAlignment="1" applyProtection="1">
      <alignment horizontal="left" vertical="center"/>
      <protection locked="0"/>
    </xf>
    <xf numFmtId="0" fontId="83" fillId="27" borderId="57" xfId="10" applyFont="1" applyFill="1" applyBorder="1" applyAlignment="1" applyProtection="1">
      <alignment horizontal="left" vertical="center"/>
      <protection locked="0"/>
    </xf>
    <xf numFmtId="0" fontId="61" fillId="26" borderId="64" xfId="10" applyFont="1" applyFill="1" applyBorder="1" applyAlignment="1" applyProtection="1">
      <alignment horizontal="center" vertical="center" textRotation="90"/>
    </xf>
    <xf numFmtId="0" fontId="61" fillId="26" borderId="58" xfId="10" applyFont="1" applyFill="1" applyBorder="1" applyAlignment="1" applyProtection="1">
      <alignment horizontal="center" vertical="center" textRotation="90"/>
    </xf>
    <xf numFmtId="0" fontId="61" fillId="26" borderId="59" xfId="10" applyFont="1" applyFill="1" applyBorder="1" applyAlignment="1" applyProtection="1">
      <alignment horizontal="center" vertical="center" textRotation="90"/>
    </xf>
    <xf numFmtId="0" fontId="83" fillId="27" borderId="54" xfId="10" applyFont="1" applyFill="1" applyBorder="1" applyAlignment="1" applyProtection="1">
      <alignment horizontal="left" vertical="center"/>
      <protection locked="0"/>
    </xf>
    <xf numFmtId="0" fontId="83" fillId="27" borderId="55" xfId="10" applyFont="1" applyFill="1" applyBorder="1" applyAlignment="1" applyProtection="1">
      <alignment horizontal="left" vertical="center"/>
      <protection locked="0"/>
    </xf>
    <xf numFmtId="0" fontId="61" fillId="22" borderId="54" xfId="10" applyFont="1" applyFill="1" applyBorder="1" applyAlignment="1" applyProtection="1">
      <alignment horizontal="center" vertical="center"/>
    </xf>
    <xf numFmtId="0" fontId="61" fillId="22" borderId="55" xfId="10" applyFont="1" applyFill="1" applyBorder="1" applyAlignment="1" applyProtection="1">
      <alignment horizontal="center" vertical="center"/>
    </xf>
    <xf numFmtId="0" fontId="61" fillId="22" borderId="61" xfId="10" applyFont="1" applyFill="1" applyBorder="1" applyAlignment="1" applyProtection="1">
      <alignment horizontal="center" vertical="center"/>
    </xf>
    <xf numFmtId="0" fontId="61" fillId="22" borderId="52" xfId="10" applyFont="1" applyFill="1" applyBorder="1" applyAlignment="1" applyProtection="1">
      <alignment horizontal="center" vertical="center"/>
    </xf>
    <xf numFmtId="0" fontId="61" fillId="22" borderId="53" xfId="10" applyFont="1" applyFill="1" applyBorder="1" applyAlignment="1" applyProtection="1">
      <alignment horizontal="center" vertical="center"/>
    </xf>
    <xf numFmtId="0" fontId="58" fillId="0" borderId="63" xfId="0" applyFont="1" applyBorder="1" applyAlignment="1" applyProtection="1">
      <alignment horizontal="center"/>
    </xf>
    <xf numFmtId="0" fontId="83" fillId="27" borderId="65" xfId="10" applyFont="1" applyFill="1" applyBorder="1" applyAlignment="1" applyProtection="1">
      <alignment horizontal="left" vertical="center"/>
      <protection locked="0"/>
    </xf>
    <xf numFmtId="0" fontId="83" fillId="27" borderId="66" xfId="10" applyFont="1" applyFill="1" applyBorder="1" applyAlignment="1" applyProtection="1">
      <alignment horizontal="left" vertical="center"/>
      <protection locked="0"/>
    </xf>
    <xf numFmtId="0" fontId="83" fillId="27" borderId="67" xfId="10" applyFont="1" applyFill="1" applyBorder="1" applyAlignment="1" applyProtection="1">
      <alignment horizontal="left" vertical="center"/>
      <protection locked="0"/>
    </xf>
    <xf numFmtId="0" fontId="83" fillId="27" borderId="68" xfId="10" applyFont="1" applyFill="1" applyBorder="1" applyAlignment="1" applyProtection="1">
      <alignment horizontal="left" vertical="center"/>
      <protection locked="0"/>
    </xf>
    <xf numFmtId="0" fontId="81" fillId="27" borderId="77" xfId="19" applyFont="1" applyFill="1" applyBorder="1" applyAlignment="1" applyProtection="1">
      <alignment horizontal="left" vertical="center" indent="1"/>
      <protection locked="0"/>
    </xf>
    <xf numFmtId="0" fontId="4" fillId="29" borderId="77" xfId="19" applyFont="1" applyFill="1" applyBorder="1" applyAlignment="1" applyProtection="1">
      <alignment horizontal="left" vertical="center"/>
    </xf>
    <xf numFmtId="0" fontId="9" fillId="8" borderId="1" xfId="0" applyFont="1" applyFill="1" applyBorder="1" applyAlignment="1" applyProtection="1">
      <alignment horizontal="center" vertical="center"/>
      <protection hidden="1"/>
    </xf>
    <xf numFmtId="0" fontId="9" fillId="8" borderId="1" xfId="17" applyFont="1" applyFill="1" applyBorder="1" applyAlignment="1" applyProtection="1">
      <alignment horizontal="center" vertical="center"/>
      <protection hidden="1"/>
    </xf>
    <xf numFmtId="0" fontId="9" fillId="8" borderId="39" xfId="0" applyFont="1" applyFill="1" applyBorder="1" applyAlignment="1" applyProtection="1">
      <alignment horizontal="center" vertical="center"/>
      <protection hidden="1"/>
    </xf>
    <xf numFmtId="0" fontId="9" fillId="8" borderId="42" xfId="0" applyFont="1" applyFill="1" applyBorder="1" applyAlignment="1" applyProtection="1">
      <alignment horizontal="center" vertical="center"/>
      <protection hidden="1"/>
    </xf>
    <xf numFmtId="0" fontId="14" fillId="8" borderId="1" xfId="0" applyFont="1" applyFill="1" applyBorder="1" applyAlignment="1" applyProtection="1">
      <alignment horizontal="center" vertical="center"/>
    </xf>
    <xf numFmtId="0" fontId="14" fillId="8" borderId="1" xfId="0" applyFont="1" applyFill="1" applyBorder="1" applyAlignment="1" applyProtection="1">
      <alignment horizontal="center" vertical="center"/>
      <protection hidden="1"/>
    </xf>
    <xf numFmtId="1" fontId="14" fillId="11" borderId="1" xfId="0" applyNumberFormat="1" applyFont="1" applyFill="1" applyBorder="1" applyAlignment="1" applyProtection="1">
      <alignment horizontal="center" vertical="center"/>
      <protection hidden="1"/>
    </xf>
    <xf numFmtId="1" fontId="14" fillId="11" borderId="4" xfId="0" applyNumberFormat="1" applyFont="1" applyFill="1" applyBorder="1" applyAlignment="1" applyProtection="1">
      <alignment horizontal="center" vertical="center"/>
      <protection hidden="1"/>
    </xf>
    <xf numFmtId="4" fontId="18" fillId="15" borderId="3" xfId="0" applyNumberFormat="1" applyFont="1" applyFill="1" applyBorder="1" applyAlignment="1" applyProtection="1">
      <alignment horizontal="center" vertical="center"/>
      <protection hidden="1"/>
    </xf>
    <xf numFmtId="4" fontId="18" fillId="15" borderId="4" xfId="0" applyNumberFormat="1" applyFont="1" applyFill="1" applyBorder="1" applyAlignment="1" applyProtection="1">
      <alignment horizontal="center" vertical="center"/>
      <protection hidden="1"/>
    </xf>
    <xf numFmtId="0" fontId="14" fillId="8" borderId="3" xfId="0" applyFont="1" applyFill="1" applyBorder="1" applyAlignment="1" applyProtection="1">
      <alignment horizontal="center" vertical="center"/>
      <protection hidden="1"/>
    </xf>
    <xf numFmtId="0" fontId="14" fillId="8" borderId="4" xfId="0" applyFont="1" applyFill="1" applyBorder="1" applyAlignment="1" applyProtection="1">
      <alignment horizontal="center" vertical="center"/>
      <protection hidden="1"/>
    </xf>
    <xf numFmtId="0" fontId="14" fillId="8" borderId="5" xfId="0" applyFont="1" applyFill="1" applyBorder="1" applyAlignment="1" applyProtection="1">
      <alignment horizontal="center" vertical="center"/>
      <protection hidden="1"/>
    </xf>
    <xf numFmtId="0" fontId="14" fillId="14" borderId="3" xfId="0" applyFont="1" applyFill="1" applyBorder="1" applyAlignment="1" applyProtection="1">
      <alignment horizontal="center" vertical="center"/>
      <protection hidden="1"/>
    </xf>
    <xf numFmtId="0" fontId="14" fillId="14" borderId="5" xfId="0" applyFont="1" applyFill="1" applyBorder="1" applyAlignment="1" applyProtection="1">
      <alignment horizontal="center" vertical="center"/>
      <protection hidden="1"/>
    </xf>
    <xf numFmtId="0" fontId="14" fillId="14" borderId="1" xfId="0" applyFont="1" applyFill="1" applyBorder="1" applyAlignment="1" applyProtection="1">
      <alignment horizontal="center" vertical="center"/>
      <protection hidden="1"/>
    </xf>
    <xf numFmtId="0" fontId="9" fillId="8" borderId="1" xfId="19" applyFont="1" applyFill="1" applyBorder="1" applyAlignment="1" applyProtection="1">
      <alignment horizontal="center"/>
      <protection hidden="1"/>
    </xf>
    <xf numFmtId="3" fontId="7" fillId="12" borderId="3" xfId="0" applyNumberFormat="1" applyFont="1" applyFill="1" applyBorder="1" applyAlignment="1" applyProtection="1">
      <alignment horizontal="center" vertical="center"/>
      <protection hidden="1"/>
    </xf>
    <xf numFmtId="3" fontId="7" fillId="12" borderId="5" xfId="0" applyNumberFormat="1" applyFont="1" applyFill="1" applyBorder="1" applyAlignment="1" applyProtection="1">
      <alignment horizontal="center" vertical="center"/>
      <protection hidden="1"/>
    </xf>
    <xf numFmtId="3" fontId="9" fillId="2" borderId="1" xfId="0" applyNumberFormat="1" applyFont="1" applyFill="1" applyBorder="1" applyAlignment="1" applyProtection="1">
      <alignment horizontal="center" vertical="center"/>
      <protection hidden="1"/>
    </xf>
    <xf numFmtId="3" fontId="7" fillId="2" borderId="3" xfId="0" applyNumberFormat="1" applyFont="1" applyFill="1" applyBorder="1" applyAlignment="1" applyProtection="1">
      <alignment horizontal="center" vertical="center"/>
      <protection hidden="1"/>
    </xf>
    <xf numFmtId="3" fontId="7" fillId="2" borderId="5" xfId="0" applyNumberFormat="1" applyFont="1" applyFill="1" applyBorder="1" applyAlignment="1" applyProtection="1">
      <alignment horizontal="center" vertical="center"/>
      <protection hidden="1"/>
    </xf>
    <xf numFmtId="1" fontId="9" fillId="8" borderId="1" xfId="0" applyNumberFormat="1" applyFont="1" applyFill="1" applyBorder="1" applyAlignment="1" applyProtection="1">
      <alignment horizontal="center" vertical="center"/>
      <protection hidden="1"/>
    </xf>
    <xf numFmtId="0" fontId="9" fillId="8" borderId="1" xfId="0" applyFont="1" applyFill="1" applyBorder="1" applyAlignment="1" applyProtection="1">
      <alignment horizontal="center" vertical="center"/>
    </xf>
    <xf numFmtId="4" fontId="7" fillId="12" borderId="1" xfId="0" applyNumberFormat="1" applyFont="1" applyFill="1" applyBorder="1" applyAlignment="1" applyProtection="1">
      <alignment horizontal="center" vertical="center"/>
      <protection hidden="1"/>
    </xf>
    <xf numFmtId="3" fontId="7" fillId="2" borderId="3" xfId="0" applyNumberFormat="1" applyFont="1" applyFill="1" applyBorder="1" applyAlignment="1" applyProtection="1">
      <alignment horizontal="center" vertical="center"/>
    </xf>
    <xf numFmtId="3" fontId="7" fillId="2" borderId="5" xfId="0" applyNumberFormat="1" applyFont="1" applyFill="1" applyBorder="1" applyAlignment="1" applyProtection="1">
      <alignment horizontal="center" vertical="center"/>
    </xf>
    <xf numFmtId="4" fontId="7" fillId="2" borderId="1" xfId="0" applyNumberFormat="1" applyFont="1" applyFill="1" applyBorder="1" applyAlignment="1" applyProtection="1">
      <alignment horizontal="center" vertical="center"/>
    </xf>
    <xf numFmtId="3" fontId="7" fillId="12" borderId="1" xfId="0" applyNumberFormat="1" applyFont="1" applyFill="1" applyBorder="1" applyAlignment="1" applyProtection="1">
      <alignment horizontal="center" vertical="center"/>
      <protection hidden="1"/>
    </xf>
    <xf numFmtId="3" fontId="7" fillId="2" borderId="1" xfId="0" applyNumberFormat="1" applyFont="1" applyFill="1" applyBorder="1" applyAlignment="1" applyProtection="1">
      <alignment horizontal="center" vertical="center"/>
      <protection hidden="1"/>
    </xf>
    <xf numFmtId="3" fontId="7" fillId="2" borderId="1" xfId="0" applyNumberFormat="1" applyFont="1" applyFill="1" applyBorder="1" applyAlignment="1" applyProtection="1">
      <alignment horizontal="center" vertical="center"/>
    </xf>
    <xf numFmtId="0" fontId="7" fillId="18" borderId="39" xfId="0" applyFont="1" applyFill="1" applyBorder="1" applyAlignment="1" applyProtection="1">
      <alignment horizontal="left" vertical="center" indent="1"/>
      <protection hidden="1"/>
    </xf>
    <xf numFmtId="0" fontId="7" fillId="18" borderId="5" xfId="0" applyFont="1" applyFill="1" applyBorder="1" applyAlignment="1" applyProtection="1">
      <alignment horizontal="left" vertical="center" indent="1"/>
      <protection hidden="1"/>
    </xf>
    <xf numFmtId="38" fontId="9" fillId="11" borderId="1" xfId="0" applyNumberFormat="1" applyFont="1" applyFill="1" applyBorder="1" applyAlignment="1" applyProtection="1">
      <alignment horizontal="center" vertical="center"/>
      <protection hidden="1"/>
    </xf>
    <xf numFmtId="38" fontId="7" fillId="11" borderId="1" xfId="0" applyNumberFormat="1" applyFont="1" applyFill="1" applyBorder="1" applyAlignment="1" applyProtection="1">
      <alignment horizontal="center" vertical="center"/>
    </xf>
    <xf numFmtId="1" fontId="9" fillId="8" borderId="3" xfId="0" applyNumberFormat="1" applyFont="1" applyFill="1" applyBorder="1" applyAlignment="1" applyProtection="1">
      <alignment horizontal="center" vertical="center"/>
      <protection hidden="1"/>
    </xf>
    <xf numFmtId="1" fontId="9" fillId="8" borderId="4" xfId="0" applyNumberFormat="1" applyFont="1" applyFill="1" applyBorder="1" applyAlignment="1" applyProtection="1">
      <alignment horizontal="center" vertical="center"/>
      <protection hidden="1"/>
    </xf>
    <xf numFmtId="1" fontId="9" fillId="8" borderId="5" xfId="0" applyNumberFormat="1" applyFont="1" applyFill="1" applyBorder="1" applyAlignment="1" applyProtection="1">
      <alignment horizontal="center" vertical="center"/>
      <protection hidden="1"/>
    </xf>
    <xf numFmtId="0" fontId="14" fillId="8" borderId="43" xfId="0" applyFont="1" applyFill="1" applyBorder="1" applyAlignment="1" applyProtection="1">
      <alignment horizontal="center" vertical="center"/>
      <protection hidden="1"/>
    </xf>
    <xf numFmtId="0" fontId="14" fillId="8" borderId="40" xfId="0" applyFont="1" applyFill="1" applyBorder="1" applyAlignment="1" applyProtection="1">
      <alignment horizontal="center" vertical="center"/>
      <protection hidden="1"/>
    </xf>
    <xf numFmtId="1" fontId="14" fillId="2" borderId="0" xfId="0" applyNumberFormat="1" applyFont="1" applyFill="1" applyBorder="1" applyAlignment="1" applyProtection="1">
      <alignment horizontal="center" vertical="center"/>
      <protection hidden="1"/>
    </xf>
    <xf numFmtId="17" fontId="14" fillId="8" borderId="1" xfId="0" applyNumberFormat="1" applyFont="1" applyFill="1" applyBorder="1" applyAlignment="1" applyProtection="1">
      <alignment horizontal="center" vertical="center"/>
      <protection hidden="1"/>
    </xf>
    <xf numFmtId="189" fontId="1" fillId="30" borderId="78" xfId="440" applyNumberFormat="1" applyFont="1" applyFill="1" applyBorder="1" applyAlignment="1" applyProtection="1">
      <alignment horizontal="center" vertical="center"/>
      <protection hidden="1"/>
    </xf>
    <xf numFmtId="189" fontId="1" fillId="30" borderId="79" xfId="440" applyNumberFormat="1" applyFont="1" applyFill="1" applyBorder="1" applyAlignment="1" applyProtection="1">
      <alignment horizontal="center" vertical="center"/>
      <protection hidden="1"/>
    </xf>
    <xf numFmtId="189" fontId="1" fillId="30" borderId="80" xfId="440" applyNumberFormat="1" applyFont="1" applyFill="1" applyBorder="1" applyAlignment="1" applyProtection="1">
      <alignment horizontal="center" vertical="center"/>
      <protection hidden="1"/>
    </xf>
    <xf numFmtId="0" fontId="24" fillId="30" borderId="81" xfId="0" applyFont="1" applyFill="1" applyBorder="1" applyAlignment="1" applyProtection="1">
      <alignment horizontal="left" vertical="center" wrapText="1" indent="1"/>
      <protection hidden="1"/>
    </xf>
    <xf numFmtId="0" fontId="24" fillId="30" borderId="82" xfId="0" applyFont="1" applyFill="1" applyBorder="1" applyAlignment="1" applyProtection="1">
      <alignment horizontal="left" vertical="center" wrapText="1" indent="1"/>
      <protection hidden="1"/>
    </xf>
    <xf numFmtId="0" fontId="1" fillId="30" borderId="81" xfId="0" applyFont="1" applyFill="1" applyBorder="1" applyAlignment="1" applyProtection="1">
      <alignment horizontal="center" vertical="center"/>
      <protection hidden="1"/>
    </xf>
    <xf numFmtId="0" fontId="1" fillId="30" borderId="82" xfId="0" applyFont="1" applyFill="1" applyBorder="1" applyAlignment="1" applyProtection="1">
      <alignment horizontal="center" vertical="center"/>
      <protection hidden="1"/>
    </xf>
    <xf numFmtId="0" fontId="24" fillId="30" borderId="77" xfId="0" applyFont="1" applyFill="1" applyBorder="1" applyAlignment="1" applyProtection="1">
      <alignment horizontal="left" vertical="center"/>
      <protection hidden="1"/>
    </xf>
    <xf numFmtId="189" fontId="24" fillId="30" borderId="78" xfId="440" applyNumberFormat="1" applyFont="1" applyFill="1" applyBorder="1" applyAlignment="1" applyProtection="1">
      <alignment horizontal="center" vertical="center"/>
      <protection hidden="1"/>
    </xf>
    <xf numFmtId="189" fontId="24" fillId="30" borderId="79" xfId="440" applyNumberFormat="1" applyFont="1" applyFill="1" applyBorder="1" applyAlignment="1" applyProtection="1">
      <alignment horizontal="center" vertical="center"/>
      <protection hidden="1"/>
    </xf>
    <xf numFmtId="189" fontId="24" fillId="30" borderId="80" xfId="440" applyNumberFormat="1" applyFont="1" applyFill="1" applyBorder="1" applyAlignment="1" applyProtection="1">
      <alignment horizontal="center" vertical="center"/>
      <protection hidden="1"/>
    </xf>
    <xf numFmtId="0" fontId="33" fillId="2" borderId="0" xfId="19" applyFont="1" applyFill="1" applyBorder="1" applyAlignment="1" applyProtection="1">
      <alignment horizontal="center"/>
      <protection hidden="1"/>
    </xf>
    <xf numFmtId="0" fontId="33" fillId="2" borderId="0" xfId="19" applyFont="1" applyFill="1" applyBorder="1" applyAlignment="1" applyProtection="1">
      <alignment horizontal="center" wrapText="1"/>
      <protection hidden="1"/>
    </xf>
    <xf numFmtId="0" fontId="32" fillId="2" borderId="0" xfId="19" applyFont="1" applyFill="1" applyBorder="1" applyAlignment="1" applyProtection="1">
      <alignment horizontal="center" wrapText="1"/>
      <protection hidden="1"/>
    </xf>
    <xf numFmtId="1" fontId="24" fillId="2" borderId="0" xfId="3" applyNumberFormat="1" applyFont="1" applyFill="1" applyBorder="1" applyAlignment="1" applyProtection="1">
      <alignment horizontal="center" vertical="center" wrapText="1"/>
      <protection hidden="1"/>
    </xf>
    <xf numFmtId="0" fontId="69" fillId="2" borderId="0" xfId="19" applyFont="1" applyFill="1" applyBorder="1" applyAlignment="1" applyProtection="1">
      <alignment horizontal="center"/>
      <protection locked="0"/>
    </xf>
    <xf numFmtId="0" fontId="69" fillId="2" borderId="0" xfId="19" applyFont="1" applyFill="1" applyBorder="1" applyAlignment="1" applyProtection="1">
      <alignment horizontal="center" wrapText="1"/>
      <protection locked="0"/>
    </xf>
    <xf numFmtId="0" fontId="32" fillId="2" borderId="0" xfId="19" applyFill="1" applyBorder="1" applyAlignment="1" applyProtection="1">
      <alignment horizontal="center" wrapText="1"/>
      <protection locked="0"/>
    </xf>
    <xf numFmtId="0" fontId="16" fillId="2" borderId="0" xfId="19" applyFont="1" applyFill="1" applyBorder="1" applyAlignment="1" applyProtection="1">
      <alignment horizontal="center" vertical="center"/>
      <protection locked="0"/>
    </xf>
    <xf numFmtId="0" fontId="88" fillId="2" borderId="0" xfId="19" applyFont="1" applyFill="1" applyBorder="1" applyAlignment="1" applyProtection="1">
      <alignment horizontal="center"/>
      <protection locked="0"/>
    </xf>
    <xf numFmtId="0" fontId="74" fillId="2" borderId="0" xfId="19" applyFont="1" applyFill="1" applyBorder="1" applyAlignment="1" applyProtection="1">
      <alignment horizontal="center"/>
      <protection locked="0"/>
    </xf>
    <xf numFmtId="0" fontId="19" fillId="2" borderId="0" xfId="19" applyFont="1" applyFill="1" applyAlignment="1" applyProtection="1">
      <alignment horizontal="right" wrapText="1"/>
      <protection locked="0"/>
    </xf>
    <xf numFmtId="0" fontId="21" fillId="2" borderId="0" xfId="19" applyFont="1" applyFill="1" applyBorder="1" applyAlignment="1" applyProtection="1">
      <alignment horizontal="center"/>
      <protection locked="0"/>
    </xf>
    <xf numFmtId="1" fontId="4" fillId="2" borderId="0" xfId="3" applyNumberFormat="1" applyFont="1" applyFill="1" applyBorder="1" applyAlignment="1" applyProtection="1">
      <alignment horizontal="center" vertical="center" wrapText="1"/>
      <protection locked="0"/>
    </xf>
    <xf numFmtId="0" fontId="25" fillId="2" borderId="0" xfId="19" applyFont="1" applyFill="1" applyBorder="1" applyAlignment="1" applyProtection="1">
      <alignment horizontal="center"/>
      <protection locked="0"/>
    </xf>
    <xf numFmtId="0" fontId="62" fillId="2" borderId="0" xfId="19" applyFont="1" applyFill="1" applyBorder="1" applyAlignment="1" applyProtection="1">
      <alignment horizontal="center"/>
      <protection locked="0"/>
    </xf>
    <xf numFmtId="0" fontId="62" fillId="2" borderId="0" xfId="19" applyFont="1" applyFill="1" applyBorder="1" applyAlignment="1" applyProtection="1">
      <alignment horizontal="center" wrapText="1"/>
      <protection locked="0"/>
    </xf>
    <xf numFmtId="0" fontId="19" fillId="2" borderId="0" xfId="19" applyFont="1" applyFill="1" applyBorder="1" applyAlignment="1" applyProtection="1">
      <alignment horizontal="center" wrapText="1"/>
      <protection locked="0"/>
    </xf>
    <xf numFmtId="0" fontId="90" fillId="2" borderId="0" xfId="19" applyFont="1" applyFill="1" applyBorder="1" applyAlignment="1" applyProtection="1">
      <alignment horizontal="right"/>
      <protection locked="0"/>
    </xf>
    <xf numFmtId="1" fontId="24" fillId="2" borderId="0" xfId="3" applyNumberFormat="1" applyFont="1" applyFill="1" applyBorder="1" applyAlignment="1" applyProtection="1">
      <alignment horizontal="center" vertical="center" wrapText="1"/>
      <protection locked="0"/>
    </xf>
    <xf numFmtId="0" fontId="7" fillId="2" borderId="71" xfId="19" applyFont="1" applyFill="1" applyBorder="1" applyAlignment="1" applyProtection="1">
      <alignment horizontal="center" vertical="center" wrapText="1"/>
      <protection locked="0"/>
    </xf>
    <xf numFmtId="0" fontId="7" fillId="2" borderId="72" xfId="19" applyFont="1" applyFill="1" applyBorder="1" applyAlignment="1" applyProtection="1">
      <alignment horizontal="center" vertical="center" wrapText="1"/>
      <protection locked="0"/>
    </xf>
    <xf numFmtId="0" fontId="7" fillId="2" borderId="73" xfId="19" applyFont="1" applyFill="1" applyBorder="1" applyAlignment="1" applyProtection="1">
      <alignment horizontal="center" vertical="center" wrapText="1"/>
      <protection locked="0"/>
    </xf>
    <xf numFmtId="0" fontId="21" fillId="2" borderId="69" xfId="19" applyFont="1" applyFill="1" applyBorder="1" applyAlignment="1" applyProtection="1">
      <alignment horizontal="center" wrapText="1"/>
      <protection locked="0"/>
    </xf>
    <xf numFmtId="0" fontId="21" fillId="2" borderId="69" xfId="19" applyFont="1" applyFill="1" applyBorder="1" applyAlignment="1" applyProtection="1">
      <alignment horizontal="center" vertical="center"/>
      <protection locked="0"/>
    </xf>
    <xf numFmtId="0" fontId="7" fillId="2" borderId="69" xfId="19" applyFont="1" applyFill="1" applyBorder="1" applyAlignment="1" applyProtection="1">
      <alignment horizontal="center" vertical="center" wrapText="1"/>
      <protection locked="0"/>
    </xf>
    <xf numFmtId="0" fontId="21" fillId="2" borderId="69" xfId="19" applyFont="1" applyFill="1" applyBorder="1" applyAlignment="1" applyProtection="1">
      <alignment horizontal="center" vertical="center" wrapText="1"/>
      <protection locked="0"/>
    </xf>
    <xf numFmtId="0" fontId="33" fillId="2" borderId="0" xfId="19" applyFont="1" applyFill="1" applyBorder="1" applyAlignment="1" applyProtection="1">
      <alignment horizontal="center"/>
      <protection locked="0"/>
    </xf>
    <xf numFmtId="0" fontId="33" fillId="2" borderId="0" xfId="19" applyFont="1" applyFill="1" applyBorder="1" applyAlignment="1" applyProtection="1">
      <alignment horizontal="center" wrapText="1"/>
      <protection locked="0"/>
    </xf>
    <xf numFmtId="0" fontId="32" fillId="2" borderId="0" xfId="19" applyFont="1" applyFill="1" applyBorder="1" applyAlignment="1" applyProtection="1">
      <alignment horizontal="center" wrapText="1"/>
      <protection locked="0"/>
    </xf>
    <xf numFmtId="0" fontId="79" fillId="27" borderId="0" xfId="3" applyFont="1" applyFill="1" applyBorder="1" applyAlignment="1" applyProtection="1">
      <alignment horizontal="center" vertical="center"/>
      <protection locked="0"/>
    </xf>
    <xf numFmtId="1" fontId="40" fillId="4" borderId="0" xfId="3" applyNumberFormat="1" applyFont="1" applyFill="1" applyBorder="1" applyAlignment="1" applyProtection="1">
      <alignment horizontal="center" vertical="center" wrapText="1"/>
      <protection locked="0"/>
    </xf>
    <xf numFmtId="0" fontId="79" fillId="27" borderId="0" xfId="3" applyFont="1" applyFill="1" applyBorder="1" applyAlignment="1" applyProtection="1">
      <alignment horizontal="center" vertical="center"/>
      <protection locked="0"/>
    </xf>
    <xf numFmtId="0" fontId="79" fillId="27" borderId="0" xfId="3" applyFont="1" applyFill="1" applyBorder="1" applyAlignment="1" applyProtection="1">
      <alignment horizontal="left" vertical="center"/>
      <protection locked="0"/>
    </xf>
    <xf numFmtId="0" fontId="15" fillId="4" borderId="0" xfId="3" applyFont="1" applyFill="1" applyBorder="1" applyAlignment="1" applyProtection="1">
      <alignment horizontal="left" vertical="center"/>
      <protection locked="0"/>
    </xf>
    <xf numFmtId="0" fontId="8" fillId="4" borderId="1" xfId="11" applyFont="1" applyFill="1" applyBorder="1" applyAlignment="1" applyProtection="1">
      <alignment horizontal="center"/>
      <protection locked="0"/>
    </xf>
    <xf numFmtId="0" fontId="8" fillId="5" borderId="1" xfId="13" applyFont="1" applyFill="1" applyBorder="1" applyAlignment="1" applyProtection="1">
      <alignment horizontal="left"/>
      <protection hidden="1"/>
    </xf>
    <xf numFmtId="0" fontId="8" fillId="7" borderId="1" xfId="13" applyFont="1" applyFill="1" applyBorder="1" applyAlignment="1" applyProtection="1">
      <alignment horizontal="left"/>
      <protection hidden="1"/>
    </xf>
    <xf numFmtId="0" fontId="8" fillId="6" borderId="1" xfId="13" applyFont="1" applyFill="1" applyBorder="1" applyAlignment="1" applyProtection="1">
      <alignment horizontal="left"/>
      <protection hidden="1"/>
    </xf>
    <xf numFmtId="0" fontId="8" fillId="9" borderId="1" xfId="13" applyFont="1" applyFill="1" applyBorder="1" applyAlignment="1" applyProtection="1">
      <alignment horizontal="left"/>
      <protection hidden="1"/>
    </xf>
    <xf numFmtId="3" fontId="8" fillId="4" borderId="1" xfId="19" applyNumberFormat="1" applyFont="1" applyFill="1" applyBorder="1" applyAlignment="1" applyProtection="1">
      <alignment horizontal="center"/>
      <protection locked="0"/>
    </xf>
    <xf numFmtId="3" fontId="8" fillId="4" borderId="1" xfId="17" applyNumberFormat="1" applyFont="1" applyFill="1" applyBorder="1" applyAlignment="1" applyProtection="1">
      <alignment horizontal="center"/>
      <protection locked="0"/>
    </xf>
    <xf numFmtId="181" fontId="8" fillId="4" borderId="1" xfId="17" applyNumberFormat="1" applyFont="1" applyFill="1" applyBorder="1" applyAlignment="1" applyProtection="1">
      <alignment horizontal="center"/>
      <protection locked="0"/>
    </xf>
    <xf numFmtId="176" fontId="8" fillId="4" borderId="1" xfId="17" applyNumberFormat="1" applyFont="1" applyFill="1" applyBorder="1" applyAlignment="1" applyProtection="1">
      <alignment horizontal="center"/>
      <protection locked="0"/>
    </xf>
    <xf numFmtId="3" fontId="8" fillId="32" borderId="1" xfId="0" applyNumberFormat="1" applyFont="1" applyFill="1" applyBorder="1" applyAlignment="1" applyProtection="1">
      <alignment horizontal="center"/>
      <protection locked="0"/>
    </xf>
    <xf numFmtId="189" fontId="8" fillId="4" borderId="1" xfId="17" applyNumberFormat="1" applyFont="1" applyFill="1" applyBorder="1" applyAlignment="1" applyProtection="1">
      <alignment horizontal="center"/>
      <protection locked="0"/>
    </xf>
    <xf numFmtId="0" fontId="91" fillId="10" borderId="0" xfId="0" applyFont="1" applyFill="1" applyAlignment="1" applyProtection="1">
      <alignment horizontal="center" vertical="center"/>
      <protection hidden="1"/>
    </xf>
    <xf numFmtId="171" fontId="10" fillId="5" borderId="1" xfId="4" applyNumberFormat="1" applyFont="1" applyFill="1" applyBorder="1" applyAlignment="1" applyProtection="1">
      <alignment horizontal="center" vertical="center"/>
      <protection locked="0"/>
    </xf>
    <xf numFmtId="171" fontId="8" fillId="5" borderId="1" xfId="4" applyNumberFormat="1" applyFont="1" applyFill="1" applyBorder="1" applyAlignment="1" applyProtection="1">
      <alignment horizontal="left" vertical="center" indent="2"/>
      <protection locked="0"/>
    </xf>
    <xf numFmtId="3" fontId="8" fillId="33" borderId="1" xfId="0" applyNumberFormat="1" applyFont="1" applyFill="1" applyBorder="1" applyAlignment="1" applyProtection="1">
      <alignment horizontal="right" vertical="center"/>
      <protection locked="0"/>
    </xf>
  </cellXfs>
  <cellStyles count="573">
    <cellStyle name="Activity" xfId="22"/>
    <cellStyle name="Comma 2" xfId="4"/>
    <cellStyle name="Comma 3 2" xfId="16"/>
    <cellStyle name="Currency 3" xfId="14"/>
    <cellStyle name="Currency_PlanilhaFinanceiraVertente" xfId="6"/>
    <cellStyle name="Hiperlink" xfId="28" builtinId="8" hidden="1"/>
    <cellStyle name="Hiperlink" xfId="30" builtinId="8" hidden="1"/>
    <cellStyle name="Hiperlink" xfId="32" builtinId="8" hidden="1"/>
    <cellStyle name="Hiperlink" xfId="34" builtinId="8" hidden="1"/>
    <cellStyle name="Hiperlink" xfId="36" builtinId="8" hidden="1"/>
    <cellStyle name="Hiperlink" xfId="38" builtinId="8" hidden="1"/>
    <cellStyle name="Hiperlink" xfId="40" builtinId="8" hidden="1"/>
    <cellStyle name="Hiperlink" xfId="42" builtinId="8" hidden="1"/>
    <cellStyle name="Hiperlink" xfId="44" builtinId="8" hidden="1"/>
    <cellStyle name="Hiperlink" xfId="46" builtinId="8" hidden="1"/>
    <cellStyle name="Hiperlink" xfId="48" builtinId="8" hidden="1"/>
    <cellStyle name="Hiperlink" xfId="50" builtinId="8" hidden="1"/>
    <cellStyle name="Hiperlink" xfId="52" builtinId="8" hidden="1"/>
    <cellStyle name="Hiperlink" xfId="54" builtinId="8" hidden="1"/>
    <cellStyle name="Hiperlink" xfId="56" builtinId="8" hidden="1"/>
    <cellStyle name="Hiperlink" xfId="58" builtinId="8" hidden="1"/>
    <cellStyle name="Hiperlink" xfId="60" builtinId="8" hidden="1"/>
    <cellStyle name="Hiperlink" xfId="62" builtinId="8" hidden="1"/>
    <cellStyle name="Hiperlink" xfId="64" builtinId="8" hidden="1"/>
    <cellStyle name="Hiperlink" xfId="66" builtinId="8" hidden="1"/>
    <cellStyle name="Hiperlink" xfId="68" builtinId="8" hidden="1"/>
    <cellStyle name="Hiperlink" xfId="70" builtinId="8" hidden="1"/>
    <cellStyle name="Hiperlink" xfId="72" builtinId="8" hidden="1"/>
    <cellStyle name="Hiperlink" xfId="74" builtinId="8" hidden="1"/>
    <cellStyle name="Hiperlink" xfId="76" builtinId="8" hidden="1"/>
    <cellStyle name="Hiperlink" xfId="78" builtinId="8" hidden="1"/>
    <cellStyle name="Hiperlink" xfId="80" builtinId="8" hidden="1"/>
    <cellStyle name="Hiperlink" xfId="82" builtinId="8" hidden="1"/>
    <cellStyle name="Hiperlink" xfId="84" builtinId="8" hidden="1"/>
    <cellStyle name="Hiperlink" xfId="86" builtinId="8" hidden="1"/>
    <cellStyle name="Hiperlink" xfId="88" builtinId="8" hidden="1"/>
    <cellStyle name="Hiperlink" xfId="90" builtinId="8" hidden="1"/>
    <cellStyle name="Hiperlink" xfId="92" builtinId="8" hidden="1"/>
    <cellStyle name="Hiperlink" xfId="94" builtinId="8" hidden="1"/>
    <cellStyle name="Hiperlink" xfId="96" builtinId="8" hidden="1"/>
    <cellStyle name="Hiperlink" xfId="98" builtinId="8" hidden="1"/>
    <cellStyle name="Hiperlink" xfId="100" builtinId="8" hidden="1"/>
    <cellStyle name="Hiperlink" xfId="102" builtinId="8" hidden="1"/>
    <cellStyle name="Hiperlink" xfId="104" builtinId="8" hidden="1"/>
    <cellStyle name="Hiperlink" xfId="106" builtinId="8" hidden="1"/>
    <cellStyle name="Hiperlink" xfId="108" builtinId="8" hidden="1"/>
    <cellStyle name="Hiperlink" xfId="110" builtinId="8" hidden="1"/>
    <cellStyle name="Hiperlink" xfId="112" builtinId="8" hidden="1"/>
    <cellStyle name="Hiperlink" xfId="114" builtinId="8" hidden="1"/>
    <cellStyle name="Hiperlink" xfId="116" builtinId="8" hidden="1"/>
    <cellStyle name="Hiperlink" xfId="118" builtinId="8" hidden="1"/>
    <cellStyle name="Hiperlink" xfId="120" builtinId="8" hidden="1"/>
    <cellStyle name="Hiperlink" xfId="122" builtinId="8" hidden="1"/>
    <cellStyle name="Hiperlink" xfId="124" builtinId="8" hidden="1"/>
    <cellStyle name="Hiperlink" xfId="126" builtinId="8" hidden="1"/>
    <cellStyle name="Hiperlink" xfId="128" builtinId="8" hidden="1"/>
    <cellStyle name="Hiperlink" xfId="130" builtinId="8" hidden="1"/>
    <cellStyle name="Hiperlink" xfId="132" builtinId="8" hidden="1"/>
    <cellStyle name="Hiperlink" xfId="134" builtinId="8" hidden="1"/>
    <cellStyle name="Hiperlink" xfId="136" builtinId="8" hidden="1"/>
    <cellStyle name="Hiperlink" xfId="138" builtinId="8" hidden="1"/>
    <cellStyle name="Hiperlink" xfId="140" builtinId="8" hidden="1"/>
    <cellStyle name="Hiperlink" xfId="142" builtinId="8" hidden="1"/>
    <cellStyle name="Hiperlink" xfId="144" builtinId="8" hidden="1"/>
    <cellStyle name="Hiperlink" xfId="146" builtinId="8" hidden="1"/>
    <cellStyle name="Hiperlink" xfId="148" builtinId="8" hidden="1"/>
    <cellStyle name="Hiperlink" xfId="150" builtinId="8" hidden="1"/>
    <cellStyle name="Hiperlink" xfId="152" builtinId="8" hidden="1"/>
    <cellStyle name="Hiperlink" xfId="154" builtinId="8" hidden="1"/>
    <cellStyle name="Hiperlink" xfId="156" builtinId="8" hidden="1"/>
    <cellStyle name="Hiperlink" xfId="158" builtinId="8" hidden="1"/>
    <cellStyle name="Hiperlink" xfId="160" builtinId="8" hidden="1"/>
    <cellStyle name="Hiperlink" xfId="162" builtinId="8" hidden="1"/>
    <cellStyle name="Hiperlink" xfId="164" builtinId="8" hidden="1"/>
    <cellStyle name="Hiperlink" xfId="166" builtinId="8" hidden="1"/>
    <cellStyle name="Hiperlink" xfId="168" builtinId="8" hidden="1"/>
    <cellStyle name="Hiperlink" xfId="170" builtinId="8" hidden="1"/>
    <cellStyle name="Hiperlink" xfId="172" builtinId="8" hidden="1"/>
    <cellStyle name="Hiperlink" xfId="174" builtinId="8" hidden="1"/>
    <cellStyle name="Hiperlink" xfId="176" builtinId="8" hidden="1"/>
    <cellStyle name="Hiperlink" xfId="178" builtinId="8" hidden="1"/>
    <cellStyle name="Hiperlink" xfId="180" builtinId="8" hidden="1"/>
    <cellStyle name="Hiperlink" xfId="182" builtinId="8" hidden="1"/>
    <cellStyle name="Hiperlink" xfId="184" builtinId="8" hidden="1"/>
    <cellStyle name="Hiperlink" xfId="186" builtinId="8" hidden="1"/>
    <cellStyle name="Hiperlink" xfId="188" builtinId="8" hidden="1"/>
    <cellStyle name="Hiperlink" xfId="190" builtinId="8" hidden="1"/>
    <cellStyle name="Hiperlink" xfId="192" builtinId="8" hidden="1"/>
    <cellStyle name="Hiperlink" xfId="194" builtinId="8" hidden="1"/>
    <cellStyle name="Hiperlink" xfId="196" builtinId="8" hidden="1"/>
    <cellStyle name="Hiperlink" xfId="198" builtinId="8" hidden="1"/>
    <cellStyle name="Hiperlink" xfId="200" builtinId="8" hidden="1"/>
    <cellStyle name="Hiperlink" xfId="202" builtinId="8" hidden="1"/>
    <cellStyle name="Hiperlink" xfId="204" builtinId="8" hidden="1"/>
    <cellStyle name="Hiperlink" xfId="206" builtinId="8" hidden="1"/>
    <cellStyle name="Hiperlink" xfId="208" builtinId="8" hidden="1"/>
    <cellStyle name="Hiperlink" xfId="210" builtinId="8" hidden="1"/>
    <cellStyle name="Hiperlink" xfId="212" builtinId="8" hidden="1"/>
    <cellStyle name="Hiperlink" xfId="214" builtinId="8" hidden="1"/>
    <cellStyle name="Hiperlink" xfId="216" builtinId="8" hidden="1"/>
    <cellStyle name="Hiperlink" xfId="218" builtinId="8" hidden="1"/>
    <cellStyle name="Hiperlink" xfId="220" builtinId="8" hidden="1"/>
    <cellStyle name="Hiperlink" xfId="222" builtinId="8" hidden="1"/>
    <cellStyle name="Hiperlink" xfId="224" builtinId="8" hidden="1"/>
    <cellStyle name="Hiperlink" xfId="226" builtinId="8" hidden="1"/>
    <cellStyle name="Hiperlink" xfId="228" builtinId="8" hidden="1"/>
    <cellStyle name="Hiperlink" xfId="230" builtinId="8" hidden="1"/>
    <cellStyle name="Hiperlink" xfId="232" builtinId="8" hidden="1"/>
    <cellStyle name="Hiperlink" xfId="234" builtinId="8" hidden="1"/>
    <cellStyle name="Hiperlink" xfId="236" builtinId="8" hidden="1"/>
    <cellStyle name="Hiperlink" xfId="238" builtinId="8" hidden="1"/>
    <cellStyle name="Hiperlink" xfId="240" builtinId="8" hidden="1"/>
    <cellStyle name="Hiperlink" xfId="242" builtinId="8" hidden="1"/>
    <cellStyle name="Hiperlink" xfId="244" builtinId="8" hidden="1"/>
    <cellStyle name="Hiperlink" xfId="246" builtinId="8" hidden="1"/>
    <cellStyle name="Hiperlink" xfId="248" builtinId="8" hidden="1"/>
    <cellStyle name="Hiperlink" xfId="250" builtinId="8" hidden="1"/>
    <cellStyle name="Hiperlink" xfId="252" builtinId="8" hidden="1"/>
    <cellStyle name="Hiperlink" xfId="254" builtinId="8" hidden="1"/>
    <cellStyle name="Hiperlink" xfId="256" builtinId="8" hidden="1"/>
    <cellStyle name="Hiperlink" xfId="258" builtinId="8" hidden="1"/>
    <cellStyle name="Hiperlink" xfId="260" builtinId="8" hidden="1"/>
    <cellStyle name="Hiperlink" xfId="262" builtinId="8" hidden="1"/>
    <cellStyle name="Hiperlink" xfId="264" builtinId="8" hidden="1"/>
    <cellStyle name="Hiperlink" xfId="266" builtinId="8" hidden="1"/>
    <cellStyle name="Hiperlink" xfId="268" builtinId="8" hidden="1"/>
    <cellStyle name="Hiperlink" xfId="270" builtinId="8" hidden="1"/>
    <cellStyle name="Hiperlink" xfId="272" builtinId="8" hidden="1"/>
    <cellStyle name="Hiperlink" xfId="274" builtinId="8" hidden="1"/>
    <cellStyle name="Hiperlink" xfId="276" builtinId="8" hidden="1"/>
    <cellStyle name="Hiperlink" xfId="278" builtinId="8" hidden="1"/>
    <cellStyle name="Hiperlink" xfId="280" builtinId="8" hidden="1"/>
    <cellStyle name="Hiperlink" xfId="282" builtinId="8" hidden="1"/>
    <cellStyle name="Hiperlink" xfId="284" builtinId="8" hidden="1"/>
    <cellStyle name="Hiperlink" xfId="286" builtinId="8" hidden="1"/>
    <cellStyle name="Hiperlink" xfId="288" builtinId="8" hidden="1"/>
    <cellStyle name="Hiperlink" xfId="290" builtinId="8" hidden="1"/>
    <cellStyle name="Hiperlink" xfId="292" builtinId="8" hidden="1"/>
    <cellStyle name="Hiperlink" xfId="294" builtinId="8" hidden="1"/>
    <cellStyle name="Hiperlink" xfId="296" builtinId="8" hidden="1"/>
    <cellStyle name="Hiperlink" xfId="298" builtinId="8" hidden="1"/>
    <cellStyle name="Hiperlink" xfId="300" builtinId="8" hidden="1"/>
    <cellStyle name="Hiperlink" xfId="302" builtinId="8" hidden="1"/>
    <cellStyle name="Hiperlink" xfId="304" builtinId="8" hidden="1"/>
    <cellStyle name="Hiperlink" xfId="306" builtinId="8" hidden="1"/>
    <cellStyle name="Hiperlink" xfId="308" builtinId="8" hidden="1"/>
    <cellStyle name="Hiperlink" xfId="310" builtinId="8" hidden="1"/>
    <cellStyle name="Hiperlink" xfId="312" builtinId="8" hidden="1"/>
    <cellStyle name="Hiperlink" xfId="314" builtinId="8" hidden="1"/>
    <cellStyle name="Hiperlink" xfId="316" builtinId="8" hidden="1"/>
    <cellStyle name="Hiperlink" xfId="318" builtinId="8" hidden="1"/>
    <cellStyle name="Hiperlink" xfId="320" builtinId="8" hidden="1"/>
    <cellStyle name="Hiperlink" xfId="322" builtinId="8" hidden="1"/>
    <cellStyle name="Hiperlink" xfId="324" builtinId="8" hidden="1"/>
    <cellStyle name="Hiperlink" xfId="326" builtinId="8" hidden="1"/>
    <cellStyle name="Hiperlink" xfId="328" builtinId="8" hidden="1"/>
    <cellStyle name="Hiperlink" xfId="330" builtinId="8" hidden="1"/>
    <cellStyle name="Hiperlink" xfId="332" builtinId="8" hidden="1"/>
    <cellStyle name="Hiperlink" xfId="334" builtinId="8" hidden="1"/>
    <cellStyle name="Hiperlink" xfId="336" builtinId="8" hidden="1"/>
    <cellStyle name="Hiperlink" xfId="338" builtinId="8" hidden="1"/>
    <cellStyle name="Hiperlink" xfId="340" builtinId="8" hidden="1"/>
    <cellStyle name="Hiperlink" xfId="342" builtinId="8" hidden="1"/>
    <cellStyle name="Hiperlink" xfId="344" builtinId="8" hidden="1"/>
    <cellStyle name="Hiperlink" xfId="346" builtinId="8" hidden="1"/>
    <cellStyle name="Hiperlink" xfId="348" builtinId="8" hidden="1"/>
    <cellStyle name="Hiperlink" xfId="350" builtinId="8" hidden="1"/>
    <cellStyle name="Hiperlink" xfId="352" builtinId="8" hidden="1"/>
    <cellStyle name="Hiperlink" xfId="354" builtinId="8" hidden="1"/>
    <cellStyle name="Hiperlink" xfId="356" builtinId="8" hidden="1"/>
    <cellStyle name="Hiperlink" xfId="358" builtinId="8" hidden="1"/>
    <cellStyle name="Hiperlink" xfId="360" builtinId="8" hidden="1"/>
    <cellStyle name="Hiperlink" xfId="362" builtinId="8" hidden="1"/>
    <cellStyle name="Hiperlink" xfId="364" builtinId="8" hidden="1"/>
    <cellStyle name="Hiperlink" xfId="366" builtinId="8" hidden="1"/>
    <cellStyle name="Hiperlink" xfId="368" builtinId="8" hidden="1"/>
    <cellStyle name="Hiperlink" xfId="370" builtinId="8" hidden="1"/>
    <cellStyle name="Hiperlink" xfId="372" builtinId="8" hidden="1"/>
    <cellStyle name="Hiperlink" xfId="374" builtinId="8" hidden="1"/>
    <cellStyle name="Hiperlink" xfId="376" builtinId="8" hidden="1"/>
    <cellStyle name="Hiperlink" xfId="378" builtinId="8" hidden="1"/>
    <cellStyle name="Hiperlink" xfId="380" builtinId="8" hidden="1"/>
    <cellStyle name="Hiperlink" xfId="382" builtinId="8" hidden="1"/>
    <cellStyle name="Hiperlink" xfId="384" builtinId="8" hidden="1"/>
    <cellStyle name="Hiperlink" xfId="386" builtinId="8" hidden="1"/>
    <cellStyle name="Hiperlink" xfId="388" builtinId="8" hidden="1"/>
    <cellStyle name="Hiperlink" xfId="390" builtinId="8" hidden="1"/>
    <cellStyle name="Hiperlink" xfId="392" builtinId="8" hidden="1"/>
    <cellStyle name="Hiperlink" xfId="394" builtinId="8" hidden="1"/>
    <cellStyle name="Hiperlink" xfId="396" builtinId="8" hidden="1"/>
    <cellStyle name="Hiperlink" xfId="398" builtinId="8" hidden="1"/>
    <cellStyle name="Hiperlink" xfId="400" builtinId="8" hidden="1"/>
    <cellStyle name="Hiperlink" xfId="402" builtinId="8" hidden="1"/>
    <cellStyle name="Hiperlink" xfId="404" builtinId="8" hidden="1"/>
    <cellStyle name="Hiperlink" xfId="406" builtinId="8" hidden="1"/>
    <cellStyle name="Hiperlink" xfId="408" builtinId="8" hidden="1"/>
    <cellStyle name="Hiperlink" xfId="410" builtinId="8" hidden="1"/>
    <cellStyle name="Hiperlink" xfId="412" builtinId="8" hidden="1"/>
    <cellStyle name="Hiperlink" xfId="414" builtinId="8" hidden="1"/>
    <cellStyle name="Hiperlink" xfId="416" builtinId="8" hidden="1"/>
    <cellStyle name="Hiperlink" xfId="418" builtinId="8" hidden="1"/>
    <cellStyle name="Hiperlink" xfId="420" builtinId="8" hidden="1"/>
    <cellStyle name="Hiperlink" xfId="422" builtinId="8" hidden="1"/>
    <cellStyle name="Hiperlink" xfId="424" builtinId="8" hidden="1"/>
    <cellStyle name="Hiperlink" xfId="426" builtinId="8" hidden="1"/>
    <cellStyle name="Hiperlink" xfId="428" builtinId="8" hidden="1"/>
    <cellStyle name="Hiperlink" xfId="430" builtinId="8" hidden="1"/>
    <cellStyle name="Hiperlink" xfId="432" builtinId="8" hidden="1"/>
    <cellStyle name="Hiperlink" xfId="434" builtinId="8" hidden="1"/>
    <cellStyle name="Hiperlink" xfId="436" builtinId="8" hidden="1"/>
    <cellStyle name="Hiperlink" xfId="438" builtinId="8" hidden="1"/>
    <cellStyle name="Hiperlink" xfId="441" builtinId="8" hidden="1"/>
    <cellStyle name="Hiperlink" xfId="443" builtinId="8" hidden="1"/>
    <cellStyle name="Hiperlink" xfId="445" builtinId="8" hidden="1"/>
    <cellStyle name="Hiperlink" xfId="447" builtinId="8" hidden="1"/>
    <cellStyle name="Hiperlink" xfId="449" builtinId="8" hidden="1"/>
    <cellStyle name="Hiperlink" xfId="451" builtinId="8" hidden="1"/>
    <cellStyle name="Hiperlink" xfId="453" builtinId="8" hidden="1"/>
    <cellStyle name="Hiperlink" xfId="455" builtinId="8" hidden="1"/>
    <cellStyle name="Hiperlink" xfId="457" builtinId="8" hidden="1"/>
    <cellStyle name="Hiperlink" xfId="459" builtinId="8" hidden="1"/>
    <cellStyle name="Hiperlink" xfId="461" builtinId="8" hidden="1"/>
    <cellStyle name="Hiperlink" xfId="463" builtinId="8" hidden="1"/>
    <cellStyle name="Hiperlink" xfId="465" builtinId="8" hidden="1"/>
    <cellStyle name="Hiperlink" xfId="467" builtinId="8" hidden="1"/>
    <cellStyle name="Hiperlink" xfId="469" builtinId="8" hidden="1"/>
    <cellStyle name="Hiperlink" xfId="471" builtinId="8" hidden="1"/>
    <cellStyle name="Hiperlink" xfId="473" builtinId="8" hidden="1"/>
    <cellStyle name="Hiperlink" xfId="475" builtinId="8" hidden="1"/>
    <cellStyle name="Hiperlink" xfId="477" builtinId="8" hidden="1"/>
    <cellStyle name="Hiperlink" xfId="479" builtinId="8" hidden="1"/>
    <cellStyle name="Hiperlink" xfId="481" builtinId="8" hidden="1"/>
    <cellStyle name="Hiperlink" xfId="483" builtinId="8" hidden="1"/>
    <cellStyle name="Hiperlink" xfId="485" builtinId="8" hidden="1"/>
    <cellStyle name="Hiperlink" xfId="487" builtinId="8" hidden="1"/>
    <cellStyle name="Hiperlink" xfId="489" builtinId="8" hidden="1"/>
    <cellStyle name="Hiperlink" xfId="491" builtinId="8" hidden="1"/>
    <cellStyle name="Hiperlink" xfId="493" builtinId="8" hidden="1"/>
    <cellStyle name="Hiperlink" xfId="495" builtinId="8" hidden="1"/>
    <cellStyle name="Hiperlink" xfId="497" builtinId="8" hidden="1"/>
    <cellStyle name="Hiperlink" xfId="499" builtinId="8" hidden="1"/>
    <cellStyle name="Hiperlink" xfId="501" builtinId="8" hidden="1"/>
    <cellStyle name="Hiperlink" xfId="503" builtinId="8" hidden="1"/>
    <cellStyle name="Hiperlink" xfId="505" builtinId="8" hidden="1"/>
    <cellStyle name="Hiperlink" xfId="507" builtinId="8" hidden="1"/>
    <cellStyle name="Hiperlink" xfId="509" builtinId="8" hidden="1"/>
    <cellStyle name="Hiperlink" xfId="511" builtinId="8" hidden="1"/>
    <cellStyle name="Hiperlink" xfId="513" builtinId="8" hidden="1"/>
    <cellStyle name="Hiperlink" xfId="515" builtinId="8" hidden="1"/>
    <cellStyle name="Hiperlink" xfId="517" builtinId="8" hidden="1"/>
    <cellStyle name="Hiperlink" xfId="519" builtinId="8" hidden="1"/>
    <cellStyle name="Hiperlink" xfId="521" builtinId="8" hidden="1"/>
    <cellStyle name="Hiperlink" xfId="523" builtinId="8" hidden="1"/>
    <cellStyle name="Hiperlink" xfId="525" builtinId="8" hidden="1"/>
    <cellStyle name="Hiperlink" xfId="527" builtinId="8" hidden="1"/>
    <cellStyle name="Hiperlink" xfId="529" builtinId="8" hidden="1"/>
    <cellStyle name="Hiperlink" xfId="531" builtinId="8" hidden="1"/>
    <cellStyle name="Hiperlink" xfId="533" builtinId="8" hidden="1"/>
    <cellStyle name="Hiperlink" xfId="535" builtinId="8" hidden="1"/>
    <cellStyle name="Hiperlink" xfId="537" builtinId="8" hidden="1"/>
    <cellStyle name="Hiperlink" xfId="539" builtinId="8" hidden="1"/>
    <cellStyle name="Hiperlink" xfId="541" builtinId="8" hidden="1"/>
    <cellStyle name="Hiperlink" xfId="543" builtinId="8" hidden="1"/>
    <cellStyle name="Hiperlink" xfId="545" builtinId="8" hidden="1"/>
    <cellStyle name="Hiperlink" xfId="547" builtinId="8" hidden="1"/>
    <cellStyle name="Hiperlink" xfId="549" builtinId="8" hidden="1"/>
    <cellStyle name="Hiperlink" xfId="551" builtinId="8" hidden="1"/>
    <cellStyle name="Hiperlink" xfId="553" builtinId="8" hidden="1"/>
    <cellStyle name="Hiperlink" xfId="555" builtinId="8" hidden="1"/>
    <cellStyle name="Hiperlink" xfId="557" builtinId="8" hidden="1"/>
    <cellStyle name="Hiperlink" xfId="559" builtinId="8" hidden="1"/>
    <cellStyle name="Hiperlink" xfId="561" builtinId="8" hidden="1"/>
    <cellStyle name="Hiperlink" xfId="563" builtinId="8" hidden="1"/>
    <cellStyle name="Hiperlink" xfId="565" builtinId="8" hidden="1"/>
    <cellStyle name="Hiperlink" xfId="567" builtinId="8" hidden="1"/>
    <cellStyle name="Hiperlink" xfId="569" builtinId="8" hidden="1"/>
    <cellStyle name="Hiperlink" xfId="571" builtinId="8" hidden="1"/>
    <cellStyle name="Hiperlink Visitado" xfId="29" builtinId="9" hidden="1"/>
    <cellStyle name="Hiperlink Visitado" xfId="31" builtinId="9" hidden="1"/>
    <cellStyle name="Hiperlink Visitado" xfId="33" builtinId="9" hidden="1"/>
    <cellStyle name="Hiperlink Visitado" xfId="35" builtinId="9" hidden="1"/>
    <cellStyle name="Hiperlink Visitado" xfId="37" builtinId="9" hidden="1"/>
    <cellStyle name="Hiperlink Visitado" xfId="39" builtinId="9" hidden="1"/>
    <cellStyle name="Hiperlink Visitado" xfId="41" builtinId="9" hidden="1"/>
    <cellStyle name="Hiperlink Visitado" xfId="43" builtinId="9" hidden="1"/>
    <cellStyle name="Hiperlink Visitado" xfId="45" builtinId="9" hidden="1"/>
    <cellStyle name="Hiperlink Visitado" xfId="47" builtinId="9" hidden="1"/>
    <cellStyle name="Hiperlink Visitado" xfId="49" builtinId="9" hidden="1"/>
    <cellStyle name="Hiperlink Visitado" xfId="51" builtinId="9" hidden="1"/>
    <cellStyle name="Hiperlink Visitado" xfId="53" builtinId="9" hidden="1"/>
    <cellStyle name="Hiperlink Visitado" xfId="55" builtinId="9" hidden="1"/>
    <cellStyle name="Hiperlink Visitado" xfId="57" builtinId="9" hidden="1"/>
    <cellStyle name="Hiperlink Visitado" xfId="59" builtinId="9" hidden="1"/>
    <cellStyle name="Hiperlink Visitado" xfId="61" builtinId="9" hidden="1"/>
    <cellStyle name="Hiperlink Visitado" xfId="63" builtinId="9" hidden="1"/>
    <cellStyle name="Hiperlink Visitado" xfId="65" builtinId="9" hidden="1"/>
    <cellStyle name="Hiperlink Visitado" xfId="67" builtinId="9" hidden="1"/>
    <cellStyle name="Hiperlink Visitado" xfId="69" builtinId="9" hidden="1"/>
    <cellStyle name="Hiperlink Visitado" xfId="71" builtinId="9" hidden="1"/>
    <cellStyle name="Hiperlink Visitado" xfId="73" builtinId="9" hidden="1"/>
    <cellStyle name="Hiperlink Visitado" xfId="75" builtinId="9" hidden="1"/>
    <cellStyle name="Hiperlink Visitado" xfId="77" builtinId="9" hidden="1"/>
    <cellStyle name="Hiperlink Visitado" xfId="79" builtinId="9" hidden="1"/>
    <cellStyle name="Hiperlink Visitado" xfId="81" builtinId="9" hidden="1"/>
    <cellStyle name="Hiperlink Visitado" xfId="83" builtinId="9" hidden="1"/>
    <cellStyle name="Hiperlink Visitado" xfId="85" builtinId="9" hidden="1"/>
    <cellStyle name="Hiperlink Visitado" xfId="87" builtinId="9" hidden="1"/>
    <cellStyle name="Hiperlink Visitado" xfId="89" builtinId="9" hidden="1"/>
    <cellStyle name="Hiperlink Visitado" xfId="91" builtinId="9" hidden="1"/>
    <cellStyle name="Hiperlink Visitado" xfId="93" builtinId="9" hidden="1"/>
    <cellStyle name="Hiperlink Visitado" xfId="95" builtinId="9" hidden="1"/>
    <cellStyle name="Hiperlink Visitado" xfId="97" builtinId="9" hidden="1"/>
    <cellStyle name="Hiperlink Visitado" xfId="99" builtinId="9" hidden="1"/>
    <cellStyle name="Hiperlink Visitado" xfId="101" builtinId="9" hidden="1"/>
    <cellStyle name="Hiperlink Visitado" xfId="103" builtinId="9" hidden="1"/>
    <cellStyle name="Hiperlink Visitado" xfId="105" builtinId="9" hidden="1"/>
    <cellStyle name="Hiperlink Visitado" xfId="107" builtinId="9" hidden="1"/>
    <cellStyle name="Hiperlink Visitado" xfId="109" builtinId="9" hidden="1"/>
    <cellStyle name="Hiperlink Visitado" xfId="111" builtinId="9" hidden="1"/>
    <cellStyle name="Hiperlink Visitado" xfId="113" builtinId="9" hidden="1"/>
    <cellStyle name="Hiperlink Visitado" xfId="115" builtinId="9" hidden="1"/>
    <cellStyle name="Hiperlink Visitado" xfId="117" builtinId="9" hidden="1"/>
    <cellStyle name="Hiperlink Visitado" xfId="119" builtinId="9" hidden="1"/>
    <cellStyle name="Hiperlink Visitado" xfId="121" builtinId="9" hidden="1"/>
    <cellStyle name="Hiperlink Visitado" xfId="123" builtinId="9" hidden="1"/>
    <cellStyle name="Hiperlink Visitado" xfId="125" builtinId="9" hidden="1"/>
    <cellStyle name="Hiperlink Visitado" xfId="127" builtinId="9" hidden="1"/>
    <cellStyle name="Hiperlink Visitado" xfId="129" builtinId="9" hidden="1"/>
    <cellStyle name="Hiperlink Visitado" xfId="131" builtinId="9" hidden="1"/>
    <cellStyle name="Hiperlink Visitado" xfId="133" builtinId="9" hidden="1"/>
    <cellStyle name="Hiperlink Visitado" xfId="135" builtinId="9" hidden="1"/>
    <cellStyle name="Hiperlink Visitado" xfId="137" builtinId="9" hidden="1"/>
    <cellStyle name="Hiperlink Visitado" xfId="139" builtinId="9" hidden="1"/>
    <cellStyle name="Hiperlink Visitado" xfId="141" builtinId="9" hidden="1"/>
    <cellStyle name="Hiperlink Visitado" xfId="143" builtinId="9" hidden="1"/>
    <cellStyle name="Hiperlink Visitado" xfId="145" builtinId="9" hidden="1"/>
    <cellStyle name="Hiperlink Visitado" xfId="147" builtinId="9" hidden="1"/>
    <cellStyle name="Hiperlink Visitado" xfId="149" builtinId="9" hidden="1"/>
    <cellStyle name="Hiperlink Visitado" xfId="151" builtinId="9" hidden="1"/>
    <cellStyle name="Hiperlink Visitado" xfId="153" builtinId="9" hidden="1"/>
    <cellStyle name="Hiperlink Visitado" xfId="155" builtinId="9" hidden="1"/>
    <cellStyle name="Hiperlink Visitado" xfId="157" builtinId="9" hidden="1"/>
    <cellStyle name="Hiperlink Visitado" xfId="159" builtinId="9" hidden="1"/>
    <cellStyle name="Hiperlink Visitado" xfId="161" builtinId="9" hidden="1"/>
    <cellStyle name="Hiperlink Visitado" xfId="163" builtinId="9" hidden="1"/>
    <cellStyle name="Hiperlink Visitado" xfId="165" builtinId="9" hidden="1"/>
    <cellStyle name="Hiperlink Visitado" xfId="167" builtinId="9" hidden="1"/>
    <cellStyle name="Hiperlink Visitado" xfId="169" builtinId="9" hidden="1"/>
    <cellStyle name="Hiperlink Visitado" xfId="171" builtinId="9" hidden="1"/>
    <cellStyle name="Hiperlink Visitado" xfId="173" builtinId="9" hidden="1"/>
    <cellStyle name="Hiperlink Visitado" xfId="175" builtinId="9" hidden="1"/>
    <cellStyle name="Hiperlink Visitado" xfId="177" builtinId="9" hidden="1"/>
    <cellStyle name="Hiperlink Visitado" xfId="179" builtinId="9" hidden="1"/>
    <cellStyle name="Hiperlink Visitado" xfId="181" builtinId="9" hidden="1"/>
    <cellStyle name="Hiperlink Visitado" xfId="183" builtinId="9" hidden="1"/>
    <cellStyle name="Hiperlink Visitado" xfId="185" builtinId="9" hidden="1"/>
    <cellStyle name="Hiperlink Visitado" xfId="187" builtinId="9" hidden="1"/>
    <cellStyle name="Hiperlink Visitado" xfId="189" builtinId="9" hidden="1"/>
    <cellStyle name="Hiperlink Visitado" xfId="191" builtinId="9" hidden="1"/>
    <cellStyle name="Hiperlink Visitado" xfId="193" builtinId="9" hidden="1"/>
    <cellStyle name="Hiperlink Visitado" xfId="195" builtinId="9" hidden="1"/>
    <cellStyle name="Hiperlink Visitado" xfId="197" builtinId="9" hidden="1"/>
    <cellStyle name="Hiperlink Visitado" xfId="199" builtinId="9" hidden="1"/>
    <cellStyle name="Hiperlink Visitado" xfId="201" builtinId="9" hidden="1"/>
    <cellStyle name="Hiperlink Visitado" xfId="203" builtinId="9" hidden="1"/>
    <cellStyle name="Hiperlink Visitado" xfId="205" builtinId="9" hidden="1"/>
    <cellStyle name="Hiperlink Visitado" xfId="207" builtinId="9" hidden="1"/>
    <cellStyle name="Hiperlink Visitado" xfId="209" builtinId="9" hidden="1"/>
    <cellStyle name="Hiperlink Visitado" xfId="211" builtinId="9" hidden="1"/>
    <cellStyle name="Hiperlink Visitado" xfId="213" builtinId="9" hidden="1"/>
    <cellStyle name="Hiperlink Visitado" xfId="215" builtinId="9" hidden="1"/>
    <cellStyle name="Hiperlink Visitado" xfId="217" builtinId="9" hidden="1"/>
    <cellStyle name="Hiperlink Visitado" xfId="219" builtinId="9" hidden="1"/>
    <cellStyle name="Hiperlink Visitado" xfId="221" builtinId="9" hidden="1"/>
    <cellStyle name="Hiperlink Visitado" xfId="223" builtinId="9" hidden="1"/>
    <cellStyle name="Hiperlink Visitado" xfId="225" builtinId="9" hidden="1"/>
    <cellStyle name="Hiperlink Visitado" xfId="227" builtinId="9" hidden="1"/>
    <cellStyle name="Hiperlink Visitado" xfId="229" builtinId="9" hidden="1"/>
    <cellStyle name="Hiperlink Visitado" xfId="231" builtinId="9" hidden="1"/>
    <cellStyle name="Hiperlink Visitado" xfId="233" builtinId="9" hidden="1"/>
    <cellStyle name="Hiperlink Visitado" xfId="235" builtinId="9" hidden="1"/>
    <cellStyle name="Hiperlink Visitado" xfId="237" builtinId="9" hidden="1"/>
    <cellStyle name="Hiperlink Visitado" xfId="239" builtinId="9" hidden="1"/>
    <cellStyle name="Hiperlink Visitado" xfId="241" builtinId="9" hidden="1"/>
    <cellStyle name="Hiperlink Visitado" xfId="243" builtinId="9" hidden="1"/>
    <cellStyle name="Hiperlink Visitado" xfId="245" builtinId="9" hidden="1"/>
    <cellStyle name="Hiperlink Visitado" xfId="247" builtinId="9" hidden="1"/>
    <cellStyle name="Hiperlink Visitado" xfId="249" builtinId="9" hidden="1"/>
    <cellStyle name="Hiperlink Visitado" xfId="251" builtinId="9" hidden="1"/>
    <cellStyle name="Hiperlink Visitado" xfId="253" builtinId="9" hidden="1"/>
    <cellStyle name="Hiperlink Visitado" xfId="255" builtinId="9" hidden="1"/>
    <cellStyle name="Hiperlink Visitado" xfId="257" builtinId="9" hidden="1"/>
    <cellStyle name="Hiperlink Visitado" xfId="259" builtinId="9" hidden="1"/>
    <cellStyle name="Hiperlink Visitado" xfId="261" builtinId="9" hidden="1"/>
    <cellStyle name="Hiperlink Visitado" xfId="263" builtinId="9" hidden="1"/>
    <cellStyle name="Hiperlink Visitado" xfId="265" builtinId="9" hidden="1"/>
    <cellStyle name="Hiperlink Visitado" xfId="267" builtinId="9" hidden="1"/>
    <cellStyle name="Hiperlink Visitado" xfId="269" builtinId="9" hidden="1"/>
    <cellStyle name="Hiperlink Visitado" xfId="271" builtinId="9" hidden="1"/>
    <cellStyle name="Hiperlink Visitado" xfId="273" builtinId="9" hidden="1"/>
    <cellStyle name="Hiperlink Visitado" xfId="275" builtinId="9" hidden="1"/>
    <cellStyle name="Hiperlink Visitado" xfId="277" builtinId="9" hidden="1"/>
    <cellStyle name="Hiperlink Visitado" xfId="279" builtinId="9" hidden="1"/>
    <cellStyle name="Hiperlink Visitado" xfId="281" builtinId="9" hidden="1"/>
    <cellStyle name="Hiperlink Visitado" xfId="283" builtinId="9" hidden="1"/>
    <cellStyle name="Hiperlink Visitado" xfId="285" builtinId="9" hidden="1"/>
    <cellStyle name="Hiperlink Visitado" xfId="287" builtinId="9" hidden="1"/>
    <cellStyle name="Hiperlink Visitado" xfId="289" builtinId="9" hidden="1"/>
    <cellStyle name="Hiperlink Visitado" xfId="291" builtinId="9" hidden="1"/>
    <cellStyle name="Hiperlink Visitado" xfId="293" builtinId="9" hidden="1"/>
    <cellStyle name="Hiperlink Visitado" xfId="295" builtinId="9" hidden="1"/>
    <cellStyle name="Hiperlink Visitado" xfId="297" builtinId="9" hidden="1"/>
    <cellStyle name="Hiperlink Visitado" xfId="299" builtinId="9" hidden="1"/>
    <cellStyle name="Hiperlink Visitado" xfId="301" builtinId="9" hidden="1"/>
    <cellStyle name="Hiperlink Visitado" xfId="303" builtinId="9" hidden="1"/>
    <cellStyle name="Hiperlink Visitado" xfId="305" builtinId="9" hidden="1"/>
    <cellStyle name="Hiperlink Visitado" xfId="307" builtinId="9" hidden="1"/>
    <cellStyle name="Hiperlink Visitado" xfId="309" builtinId="9" hidden="1"/>
    <cellStyle name="Hiperlink Visitado" xfId="311" builtinId="9" hidden="1"/>
    <cellStyle name="Hiperlink Visitado" xfId="313" builtinId="9" hidden="1"/>
    <cellStyle name="Hiperlink Visitado" xfId="315" builtinId="9" hidden="1"/>
    <cellStyle name="Hiperlink Visitado" xfId="317" builtinId="9" hidden="1"/>
    <cellStyle name="Hiperlink Visitado" xfId="319" builtinId="9" hidden="1"/>
    <cellStyle name="Hiperlink Visitado" xfId="321" builtinId="9" hidden="1"/>
    <cellStyle name="Hiperlink Visitado" xfId="323" builtinId="9" hidden="1"/>
    <cellStyle name="Hiperlink Visitado" xfId="325" builtinId="9" hidden="1"/>
    <cellStyle name="Hiperlink Visitado" xfId="327" builtinId="9" hidden="1"/>
    <cellStyle name="Hiperlink Visitado" xfId="329" builtinId="9" hidden="1"/>
    <cellStyle name="Hiperlink Visitado" xfId="331" builtinId="9" hidden="1"/>
    <cellStyle name="Hiperlink Visitado" xfId="333" builtinId="9" hidden="1"/>
    <cellStyle name="Hiperlink Visitado" xfId="335" builtinId="9" hidden="1"/>
    <cellStyle name="Hiperlink Visitado" xfId="337" builtinId="9" hidden="1"/>
    <cellStyle name="Hiperlink Visitado" xfId="339" builtinId="9" hidden="1"/>
    <cellStyle name="Hiperlink Visitado" xfId="341" builtinId="9" hidden="1"/>
    <cellStyle name="Hiperlink Visitado" xfId="343" builtinId="9" hidden="1"/>
    <cellStyle name="Hiperlink Visitado" xfId="345" builtinId="9" hidden="1"/>
    <cellStyle name="Hiperlink Visitado" xfId="347" builtinId="9" hidden="1"/>
    <cellStyle name="Hiperlink Visitado" xfId="349" builtinId="9" hidden="1"/>
    <cellStyle name="Hiperlink Visitado" xfId="351" builtinId="9" hidden="1"/>
    <cellStyle name="Hiperlink Visitado" xfId="353" builtinId="9" hidden="1"/>
    <cellStyle name="Hiperlink Visitado" xfId="355" builtinId="9" hidden="1"/>
    <cellStyle name="Hiperlink Visitado" xfId="357" builtinId="9" hidden="1"/>
    <cellStyle name="Hiperlink Visitado" xfId="359" builtinId="9" hidden="1"/>
    <cellStyle name="Hiperlink Visitado" xfId="361" builtinId="9" hidden="1"/>
    <cellStyle name="Hiperlink Visitado" xfId="363" builtinId="9" hidden="1"/>
    <cellStyle name="Hiperlink Visitado" xfId="365" builtinId="9" hidden="1"/>
    <cellStyle name="Hiperlink Visitado" xfId="367" builtinId="9" hidden="1"/>
    <cellStyle name="Hiperlink Visitado" xfId="369" builtinId="9" hidden="1"/>
    <cellStyle name="Hiperlink Visitado" xfId="371" builtinId="9" hidden="1"/>
    <cellStyle name="Hiperlink Visitado" xfId="373" builtinId="9" hidden="1"/>
    <cellStyle name="Hiperlink Visitado" xfId="375" builtinId="9" hidden="1"/>
    <cellStyle name="Hiperlink Visitado" xfId="377" builtinId="9" hidden="1"/>
    <cellStyle name="Hiperlink Visitado" xfId="379" builtinId="9" hidden="1"/>
    <cellStyle name="Hiperlink Visitado" xfId="381" builtinId="9" hidden="1"/>
    <cellStyle name="Hiperlink Visitado" xfId="383" builtinId="9" hidden="1"/>
    <cellStyle name="Hiperlink Visitado" xfId="385" builtinId="9" hidden="1"/>
    <cellStyle name="Hiperlink Visitado" xfId="387" builtinId="9" hidden="1"/>
    <cellStyle name="Hiperlink Visitado" xfId="389" builtinId="9" hidden="1"/>
    <cellStyle name="Hiperlink Visitado" xfId="391" builtinId="9" hidden="1"/>
    <cellStyle name="Hiperlink Visitado" xfId="393" builtinId="9" hidden="1"/>
    <cellStyle name="Hiperlink Visitado" xfId="395" builtinId="9" hidden="1"/>
    <cellStyle name="Hiperlink Visitado" xfId="397" builtinId="9" hidden="1"/>
    <cellStyle name="Hiperlink Visitado" xfId="399" builtinId="9" hidden="1"/>
    <cellStyle name="Hiperlink Visitado" xfId="401" builtinId="9" hidden="1"/>
    <cellStyle name="Hiperlink Visitado" xfId="403" builtinId="9" hidden="1"/>
    <cellStyle name="Hiperlink Visitado" xfId="405" builtinId="9" hidden="1"/>
    <cellStyle name="Hiperlink Visitado" xfId="407" builtinId="9" hidden="1"/>
    <cellStyle name="Hiperlink Visitado" xfId="409" builtinId="9" hidden="1"/>
    <cellStyle name="Hiperlink Visitado" xfId="411" builtinId="9" hidden="1"/>
    <cellStyle name="Hiperlink Visitado" xfId="413" builtinId="9" hidden="1"/>
    <cellStyle name="Hiperlink Visitado" xfId="415" builtinId="9" hidden="1"/>
    <cellStyle name="Hiperlink Visitado" xfId="417" builtinId="9" hidden="1"/>
    <cellStyle name="Hiperlink Visitado" xfId="419" builtinId="9" hidden="1"/>
    <cellStyle name="Hiperlink Visitado" xfId="421" builtinId="9" hidden="1"/>
    <cellStyle name="Hiperlink Visitado" xfId="423" builtinId="9" hidden="1"/>
    <cellStyle name="Hiperlink Visitado" xfId="425" builtinId="9" hidden="1"/>
    <cellStyle name="Hiperlink Visitado" xfId="427" builtinId="9" hidden="1"/>
    <cellStyle name="Hiperlink Visitado" xfId="429" builtinId="9" hidden="1"/>
    <cellStyle name="Hiperlink Visitado" xfId="431" builtinId="9" hidden="1"/>
    <cellStyle name="Hiperlink Visitado" xfId="433" builtinId="9" hidden="1"/>
    <cellStyle name="Hiperlink Visitado" xfId="435" builtinId="9" hidden="1"/>
    <cellStyle name="Hiperlink Visitado" xfId="437" builtinId="9" hidden="1"/>
    <cellStyle name="Hiperlink Visitado" xfId="439" builtinId="9" hidden="1"/>
    <cellStyle name="Hiperlink Visitado" xfId="442" builtinId="9" hidden="1"/>
    <cellStyle name="Hiperlink Visitado" xfId="444" builtinId="9" hidden="1"/>
    <cellStyle name="Hiperlink Visitado" xfId="446" builtinId="9" hidden="1"/>
    <cellStyle name="Hiperlink Visitado" xfId="448" builtinId="9" hidden="1"/>
    <cellStyle name="Hiperlink Visitado" xfId="450" builtinId="9" hidden="1"/>
    <cellStyle name="Hiperlink Visitado" xfId="452" builtinId="9" hidden="1"/>
    <cellStyle name="Hiperlink Visitado" xfId="454" builtinId="9" hidden="1"/>
    <cellStyle name="Hiperlink Visitado" xfId="456" builtinId="9" hidden="1"/>
    <cellStyle name="Hiperlink Visitado" xfId="458" builtinId="9" hidden="1"/>
    <cellStyle name="Hiperlink Visitado" xfId="460" builtinId="9" hidden="1"/>
    <cellStyle name="Hiperlink Visitado" xfId="462" builtinId="9" hidden="1"/>
    <cellStyle name="Hiperlink Visitado" xfId="464" builtinId="9" hidden="1"/>
    <cellStyle name="Hiperlink Visitado" xfId="466" builtinId="9" hidden="1"/>
    <cellStyle name="Hiperlink Visitado" xfId="468" builtinId="9" hidden="1"/>
    <cellStyle name="Hiperlink Visitado" xfId="470" builtinId="9" hidden="1"/>
    <cellStyle name="Hiperlink Visitado" xfId="472" builtinId="9" hidden="1"/>
    <cellStyle name="Hiperlink Visitado" xfId="474" builtinId="9" hidden="1"/>
    <cellStyle name="Hiperlink Visitado" xfId="476" builtinId="9" hidden="1"/>
    <cellStyle name="Hiperlink Visitado" xfId="478" builtinId="9" hidden="1"/>
    <cellStyle name="Hiperlink Visitado" xfId="480" builtinId="9" hidden="1"/>
    <cellStyle name="Hiperlink Visitado" xfId="482" builtinId="9" hidden="1"/>
    <cellStyle name="Hiperlink Visitado" xfId="484" builtinId="9" hidden="1"/>
    <cellStyle name="Hiperlink Visitado" xfId="486" builtinId="9" hidden="1"/>
    <cellStyle name="Hiperlink Visitado" xfId="488" builtinId="9" hidden="1"/>
    <cellStyle name="Hiperlink Visitado" xfId="490" builtinId="9" hidden="1"/>
    <cellStyle name="Hiperlink Visitado" xfId="492" builtinId="9" hidden="1"/>
    <cellStyle name="Hiperlink Visitado" xfId="494" builtinId="9" hidden="1"/>
    <cellStyle name="Hiperlink Visitado" xfId="496" builtinId="9" hidden="1"/>
    <cellStyle name="Hiperlink Visitado" xfId="498" builtinId="9" hidden="1"/>
    <cellStyle name="Hiperlink Visitado" xfId="500" builtinId="9" hidden="1"/>
    <cellStyle name="Hiperlink Visitado" xfId="502" builtinId="9" hidden="1"/>
    <cellStyle name="Hiperlink Visitado" xfId="504" builtinId="9" hidden="1"/>
    <cellStyle name="Hiperlink Visitado" xfId="506" builtinId="9" hidden="1"/>
    <cellStyle name="Hiperlink Visitado" xfId="508" builtinId="9" hidden="1"/>
    <cellStyle name="Hiperlink Visitado" xfId="510" builtinId="9" hidden="1"/>
    <cellStyle name="Hiperlink Visitado" xfId="512" builtinId="9" hidden="1"/>
    <cellStyle name="Hiperlink Visitado" xfId="514" builtinId="9" hidden="1"/>
    <cellStyle name="Hiperlink Visitado" xfId="516" builtinId="9" hidden="1"/>
    <cellStyle name="Hiperlink Visitado" xfId="518" builtinId="9" hidden="1"/>
    <cellStyle name="Hiperlink Visitado" xfId="520" builtinId="9" hidden="1"/>
    <cellStyle name="Hiperlink Visitado" xfId="522" builtinId="9" hidden="1"/>
    <cellStyle name="Hiperlink Visitado" xfId="524" builtinId="9" hidden="1"/>
    <cellStyle name="Hiperlink Visitado" xfId="526" builtinId="9" hidden="1"/>
    <cellStyle name="Hiperlink Visitado" xfId="528" builtinId="9" hidden="1"/>
    <cellStyle name="Hiperlink Visitado" xfId="530" builtinId="9" hidden="1"/>
    <cellStyle name="Hiperlink Visitado" xfId="532" builtinId="9" hidden="1"/>
    <cellStyle name="Hiperlink Visitado" xfId="534" builtinId="9" hidden="1"/>
    <cellStyle name="Hiperlink Visitado" xfId="536" builtinId="9" hidden="1"/>
    <cellStyle name="Hiperlink Visitado" xfId="538" builtinId="9" hidden="1"/>
    <cellStyle name="Hiperlink Visitado" xfId="540" builtinId="9" hidden="1"/>
    <cellStyle name="Hiperlink Visitado" xfId="542" builtinId="9" hidden="1"/>
    <cellStyle name="Hiperlink Visitado" xfId="544" builtinId="9" hidden="1"/>
    <cellStyle name="Hiperlink Visitado" xfId="546" builtinId="9" hidden="1"/>
    <cellStyle name="Hiperlink Visitado" xfId="548" builtinId="9" hidden="1"/>
    <cellStyle name="Hiperlink Visitado" xfId="550" builtinId="9" hidden="1"/>
    <cellStyle name="Hiperlink Visitado" xfId="552" builtinId="9" hidden="1"/>
    <cellStyle name="Hiperlink Visitado" xfId="554" builtinId="9" hidden="1"/>
    <cellStyle name="Hiperlink Visitado" xfId="556" builtinId="9" hidden="1"/>
    <cellStyle name="Hiperlink Visitado" xfId="558" builtinId="9" hidden="1"/>
    <cellStyle name="Hiperlink Visitado" xfId="560" builtinId="9" hidden="1"/>
    <cellStyle name="Hiperlink Visitado" xfId="562" builtinId="9" hidden="1"/>
    <cellStyle name="Hiperlink Visitado" xfId="564" builtinId="9" hidden="1"/>
    <cellStyle name="Hiperlink Visitado" xfId="566" builtinId="9" hidden="1"/>
    <cellStyle name="Hiperlink Visitado" xfId="568" builtinId="9" hidden="1"/>
    <cellStyle name="Hiperlink Visitado" xfId="570" builtinId="9" hidden="1"/>
    <cellStyle name="Hiperlink Visitado" xfId="572" builtinId="9" hidden="1"/>
    <cellStyle name="Label" xfId="26"/>
    <cellStyle name="Moeda" xfId="440" builtinId="4"/>
    <cellStyle name="Normal" xfId="0" builtinId="0"/>
    <cellStyle name="Normal 2" xfId="9"/>
    <cellStyle name="Normal 2 2" xfId="10"/>
    <cellStyle name="Normal 3" xfId="20"/>
    <cellStyle name="Normal 3 2" xfId="19"/>
    <cellStyle name="Normal 3 3" xfId="13"/>
    <cellStyle name="Normal 5" xfId="18"/>
    <cellStyle name="Normal 7 2" xfId="7"/>
    <cellStyle name="Normal 8 2" xfId="8"/>
    <cellStyle name="Normal_Perdas" xfId="11"/>
    <cellStyle name="Normal_Plan1" xfId="5"/>
    <cellStyle name="Normal_PlanilhaFinanceiraVertente" xfId="3"/>
    <cellStyle name="Normal_Plano2001" xfId="17"/>
    <cellStyle name="Percent 2" xfId="12"/>
    <cellStyle name="Percent 4" xfId="15"/>
    <cellStyle name="Percent Complete" xfId="21"/>
    <cellStyle name="Period Headers" xfId="23"/>
    <cellStyle name="Period Highlight Control" xfId="27"/>
    <cellStyle name="Porcentagem" xfId="2" builtinId="5"/>
    <cellStyle name="Project Headers" xfId="24"/>
    <cellStyle name="Título 1 2" xfId="25"/>
    <cellStyle name="Vírgula" xfId="1" builtinId="3"/>
  </cellStyles>
  <dxfs count="134">
    <dxf>
      <font>
        <color rgb="FF9C0006"/>
      </font>
      <fill>
        <patternFill>
          <bgColor rgb="FFFFFF00"/>
        </patternFill>
      </fill>
    </dxf>
    <dxf>
      <font>
        <color theme="0"/>
      </font>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s>
  <tableStyles count="0" defaultTableStyle="TableStyleMedium2" defaultPivotStyle="PivotStyleLight16"/>
  <colors>
    <mruColors>
      <color rgb="FF8AC405"/>
      <color rgb="FF032D4D"/>
      <color rgb="FF042D4D"/>
      <color rgb="FF8AC305"/>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externalLink" Target="externalLinks/externalLink2.xml"/><Relationship Id="rId31" Type="http://schemas.openxmlformats.org/officeDocument/2006/relationships/externalLink" Target="externalLinks/externalLink3.xml"/><Relationship Id="rId32" Type="http://schemas.openxmlformats.org/officeDocument/2006/relationships/theme" Target="theme/theme1.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styles" Target="styles.xml"/><Relationship Id="rId34" Type="http://schemas.openxmlformats.org/officeDocument/2006/relationships/sharedStrings" Target="sharedStrings.xml"/><Relationship Id="rId35" Type="http://schemas.openxmlformats.org/officeDocument/2006/relationships/calcChain" Target="calcChain.xml"/><Relationship Id="rId3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Perdas Financeiras</a:t>
            </a:r>
          </a:p>
          <a:p>
            <a:pPr>
              <a:defRPr/>
            </a:pPr>
            <a:r>
              <a:rPr lang="en-US"/>
              <a:t>(R$)</a:t>
            </a:r>
          </a:p>
        </c:rich>
      </c:tx>
      <c:layout>
        <c:manualLayout>
          <c:xMode val="edge"/>
          <c:yMode val="edge"/>
          <c:x val="0.0311486833053241"/>
          <c:y val="0.055849625250480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57876202343912"/>
          <c:y val="0.249778300602864"/>
          <c:w val="0.544175160974016"/>
          <c:h val="0.711714146894302"/>
        </c:manualLayout>
      </c:layout>
      <c:pieChart>
        <c:varyColors val="1"/>
        <c:ser>
          <c:idx val="0"/>
          <c:order val="0"/>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5594-4729-A0DE-C81CD9AECDAE}"/>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5594-4729-A0DE-C81CD9AECDAE}"/>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5594-4729-A0DE-C81CD9AECDA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dLblPos val="bestFit"/>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'Avaliação das perdas'!$C$8:$C$10</c:f>
              <c:strCache>
                <c:ptCount val="3"/>
                <c:pt idx="0">
                  <c:v>Transição</c:v>
                </c:pt>
                <c:pt idx="1">
                  <c:v>Reprodução</c:v>
                </c:pt>
                <c:pt idx="2">
                  <c:v>Mastite</c:v>
                </c:pt>
              </c:strCache>
            </c:strRef>
          </c:cat>
          <c:val>
            <c:numRef>
              <c:f>'Avaliação das perdas'!$D$8:$D$10</c:f>
              <c:numCache>
                <c:formatCode>#,##0</c:formatCode>
                <c:ptCount val="3"/>
                <c:pt idx="0">
                  <c:v>0.0</c:v>
                </c:pt>
                <c:pt idx="1">
                  <c:v>0.0</c:v>
                </c:pt>
                <c:pt idx="2">
                  <c:v>0.0</c:v>
                </c:pt>
              </c:numCache>
            </c:numRef>
          </c:val>
          <c:extLst xmlns:c16r2="http://schemas.microsoft.com/office/drawing/2015/06/chart">
            <c:ext xmlns:c16="http://schemas.microsoft.com/office/drawing/2014/chart" uri="{C3380CC4-5D6E-409C-BE32-E72D297353CC}">
              <c16:uniqueId val="{00000006-5594-4729-A0DE-C81CD9AECDAE}"/>
            </c:ext>
          </c:extLst>
        </c:ser>
        <c:dLbls>
          <c:showLegendKey val="0"/>
          <c:showVal val="0"/>
          <c:showCatName val="1"/>
          <c:showSerName val="0"/>
          <c:showPercent val="1"/>
          <c:showBubbleSize val="0"/>
          <c:showLeaderLines val="1"/>
        </c:dLbls>
        <c:firstSliceAng val="0"/>
      </c:pieChart>
      <c:spPr>
        <a:noFill/>
        <a:ln>
          <a:noFill/>
        </a:ln>
        <a:effectLst/>
      </c:spPr>
    </c:plotArea>
    <c:legend>
      <c:legendPos val="b"/>
      <c:layout>
        <c:manualLayout>
          <c:xMode val="edge"/>
          <c:yMode val="edge"/>
          <c:x val="0.0168831154443948"/>
          <c:y val="0.623596246787913"/>
          <c:w val="0.187076440410025"/>
          <c:h val="0.3345165342742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noFill/>
    <a:ln w="9525" cap="flat" cmpd="sng" algn="ctr">
      <a:noFill/>
      <a:round/>
    </a:ln>
    <a:effectLst/>
  </c:spPr>
  <c:txPr>
    <a:bodyPr/>
    <a:lstStyle/>
    <a:p>
      <a:pPr>
        <a:defRPr/>
      </a:pPr>
      <a:endParaRPr lang="pt-BR"/>
    </a:p>
  </c:txPr>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Perdas devido à Mastite</a:t>
            </a:r>
          </a:p>
        </c:rich>
      </c:tx>
      <c:layout>
        <c:manualLayout>
          <c:xMode val="edge"/>
          <c:yMode val="edge"/>
          <c:x val="0.0476857080567881"/>
          <c:y val="0.042082608242619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pt-BR"/>
        </a:p>
      </c:txPr>
    </c:title>
    <c:autoTitleDeleted val="0"/>
    <c:plotArea>
      <c:layout>
        <c:manualLayout>
          <c:layoutTarget val="inner"/>
          <c:xMode val="edge"/>
          <c:yMode val="edge"/>
          <c:x val="0.219018878563806"/>
          <c:y val="0.217025988289161"/>
          <c:w val="0.625543186948105"/>
          <c:h val="0.685578110384656"/>
        </c:manualLayout>
      </c:layout>
      <c:pieChart>
        <c:varyColors val="1"/>
        <c:ser>
          <c:idx val="0"/>
          <c:order val="0"/>
          <c:tx>
            <c:v>Losses</c:v>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5908-446E-99DF-EE1B629BBA3D}"/>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5908-446E-99DF-EE1B629BBA3D}"/>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5908-446E-99DF-EE1B629BBA3D}"/>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5908-446E-99DF-EE1B629BBA3D}"/>
              </c:ext>
            </c:extLst>
          </c:dPt>
          <c:dLbls>
            <c:numFmt formatCode="0%" sourceLinked="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1"/>
            <c:showBubbleSize val="0"/>
            <c:showLeaderLines val="0"/>
            <c:extLst xmlns:c16r2="http://schemas.microsoft.com/office/drawing/2015/06/chart">
              <c:ext xmlns:c15="http://schemas.microsoft.com/office/drawing/2012/chart" uri="{CE6537A1-D6FC-4f65-9D91-7224C49458BB}">
                <c15:layout/>
              </c:ext>
            </c:extLst>
          </c:dLbls>
          <c:cat>
            <c:strRef>
              <c:f>'Perdas por Mastite'!$F$7:$F$10</c:f>
              <c:strCache>
                <c:ptCount val="4"/>
                <c:pt idx="0">
                  <c:v>R$/ano</c:v>
                </c:pt>
                <c:pt idx="1">
                  <c:v>R$/ano</c:v>
                </c:pt>
                <c:pt idx="2">
                  <c:v>R$/ano</c:v>
                </c:pt>
                <c:pt idx="3">
                  <c:v>R$/ano</c:v>
                </c:pt>
              </c:strCache>
            </c:strRef>
          </c:cat>
          <c:val>
            <c:numRef>
              <c:f>'Perdas por Mastite'!$E$7:$E$10</c:f>
              <c:numCache>
                <c:formatCode>#,##0</c:formatCode>
                <c:ptCount val="4"/>
                <c:pt idx="0">
                  <c:v>0.0</c:v>
                </c:pt>
                <c:pt idx="1">
                  <c:v>#N/A</c:v>
                </c:pt>
                <c:pt idx="2">
                  <c:v>0.0</c:v>
                </c:pt>
                <c:pt idx="3">
                  <c:v>0.0</c:v>
                </c:pt>
              </c:numCache>
            </c:numRef>
          </c:val>
          <c:extLst xmlns:c16r2="http://schemas.microsoft.com/office/drawing/2015/06/chart">
            <c:ext xmlns:c16="http://schemas.microsoft.com/office/drawing/2014/chart" uri="{C3380CC4-5D6E-409C-BE32-E72D297353CC}">
              <c16:uniqueId val="{00000008-5908-446E-99DF-EE1B629BBA3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solidFill>
            <a:schemeClr val="tx1"/>
          </a:solidFill>
        </a:defRPr>
      </a:pPr>
      <a:endParaRPr lang="pt-BR"/>
    </a:p>
  </c:txPr>
  <c:printSettings>
    <c:headerFooter/>
    <c:pageMargins b="1.0" l="0.75" r="0.75" t="1.0"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r>
              <a:rPr lang="pt-BR" sz="2400" b="1">
                <a:solidFill>
                  <a:srgbClr val="042D4D"/>
                </a:solidFill>
              </a:rPr>
              <a:t>Total</a:t>
            </a:r>
            <a:r>
              <a:rPr lang="pt-BR" sz="2400" b="1" baseline="0">
                <a:solidFill>
                  <a:srgbClr val="042D4D"/>
                </a:solidFill>
              </a:rPr>
              <a:t> de animais no rebanho</a:t>
            </a:r>
            <a:endParaRPr lang="pt-BR" sz="2400" b="1">
              <a:solidFill>
                <a:srgbClr val="042D4D"/>
              </a:solidFill>
            </a:endParaRPr>
          </a:p>
        </c:rich>
      </c:tx>
      <c:layout/>
      <c:overlay val="0"/>
      <c:spPr>
        <a:noFill/>
        <a:ln>
          <a:noFill/>
        </a:ln>
        <a:effectLst/>
      </c:spPr>
      <c:txPr>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endParaRPr lang="pt-BR"/>
        </a:p>
      </c:txPr>
    </c:title>
    <c:autoTitleDeleted val="0"/>
    <c:plotArea>
      <c:layout>
        <c:manualLayout>
          <c:layoutTarget val="inner"/>
          <c:xMode val="edge"/>
          <c:yMode val="edge"/>
          <c:x val="0.03125"/>
          <c:y val="0.220768243233148"/>
          <c:w val="0.9375"/>
          <c:h val="0.64636506175056"/>
        </c:manualLayout>
      </c:layout>
      <c:lineChart>
        <c:grouping val="standard"/>
        <c:varyColors val="0"/>
        <c:ser>
          <c:idx val="1"/>
          <c:order val="0"/>
          <c:spPr>
            <a:ln w="76200" cap="rnd">
              <a:solidFill>
                <a:srgbClr val="8AC305"/>
              </a:solidFill>
              <a:round/>
            </a:ln>
            <a:effectLst/>
          </c:spPr>
          <c:marker>
            <c:symbol val="circle"/>
            <c:size val="14"/>
            <c:spPr>
              <a:solidFill>
                <a:schemeClr val="bg2"/>
              </a:solidFill>
              <a:ln w="76200">
                <a:solidFill>
                  <a:srgbClr val="8AC30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042D4D"/>
                    </a:solidFill>
                    <a:latin typeface="+mn-lt"/>
                    <a:ea typeface="+mn-ea"/>
                    <a:cs typeface="+mn-cs"/>
                  </a:defRPr>
                </a:pPr>
                <a:endParaRPr lang="pt-BR"/>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MANTRA!$E$34:$I$34</c:f>
              <c:numCache>
                <c:formatCode>0</c:formatCode>
                <c:ptCount val="5"/>
                <c:pt idx="0">
                  <c:v>2017.0</c:v>
                </c:pt>
                <c:pt idx="1">
                  <c:v>2018.0</c:v>
                </c:pt>
                <c:pt idx="2">
                  <c:v>2019.0</c:v>
                </c:pt>
                <c:pt idx="3">
                  <c:v>2020.0</c:v>
                </c:pt>
                <c:pt idx="4">
                  <c:v>2021.0</c:v>
                </c:pt>
              </c:numCache>
            </c:numRef>
          </c:cat>
          <c:val>
            <c:numRef>
              <c:f>MANTRA!$E$35:$I$35</c:f>
              <c:numCache>
                <c:formatCode>#,##0</c:formatCode>
                <c:ptCount val="5"/>
                <c:pt idx="0">
                  <c:v>0.0</c:v>
                </c:pt>
                <c:pt idx="1">
                  <c:v>0.0</c:v>
                </c:pt>
                <c:pt idx="2">
                  <c:v>0.0</c:v>
                </c:pt>
                <c:pt idx="3">
                  <c:v>0.0</c:v>
                </c:pt>
                <c:pt idx="4">
                  <c:v>0.0</c:v>
                </c:pt>
              </c:numCache>
            </c:numRef>
          </c:val>
          <c:smooth val="0"/>
          <c:extLst xmlns:c16r2="http://schemas.microsoft.com/office/drawing/2015/06/chart">
            <c:ext xmlns:c16="http://schemas.microsoft.com/office/drawing/2014/chart" uri="{C3380CC4-5D6E-409C-BE32-E72D297353CC}">
              <c16:uniqueId val="{00000000-22D7-4136-BDB1-05384D44AEC2}"/>
            </c:ext>
          </c:extLst>
        </c:ser>
        <c:dLbls>
          <c:showLegendKey val="0"/>
          <c:showVal val="0"/>
          <c:showCatName val="0"/>
          <c:showSerName val="0"/>
          <c:showPercent val="0"/>
          <c:showBubbleSize val="0"/>
        </c:dLbls>
        <c:marker val="1"/>
        <c:smooth val="0"/>
        <c:axId val="2093838784"/>
        <c:axId val="2120549392"/>
      </c:lineChart>
      <c:catAx>
        <c:axId val="20938387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pt-BR"/>
          </a:p>
        </c:txPr>
        <c:crossAx val="2120549392"/>
        <c:crosses val="autoZero"/>
        <c:auto val="1"/>
        <c:lblAlgn val="ctr"/>
        <c:lblOffset val="100"/>
        <c:noMultiLvlLbl val="0"/>
      </c:catAx>
      <c:valAx>
        <c:axId val="2120549392"/>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2093838784"/>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r>
              <a:rPr lang="pt-BR" sz="2400" b="1">
                <a:solidFill>
                  <a:srgbClr val="042D4D"/>
                </a:solidFill>
              </a:rPr>
              <a:t>Média leite</a:t>
            </a:r>
            <a:r>
              <a:rPr lang="pt-BR" sz="2400" b="1" baseline="0">
                <a:solidFill>
                  <a:srgbClr val="042D4D"/>
                </a:solidFill>
              </a:rPr>
              <a:t> vendido por dia</a:t>
            </a:r>
            <a:endParaRPr lang="pt-BR" sz="2400" b="1">
              <a:solidFill>
                <a:srgbClr val="042D4D"/>
              </a:solidFill>
            </a:endParaRPr>
          </a:p>
        </c:rich>
      </c:tx>
      <c:layout/>
      <c:overlay val="0"/>
      <c:spPr>
        <a:noFill/>
        <a:ln>
          <a:noFill/>
        </a:ln>
        <a:effectLst/>
      </c:spPr>
      <c:txPr>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endParaRPr lang="pt-BR"/>
        </a:p>
      </c:txPr>
    </c:title>
    <c:autoTitleDeleted val="0"/>
    <c:plotArea>
      <c:layout>
        <c:manualLayout>
          <c:layoutTarget val="inner"/>
          <c:xMode val="edge"/>
          <c:yMode val="edge"/>
          <c:x val="0.03125"/>
          <c:y val="0.220768243233148"/>
          <c:w val="0.9375"/>
          <c:h val="0.64636506175056"/>
        </c:manualLayout>
      </c:layout>
      <c:lineChart>
        <c:grouping val="standard"/>
        <c:varyColors val="0"/>
        <c:ser>
          <c:idx val="1"/>
          <c:order val="0"/>
          <c:spPr>
            <a:ln w="85725" cap="rnd">
              <a:solidFill>
                <a:schemeClr val="accent5"/>
              </a:solidFill>
              <a:round/>
            </a:ln>
            <a:effectLst/>
          </c:spPr>
          <c:marker>
            <c:symbol val="circle"/>
            <c:size val="14"/>
            <c:spPr>
              <a:solidFill>
                <a:schemeClr val="accent5"/>
              </a:solidFill>
              <a:ln w="76200">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Visão!$E$50:$P$50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Visão!$E$49:$P$49</c:f>
              <c:numCache>
                <c:formatCode>#,##0</c:formatCode>
                <c:ptCount val="12"/>
                <c:pt idx="0">
                  <c:v>0.0</c:v>
                </c:pt>
                <c:pt idx="1">
                  <c:v>0.0</c:v>
                </c:pt>
                <c:pt idx="2">
                  <c:v>0.0</c:v>
                </c:pt>
                <c:pt idx="3">
                  <c:v>0.0</c:v>
                </c:pt>
                <c:pt idx="4">
                  <c:v>0.0</c:v>
                </c:pt>
                <c:pt idx="5">
                  <c:v>0.0</c:v>
                </c:pt>
                <c:pt idx="6">
                  <c:v>0.0</c:v>
                </c:pt>
                <c:pt idx="7">
                  <c:v>0.0</c:v>
                </c:pt>
                <c:pt idx="8">
                  <c:v>0.0</c:v>
                </c:pt>
                <c:pt idx="9">
                  <c:v>0.0</c:v>
                </c:pt>
                <c:pt idx="10">
                  <c:v>0.0</c:v>
                </c:pt>
                <c:pt idx="11">
                  <c:v>0.0</c:v>
                </c:pt>
              </c:numCache>
            </c:numRef>
          </c:val>
          <c:smooth val="0"/>
          <c:extLst xmlns:c16r2="http://schemas.microsoft.com/office/drawing/2015/06/chart">
            <c:ext xmlns:c16="http://schemas.microsoft.com/office/drawing/2014/chart" uri="{C3380CC4-5D6E-409C-BE32-E72D297353CC}">
              <c16:uniqueId val="{00000000-E069-4D64-9828-273A8A682997}"/>
            </c:ext>
          </c:extLst>
        </c:ser>
        <c:dLbls>
          <c:showLegendKey val="0"/>
          <c:showVal val="0"/>
          <c:showCatName val="0"/>
          <c:showSerName val="0"/>
          <c:showPercent val="0"/>
          <c:showBubbleSize val="0"/>
        </c:dLbls>
        <c:marker val="1"/>
        <c:smooth val="0"/>
        <c:axId val="2121718080"/>
        <c:axId val="-2142596240"/>
      </c:lineChart>
      <c:catAx>
        <c:axId val="21217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032D4D"/>
                </a:solidFill>
                <a:latin typeface="+mn-lt"/>
                <a:ea typeface="+mn-ea"/>
                <a:cs typeface="+mn-cs"/>
              </a:defRPr>
            </a:pPr>
            <a:endParaRPr lang="pt-BR"/>
          </a:p>
        </c:txPr>
        <c:crossAx val="-2142596240"/>
        <c:crosses val="autoZero"/>
        <c:auto val="1"/>
        <c:lblAlgn val="ctr"/>
        <c:lblOffset val="100"/>
        <c:noMultiLvlLbl val="0"/>
      </c:catAx>
      <c:valAx>
        <c:axId val="-2142596240"/>
        <c:scaling>
          <c:orientation val="minMax"/>
        </c:scaling>
        <c:delete val="1"/>
        <c:axPos val="l"/>
        <c:majorGridlines>
          <c:spPr>
            <a:ln w="9525" cap="flat" cmpd="sng" algn="ctr">
              <a:solidFill>
                <a:schemeClr val="bg1">
                  <a:lumMod val="65000"/>
                </a:schemeClr>
              </a:solidFill>
              <a:round/>
            </a:ln>
            <a:effectLst/>
          </c:spPr>
        </c:majorGridlines>
        <c:numFmt formatCode="#,##0" sourceLinked="1"/>
        <c:majorTickMark val="none"/>
        <c:minorTickMark val="none"/>
        <c:tickLblPos val="nextTo"/>
        <c:crossAx val="21217180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1" Type="http://schemas.openxmlformats.org/officeDocument/2006/relationships/hyperlink" Target="#'An&#225;lise dos Processos'!A1"/><Relationship Id="rId12" Type="http://schemas.openxmlformats.org/officeDocument/2006/relationships/hyperlink" Target="#'Avalia&#231;&#227;o dos Funcion&#225;rios'!A1"/><Relationship Id="rId13" Type="http://schemas.openxmlformats.org/officeDocument/2006/relationships/hyperlink" Target="#'Avalia&#231;&#227;o das perdas'!A1"/><Relationship Id="rId14" Type="http://schemas.openxmlformats.org/officeDocument/2006/relationships/hyperlink" Target="#Vis&#227;o!A1"/><Relationship Id="rId15" Type="http://schemas.openxmlformats.org/officeDocument/2006/relationships/hyperlink" Target="#'Input Financeiro atual'!A1"/><Relationship Id="rId16" Type="http://schemas.openxmlformats.org/officeDocument/2006/relationships/hyperlink" Target="#'Input Zootecnico atual'!A1"/><Relationship Id="rId17" Type="http://schemas.openxmlformats.org/officeDocument/2006/relationships/hyperlink" Target="http://mda.clinicadoleite.com.br/canvas-gestao-da-inovacao-em-pdfgratis" TargetMode="External"/><Relationship Id="rId18" Type="http://schemas.openxmlformats.org/officeDocument/2006/relationships/image" Target="../media/image2.png"/><Relationship Id="rId19" Type="http://schemas.openxmlformats.org/officeDocument/2006/relationships/image" Target="../media/image3.png"/><Relationship Id="rId1" Type="http://schemas.openxmlformats.org/officeDocument/2006/relationships/hyperlink" Target="#Home!A1"/><Relationship Id="rId2" Type="http://schemas.openxmlformats.org/officeDocument/2006/relationships/image" Target="../media/image1.png"/><Relationship Id="rId3" Type="http://schemas.openxmlformats.org/officeDocument/2006/relationships/hyperlink" Target="#'Estatisticas Economicas'!A1"/><Relationship Id="rId4" Type="http://schemas.openxmlformats.org/officeDocument/2006/relationships/hyperlink" Target="#DRA!A1"/><Relationship Id="rId5" Type="http://schemas.openxmlformats.org/officeDocument/2006/relationships/hyperlink" Target="#Or&#231;amento!A1"/><Relationship Id="rId6" Type="http://schemas.openxmlformats.org/officeDocument/2006/relationships/hyperlink" Target="#'Simula&#231;&#227;o do Caixa'!A1"/><Relationship Id="rId7" Type="http://schemas.openxmlformats.org/officeDocument/2006/relationships/hyperlink" Target="#Inputs!A1"/><Relationship Id="rId8" Type="http://schemas.openxmlformats.org/officeDocument/2006/relationships/hyperlink" Target="#'Ev. Rebanho'!A1"/><Relationship Id="rId9" Type="http://schemas.openxmlformats.org/officeDocument/2006/relationships/hyperlink" Target="#'Alim. 1 trim.'!A1"/><Relationship Id="rId10" Type="http://schemas.openxmlformats.org/officeDocument/2006/relationships/hyperlink" Target="#'Analise Econ&#244;mica'!A1"/></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4"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Input Zootecnico atual'!A1"/></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4" Type="http://schemas.openxmlformats.org/officeDocument/2006/relationships/hyperlink" Target="#'Avalia&#231;&#227;o dos Funcion&#225;rios'!A1"/><Relationship Id="rId5"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Input Financeiro atual'!A1"/></Relationships>
</file>

<file path=xl/drawings/_rels/drawing4.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Engajamento Funcion&#225;rios'!A1"/><Relationship Id="rId5" Type="http://schemas.openxmlformats.org/officeDocument/2006/relationships/hyperlink" Target="#Mastite!A1"/><Relationship Id="rId1" Type="http://schemas.openxmlformats.org/officeDocument/2006/relationships/image" Target="../media/image5.png"/><Relationship Id="rId2"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hyperlink" Target="#'Rebanho Atual'!A1"/><Relationship Id="rId4" Type="http://schemas.openxmlformats.org/officeDocument/2006/relationships/image" Target="../media/image5.png"/><Relationship Id="rId5" Type="http://schemas.openxmlformats.org/officeDocument/2006/relationships/image" Target="../media/image4.png"/><Relationship Id="rId1" Type="http://schemas.openxmlformats.org/officeDocument/2006/relationships/hyperlink" Target="#Home!A1"/><Relationship Id="rId2" Type="http://schemas.openxmlformats.org/officeDocument/2006/relationships/hyperlink" Target="#Processos!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hyperlink" Target="#'An&#225;lise dos Processos'!A1"/><Relationship Id="rId3"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Analise Econ&#244;mica'!A1"/><Relationship Id="rId4"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Avalia&#231;&#227;o dos Funcion&#225;rios'!A1"/></Relationships>
</file>

<file path=xl/drawings/_rels/drawing8.xml.rels><?xml version="1.0" encoding="UTF-8" standalone="yes"?>
<Relationships xmlns="http://schemas.openxmlformats.org/package/2006/relationships"><Relationship Id="rId3" Type="http://schemas.openxmlformats.org/officeDocument/2006/relationships/hyperlink" Target="#'Avalia&#231;&#227;o das perdas'!A1"/><Relationship Id="rId4" Type="http://schemas.openxmlformats.org/officeDocument/2006/relationships/image" Target="../media/image2.png"/><Relationship Id="rId1" Type="http://schemas.openxmlformats.org/officeDocument/2006/relationships/image" Target="../media/image6.png"/><Relationship Id="rId2"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Avalia&#231;&#227;o dos Funcion&#225;rios'!A1"/><Relationship Id="rId4" Type="http://schemas.openxmlformats.org/officeDocument/2006/relationships/hyperlink" Target="#'Perdas por Mastite'!A1"/><Relationship Id="rId5" Type="http://schemas.openxmlformats.org/officeDocument/2006/relationships/image" Target="../media/image2.png"/><Relationship Id="rId1" Type="http://schemas.openxmlformats.org/officeDocument/2006/relationships/chart" Target="../charts/chart1.xml"/><Relationship Id="rId2" Type="http://schemas.openxmlformats.org/officeDocument/2006/relationships/hyperlink" Target="#Home!A1"/></Relationships>
</file>

<file path=xl/drawings/_rels/drawing10.xml.rels><?xml version="1.0" encoding="UTF-8" standalone="yes"?>
<Relationships xmlns="http://schemas.openxmlformats.org/package/2006/relationships"><Relationship Id="rId3" Type="http://schemas.openxmlformats.org/officeDocument/2006/relationships/hyperlink" Target="#'Avalia&#231;&#227;o das perdas'!A1"/><Relationship Id="rId4" Type="http://schemas.openxmlformats.org/officeDocument/2006/relationships/image" Target="../media/image2.png"/><Relationship Id="rId1" Type="http://schemas.openxmlformats.org/officeDocument/2006/relationships/chart" Target="../charts/chart2.xml"/><Relationship Id="rId2"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 Id="rId2"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8.png"/><Relationship Id="rId3" Type="http://schemas.openxmlformats.org/officeDocument/2006/relationships/image" Target="../media/image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9.png"/><Relationship Id="rId4"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Ev. Rebanho'!A1"/></Relationships>
</file>

<file path=xl/drawings/_rels/drawing14.xml.rels><?xml version="1.0" encoding="UTF-8" standalone="yes"?>
<Relationships xmlns="http://schemas.openxmlformats.org/package/2006/relationships"><Relationship Id="rId3" Type="http://schemas.openxmlformats.org/officeDocument/2006/relationships/hyperlink" Target="#Inputs!A1"/><Relationship Id="rId4" Type="http://schemas.openxmlformats.org/officeDocument/2006/relationships/image" Target="../media/image10.png"/><Relationship Id="rId5"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Alim. 1 trim.'!A1"/></Relationships>
</file>

<file path=xl/drawings/_rels/drawing15.xml.rels><?xml version="1.0" encoding="UTF-8" standalone="yes"?>
<Relationships xmlns="http://schemas.openxmlformats.org/package/2006/relationships"><Relationship Id="rId3" Type="http://schemas.openxmlformats.org/officeDocument/2006/relationships/hyperlink" Target="#'Ev. Rebanho'!A1"/><Relationship Id="rId4" Type="http://schemas.openxmlformats.org/officeDocument/2006/relationships/image" Target="../media/image4.png"/><Relationship Id="rId5"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Alim. 2 trim.'!A1"/></Relationships>
</file>

<file path=xl/drawings/_rels/drawing16.xml.rels><?xml version="1.0" encoding="UTF-8" standalone="yes"?>
<Relationships xmlns="http://schemas.openxmlformats.org/package/2006/relationships"><Relationship Id="rId3" Type="http://schemas.openxmlformats.org/officeDocument/2006/relationships/hyperlink" Target="#'Alim. 1 trim.'!A1"/><Relationship Id="rId4" Type="http://schemas.openxmlformats.org/officeDocument/2006/relationships/image" Target="../media/image4.png"/><Relationship Id="rId5"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Alim. 3 trim.'!A1"/></Relationships>
</file>

<file path=xl/drawings/_rels/drawing17.xml.rels><?xml version="1.0" encoding="UTF-8" standalone="yes"?>
<Relationships xmlns="http://schemas.openxmlformats.org/package/2006/relationships"><Relationship Id="rId3" Type="http://schemas.openxmlformats.org/officeDocument/2006/relationships/hyperlink" Target="#'Alim. 2 trim.'!A1"/><Relationship Id="rId4" Type="http://schemas.openxmlformats.org/officeDocument/2006/relationships/image" Target="../media/image4.png"/><Relationship Id="rId5"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Alim. 4 trim.'!A1"/></Relationships>
</file>

<file path=xl/drawings/_rels/drawing18.xml.rels><?xml version="1.0" encoding="UTF-8" standalone="yes"?>
<Relationships xmlns="http://schemas.openxmlformats.org/package/2006/relationships"><Relationship Id="rId3" Type="http://schemas.openxmlformats.org/officeDocument/2006/relationships/image" Target="../media/image4.png"/><Relationship Id="rId4"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Alim. 3 trim.'!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hyperlink" Target="#DRA!A1"/><Relationship Id="rId3"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Estatisticas Economicas'!A1"/><Relationship Id="rId4" Type="http://schemas.openxmlformats.org/officeDocument/2006/relationships/image" Target="../media/image2.png"/><Relationship Id="rId1" Type="http://schemas.openxmlformats.org/officeDocument/2006/relationships/hyperlink" Target="#Home!A1"/><Relationship Id="rId2" Type="http://schemas.openxmlformats.org/officeDocument/2006/relationships/hyperlink" Target="#Or&#231;amento!A1"/></Relationships>
</file>

<file path=xl/drawings/_rels/drawing21.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hyperlink" Target="#MANTRA!A1"/><Relationship Id="rId3"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11.png"/><Relationship Id="rId3"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4.png"/><Relationship Id="rId3"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8.png"/><Relationship Id="rId3" Type="http://schemas.openxmlformats.org/officeDocument/2006/relationships/chart" Target="../charts/chart3.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hyperlink" Target="#Home!A1"/><Relationship Id="rId3"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8.png"/></Relationships>
</file>

<file path=xl/drawings/_rels/drawing28.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5</xdr:col>
      <xdr:colOff>326376</xdr:colOff>
      <xdr:row>2</xdr:row>
      <xdr:rowOff>130479</xdr:rowOff>
    </xdr:from>
    <xdr:to>
      <xdr:col>8</xdr:col>
      <xdr:colOff>86591</xdr:colOff>
      <xdr:row>8</xdr:row>
      <xdr:rowOff>14432</xdr:rowOff>
    </xdr:to>
    <xdr:sp macro="" textlink="">
      <xdr:nvSpPr>
        <xdr:cNvPr id="38" name="Arredondar Retângulo em um Canto Diagonal 37"/>
        <xdr:cNvSpPr/>
      </xdr:nvSpPr>
      <xdr:spPr>
        <a:xfrm>
          <a:off x="1480921" y="447979"/>
          <a:ext cx="1621920" cy="1139521"/>
        </a:xfrm>
        <a:prstGeom prst="round2DiagRect">
          <a:avLst>
            <a:gd name="adj1" fmla="val 13789"/>
            <a:gd name="adj2" fmla="val 18935"/>
          </a:avLst>
        </a:prstGeom>
        <a:solidFill>
          <a:schemeClr val="tx1">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BR" sz="1200" b="1">
            <a:solidFill>
              <a:schemeClr val="bg2"/>
            </a:solidFill>
          </a:endParaRPr>
        </a:p>
      </xdr:txBody>
    </xdr:sp>
    <xdr:clientData/>
  </xdr:twoCellAnchor>
  <xdr:twoCellAnchor>
    <xdr:from>
      <xdr:col>7</xdr:col>
      <xdr:colOff>246402</xdr:colOff>
      <xdr:row>15</xdr:row>
      <xdr:rowOff>75326</xdr:rowOff>
    </xdr:from>
    <xdr:to>
      <xdr:col>7</xdr:col>
      <xdr:colOff>477569</xdr:colOff>
      <xdr:row>17</xdr:row>
      <xdr:rowOff>68699</xdr:rowOff>
    </xdr:to>
    <xdr:sp macro="" textlink="">
      <xdr:nvSpPr>
        <xdr:cNvPr id="55" name="CaixaDeTexto 110"/>
        <xdr:cNvSpPr txBox="1"/>
      </xdr:nvSpPr>
      <xdr:spPr>
        <a:xfrm>
          <a:off x="2656516" y="3062712"/>
          <a:ext cx="231167" cy="368601"/>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pt-BR" sz="2000" b="1">
            <a:solidFill>
              <a:srgbClr val="042D4D"/>
            </a:solidFill>
          </a:endParaRPr>
        </a:p>
      </xdr:txBody>
    </xdr:sp>
    <xdr:clientData/>
  </xdr:twoCellAnchor>
  <xdr:twoCellAnchor>
    <xdr:from>
      <xdr:col>1</xdr:col>
      <xdr:colOff>230911</xdr:colOff>
      <xdr:row>0</xdr:row>
      <xdr:rowOff>0</xdr:rowOff>
    </xdr:from>
    <xdr:to>
      <xdr:col>4</xdr:col>
      <xdr:colOff>158752</xdr:colOff>
      <xdr:row>46</xdr:row>
      <xdr:rowOff>158749</xdr:rowOff>
    </xdr:to>
    <xdr:sp macro="" textlink="">
      <xdr:nvSpPr>
        <xdr:cNvPr id="140" name="CaixaDeTexto 126"/>
        <xdr:cNvSpPr txBox="1"/>
      </xdr:nvSpPr>
      <xdr:spPr>
        <a:xfrm rot="16200000">
          <a:off x="-3821543" y="4227079"/>
          <a:ext cx="9128124" cy="673966"/>
        </a:xfrm>
        <a:prstGeom prst="rect">
          <a:avLst/>
        </a:prstGeom>
        <a:solidFill>
          <a:schemeClr val="accent5"/>
        </a:solidFill>
      </xdr:spPr>
      <xdr:txBody>
        <a:bodyPr wrap="square" rtlCol="0" anchor="ctr">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2400" b="1">
              <a:solidFill>
                <a:schemeClr val="bg1"/>
              </a:solidFill>
            </a:rPr>
            <a:t>PLANEJAMENTO</a:t>
          </a:r>
          <a:r>
            <a:rPr lang="pt-BR" sz="2400" b="1" baseline="0">
              <a:solidFill>
                <a:schemeClr val="bg1"/>
              </a:solidFill>
            </a:rPr>
            <a:t> ESTRATÉGICO                                                    </a:t>
          </a:r>
          <a:endParaRPr lang="pt-BR" sz="2400" b="1">
            <a:solidFill>
              <a:schemeClr val="bg1"/>
            </a:solidFill>
          </a:endParaRPr>
        </a:p>
      </xdr:txBody>
    </xdr:sp>
    <xdr:clientData/>
  </xdr:twoCellAnchor>
  <xdr:oneCellAnchor>
    <xdr:from>
      <xdr:col>1</xdr:col>
      <xdr:colOff>212002</xdr:colOff>
      <xdr:row>10</xdr:row>
      <xdr:rowOff>156872</xdr:rowOff>
    </xdr:from>
    <xdr:ext cx="291234" cy="497032"/>
    <xdr:sp macro="" textlink="">
      <xdr:nvSpPr>
        <xdr:cNvPr id="141" name="CaixaDeTexto 140">
          <a:hlinkClick xmlns:r="http://schemas.openxmlformats.org/officeDocument/2006/relationships" r:id="rId1" tooltip="Processo gerencial que permite estabelecer um direcionamento a ser seguido pela organização, com o objetivo de estabelecer uma relação de sucesso entre a empresa e seu ambiente interno e externo."/>
        </xdr:cNvPr>
        <xdr:cNvSpPr txBox="1"/>
      </xdr:nvSpPr>
      <xdr:spPr>
        <a:xfrm rot="16200000">
          <a:off x="267853" y="2208066"/>
          <a:ext cx="497032"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a:solidFill>
                <a:schemeClr val="bg1"/>
              </a:solidFill>
              <a:latin typeface="Arial Black" panose="020B0A04020102020204" pitchFamily="34" charset="0"/>
            </a:rPr>
            <a:t>?</a:t>
          </a:r>
        </a:p>
      </xdr:txBody>
    </xdr:sp>
    <xdr:clientData/>
  </xdr:oneCellAnchor>
  <xdr:twoCellAnchor>
    <xdr:from>
      <xdr:col>12</xdr:col>
      <xdr:colOff>728552</xdr:colOff>
      <xdr:row>28</xdr:row>
      <xdr:rowOff>84403</xdr:rowOff>
    </xdr:from>
    <xdr:to>
      <xdr:col>13</xdr:col>
      <xdr:colOff>176011</xdr:colOff>
      <xdr:row>29</xdr:row>
      <xdr:rowOff>190228</xdr:rowOff>
    </xdr:to>
    <xdr:sp macro="" textlink="">
      <xdr:nvSpPr>
        <xdr:cNvPr id="135" name="CaixaDeTexto 134">
          <a:hlinkClick xmlns:r="http://schemas.openxmlformats.org/officeDocument/2006/relationships" r:id="rId1" tooltip="Um ponto a ser atingido constituído por um objetivo gerencial, um valor e um prazo. "/>
        </xdr:cNvPr>
        <xdr:cNvSpPr txBox="1"/>
      </xdr:nvSpPr>
      <xdr:spPr>
        <a:xfrm>
          <a:off x="7443677" y="5561278"/>
          <a:ext cx="304709" cy="296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050">
              <a:solidFill>
                <a:schemeClr val="bg1"/>
              </a:solidFill>
              <a:latin typeface="Arial Black" panose="020B0A04020102020204" pitchFamily="34" charset="0"/>
            </a:rPr>
            <a:t>?</a:t>
          </a:r>
        </a:p>
      </xdr:txBody>
    </xdr:sp>
    <xdr:clientData/>
  </xdr:twoCellAnchor>
  <xdr:twoCellAnchor editAs="absolute">
    <xdr:from>
      <xdr:col>5</xdr:col>
      <xdr:colOff>449741</xdr:colOff>
      <xdr:row>0</xdr:row>
      <xdr:rowOff>126020</xdr:rowOff>
    </xdr:from>
    <xdr:to>
      <xdr:col>7</xdr:col>
      <xdr:colOff>610723</xdr:colOff>
      <xdr:row>7</xdr:row>
      <xdr:rowOff>78395</xdr:rowOff>
    </xdr:to>
    <xdr:pic>
      <xdr:nvPicPr>
        <xdr:cNvPr id="90" name="Imagem 89">
          <a:hlinkClick xmlns:r="http://schemas.openxmlformats.org/officeDocument/2006/relationships" r:id="rId1" tooltip="Clique com o botão direito do mouse para alterar a imagem."/>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51491" y="126020"/>
          <a:ext cx="1605607" cy="1365250"/>
        </a:xfrm>
        <a:prstGeom prst="rect">
          <a:avLst/>
        </a:prstGeom>
      </xdr:spPr>
    </xdr:pic>
    <xdr:clientData fLocksWithSheet="0"/>
  </xdr:twoCellAnchor>
  <xdr:twoCellAnchor>
    <xdr:from>
      <xdr:col>18</xdr:col>
      <xdr:colOff>813069</xdr:colOff>
      <xdr:row>15</xdr:row>
      <xdr:rowOff>79375</xdr:rowOff>
    </xdr:from>
    <xdr:to>
      <xdr:col>22</xdr:col>
      <xdr:colOff>804792</xdr:colOff>
      <xdr:row>28</xdr:row>
      <xdr:rowOff>10877</xdr:rowOff>
    </xdr:to>
    <xdr:grpSp>
      <xdr:nvGrpSpPr>
        <xdr:cNvPr id="29" name="Grupo 28"/>
        <xdr:cNvGrpSpPr/>
      </xdr:nvGrpSpPr>
      <xdr:grpSpPr>
        <a:xfrm>
          <a:off x="12417694" y="3127375"/>
          <a:ext cx="3928723" cy="2408002"/>
          <a:chOff x="15605124" y="4037248"/>
          <a:chExt cx="2743662" cy="2408002"/>
        </a:xfrm>
      </xdr:grpSpPr>
      <xdr:grpSp>
        <xdr:nvGrpSpPr>
          <xdr:cNvPr id="45" name="Grupo 44"/>
          <xdr:cNvGrpSpPr/>
        </xdr:nvGrpSpPr>
        <xdr:grpSpPr>
          <a:xfrm>
            <a:off x="15605124" y="4037248"/>
            <a:ext cx="2743662" cy="2408002"/>
            <a:chOff x="5057204" y="99533"/>
            <a:chExt cx="2277858" cy="2063485"/>
          </a:xfrm>
        </xdr:grpSpPr>
        <xdr:sp macro="" textlink="">
          <xdr:nvSpPr>
            <xdr:cNvPr id="126" name="Arredondar Retângulo no Mesmo Canto Lateral 125"/>
            <xdr:cNvSpPr/>
          </xdr:nvSpPr>
          <xdr:spPr>
            <a:xfrm>
              <a:off x="5073735" y="99533"/>
              <a:ext cx="2261327" cy="2063485"/>
            </a:xfrm>
            <a:prstGeom prst="round2Same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125" name="CaixaDeTexto 123"/>
            <xdr:cNvSpPr txBox="1"/>
          </xdr:nvSpPr>
          <xdr:spPr>
            <a:xfrm>
              <a:off x="5057204" y="198193"/>
              <a:ext cx="2148311" cy="351701"/>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chemeClr val="bg1"/>
                  </a:solidFill>
                </a:rPr>
                <a:t>Simulações</a:t>
              </a:r>
            </a:p>
          </xdr:txBody>
        </xdr:sp>
      </xdr:grpSp>
      <xdr:sp macro="" textlink="">
        <xdr:nvSpPr>
          <xdr:cNvPr id="22" name="Arredondar Retângulo em um Canto Diagonal 21">
            <a:hlinkClick xmlns:r="http://schemas.openxmlformats.org/officeDocument/2006/relationships" r:id="rId3"/>
          </xdr:cNvPr>
          <xdr:cNvSpPr/>
        </xdr:nvSpPr>
        <xdr:spPr>
          <a:xfrm>
            <a:off x="16011258" y="4668851"/>
            <a:ext cx="1899656" cy="363524"/>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Resultados Econômicos</a:t>
            </a:r>
            <a:r>
              <a:rPr lang="pt-BR" sz="1200" baseline="0"/>
              <a:t>  5 anos</a:t>
            </a:r>
            <a:endParaRPr lang="pt-BR" sz="1200"/>
          </a:p>
        </xdr:txBody>
      </xdr:sp>
      <xdr:sp macro="" textlink="">
        <xdr:nvSpPr>
          <xdr:cNvPr id="23" name="Arredondar Retângulo em um Canto Diagonal 22">
            <a:hlinkClick xmlns:r="http://schemas.openxmlformats.org/officeDocument/2006/relationships" r:id="rId4"/>
          </xdr:cNvPr>
          <xdr:cNvSpPr/>
        </xdr:nvSpPr>
        <xdr:spPr>
          <a:xfrm>
            <a:off x="16001949" y="5092084"/>
            <a:ext cx="1899656" cy="353041"/>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DRE</a:t>
            </a:r>
            <a:r>
              <a:rPr lang="pt-BR" sz="1200" baseline="0"/>
              <a:t> 5 anos</a:t>
            </a:r>
            <a:endParaRPr lang="pt-BR" sz="1200"/>
          </a:p>
        </xdr:txBody>
      </xdr:sp>
      <xdr:sp macro="" textlink="">
        <xdr:nvSpPr>
          <xdr:cNvPr id="177" name="Arredondar Retângulo em um Canto Diagonal 176">
            <a:hlinkClick xmlns:r="http://schemas.openxmlformats.org/officeDocument/2006/relationships" r:id="rId5"/>
          </xdr:cNvPr>
          <xdr:cNvSpPr/>
        </xdr:nvSpPr>
        <xdr:spPr>
          <a:xfrm>
            <a:off x="16002878" y="5498685"/>
            <a:ext cx="1899656" cy="359190"/>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Orçamento</a:t>
            </a:r>
            <a:r>
              <a:rPr lang="pt-BR" sz="1200" baseline="0"/>
              <a:t> Próximo ano</a:t>
            </a:r>
            <a:endParaRPr lang="pt-BR" sz="1200"/>
          </a:p>
        </xdr:txBody>
      </xdr:sp>
      <xdr:sp macro="" textlink="">
        <xdr:nvSpPr>
          <xdr:cNvPr id="85" name="Arredondar Retângulo em um Canto Diagonal 176">
            <a:hlinkClick xmlns:r="http://schemas.openxmlformats.org/officeDocument/2006/relationships" r:id="rId6"/>
          </xdr:cNvPr>
          <xdr:cNvSpPr/>
        </xdr:nvSpPr>
        <xdr:spPr>
          <a:xfrm>
            <a:off x="15996528" y="5920960"/>
            <a:ext cx="1899656" cy="359190"/>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Caixa</a:t>
            </a:r>
            <a:r>
              <a:rPr lang="pt-BR" sz="1200" baseline="0"/>
              <a:t> próximo ano</a:t>
            </a:r>
            <a:endParaRPr lang="pt-BR" sz="1200"/>
          </a:p>
        </xdr:txBody>
      </xdr:sp>
    </xdr:grpSp>
    <xdr:clientData/>
  </xdr:twoCellAnchor>
  <xdr:twoCellAnchor>
    <xdr:from>
      <xdr:col>13</xdr:col>
      <xdr:colOff>454933</xdr:colOff>
      <xdr:row>15</xdr:row>
      <xdr:rowOff>108631</xdr:rowOff>
    </xdr:from>
    <xdr:to>
      <xdr:col>19</xdr:col>
      <xdr:colOff>162928</xdr:colOff>
      <xdr:row>28</xdr:row>
      <xdr:rowOff>4141</xdr:rowOff>
    </xdr:to>
    <xdr:grpSp>
      <xdr:nvGrpSpPr>
        <xdr:cNvPr id="5" name="Grupo 4"/>
        <xdr:cNvGrpSpPr/>
      </xdr:nvGrpSpPr>
      <xdr:grpSpPr>
        <a:xfrm>
          <a:off x="8027308" y="3156631"/>
          <a:ext cx="4692745" cy="2372010"/>
          <a:chOff x="2226026" y="5601381"/>
          <a:chExt cx="3564093" cy="2372010"/>
        </a:xfrm>
      </xdr:grpSpPr>
      <xdr:grpSp>
        <xdr:nvGrpSpPr>
          <xdr:cNvPr id="2" name="Grupo 1"/>
          <xdr:cNvGrpSpPr/>
        </xdr:nvGrpSpPr>
        <xdr:grpSpPr>
          <a:xfrm>
            <a:off x="2226026" y="5601381"/>
            <a:ext cx="3564093" cy="2372010"/>
            <a:chOff x="2226026" y="5601381"/>
            <a:chExt cx="3564093" cy="2372010"/>
          </a:xfrm>
        </xdr:grpSpPr>
        <xdr:grpSp>
          <xdr:nvGrpSpPr>
            <xdr:cNvPr id="128" name="Grupo 127"/>
            <xdr:cNvGrpSpPr/>
          </xdr:nvGrpSpPr>
          <xdr:grpSpPr>
            <a:xfrm>
              <a:off x="2226026" y="5601381"/>
              <a:ext cx="3564093" cy="2372010"/>
              <a:chOff x="-14813" y="443572"/>
              <a:chExt cx="2756371" cy="2531550"/>
            </a:xfrm>
          </xdr:grpSpPr>
          <xdr:grpSp>
            <xdr:nvGrpSpPr>
              <xdr:cNvPr id="129" name="Grupo 128"/>
              <xdr:cNvGrpSpPr/>
            </xdr:nvGrpSpPr>
            <xdr:grpSpPr>
              <a:xfrm rot="18923866">
                <a:off x="-14813" y="443572"/>
                <a:ext cx="2544317" cy="2531550"/>
                <a:chOff x="-26656" y="427895"/>
                <a:chExt cx="4090448" cy="4185510"/>
              </a:xfrm>
              <a:solidFill>
                <a:srgbClr val="042D4D"/>
              </a:solidFill>
            </xdr:grpSpPr>
            <xdr:sp macro="" textlink="">
              <xdr:nvSpPr>
                <xdr:cNvPr id="137" name="Arredondar Retângulo no Mesmo Canto Lateral 136"/>
                <xdr:cNvSpPr/>
              </xdr:nvSpPr>
              <xdr:spPr>
                <a:xfrm rot="2676134">
                  <a:off x="-26656" y="427895"/>
                  <a:ext cx="4090448" cy="4185510"/>
                </a:xfrm>
                <a:prstGeom prst="round2SameRect">
                  <a:avLst>
                    <a:gd name="adj1" fmla="val 50000"/>
                    <a:gd name="adj2"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142" name="Arredondar Retângulo no Mesmo Canto Lateral 141"/>
                <xdr:cNvSpPr/>
              </xdr:nvSpPr>
              <xdr:spPr>
                <a:xfrm rot="2676134">
                  <a:off x="94847" y="596012"/>
                  <a:ext cx="3809898" cy="3861143"/>
                </a:xfrm>
                <a:prstGeom prst="round2SameRect">
                  <a:avLst>
                    <a:gd name="adj1" fmla="val 50000"/>
                    <a:gd name="adj2"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b="1">
                    <a:solidFill>
                      <a:srgbClr val="042D4D"/>
                    </a:solidFill>
                  </a:endParaRPr>
                </a:p>
              </xdr:txBody>
            </xdr:sp>
          </xdr:grpSp>
          <xdr:sp macro="" textlink="">
            <xdr:nvSpPr>
              <xdr:cNvPr id="130" name="Seta para baixo 129"/>
              <xdr:cNvSpPr/>
            </xdr:nvSpPr>
            <xdr:spPr>
              <a:xfrm rot="5400000" flipV="1">
                <a:off x="2230418" y="1564338"/>
                <a:ext cx="745796" cy="276484"/>
              </a:xfrm>
              <a:prstGeom prst="downArrow">
                <a:avLst>
                  <a:gd name="adj1" fmla="val 100000"/>
                  <a:gd name="adj2" fmla="val 50000"/>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grpSp>
        <xdr:sp macro="" textlink="">
          <xdr:nvSpPr>
            <xdr:cNvPr id="12" name="Arredondar Retângulo em um Canto Diagonal 11">
              <a:hlinkClick xmlns:r="http://schemas.openxmlformats.org/officeDocument/2006/relationships" r:id="rId7"/>
            </xdr:cNvPr>
            <xdr:cNvSpPr/>
          </xdr:nvSpPr>
          <xdr:spPr>
            <a:xfrm>
              <a:off x="3007327" y="6222108"/>
              <a:ext cx="1808267" cy="405343"/>
            </a:xfrm>
            <a:prstGeom prst="round2DiagRect">
              <a:avLst>
                <a:gd name="adj1" fmla="val 16667"/>
                <a:gd name="adj2" fmla="val 12264"/>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Receitas/Despesas/Investimentos</a:t>
              </a:r>
            </a:p>
          </xdr:txBody>
        </xdr:sp>
        <xdr:sp macro="" textlink="">
          <xdr:nvSpPr>
            <xdr:cNvPr id="13" name="Arredondar Retângulo em um Canto Diagonal 12">
              <a:hlinkClick xmlns:r="http://schemas.openxmlformats.org/officeDocument/2006/relationships" r:id="rId8"/>
            </xdr:cNvPr>
            <xdr:cNvSpPr/>
          </xdr:nvSpPr>
          <xdr:spPr>
            <a:xfrm>
              <a:off x="2987381" y="6723664"/>
              <a:ext cx="1817643" cy="411973"/>
            </a:xfrm>
            <a:prstGeom prst="round2DiagRect">
              <a:avLst>
                <a:gd name="adj1" fmla="val 16667"/>
                <a:gd name="adj2" fmla="val 12264"/>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Evolução do Rebanho</a:t>
              </a:r>
            </a:p>
          </xdr:txBody>
        </xdr:sp>
        <xdr:sp macro="" textlink="">
          <xdr:nvSpPr>
            <xdr:cNvPr id="14" name="Arredondar Retângulo em um Canto Diagonal 13">
              <a:hlinkClick xmlns:r="http://schemas.openxmlformats.org/officeDocument/2006/relationships" r:id="rId9"/>
            </xdr:cNvPr>
            <xdr:cNvSpPr/>
          </xdr:nvSpPr>
          <xdr:spPr>
            <a:xfrm>
              <a:off x="2985414" y="7226795"/>
              <a:ext cx="1817643" cy="408659"/>
            </a:xfrm>
            <a:prstGeom prst="round2DiagRect">
              <a:avLst>
                <a:gd name="adj1" fmla="val 16667"/>
                <a:gd name="adj2" fmla="val 12264"/>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Alimentação</a:t>
              </a:r>
            </a:p>
          </xdr:txBody>
        </xdr:sp>
      </xdr:grpSp>
      <xdr:sp macro="" textlink="">
        <xdr:nvSpPr>
          <xdr:cNvPr id="143" name="CaixaDeTexto 126"/>
          <xdr:cNvSpPr txBox="1"/>
        </xdr:nvSpPr>
        <xdr:spPr>
          <a:xfrm>
            <a:off x="2651126" y="5799804"/>
            <a:ext cx="2460624" cy="433703"/>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rgbClr val="042D4D"/>
                </a:solidFill>
              </a:rPr>
              <a:t>Entrada</a:t>
            </a:r>
            <a:r>
              <a:rPr lang="pt-BR" sz="1600" b="1" baseline="0">
                <a:solidFill>
                  <a:srgbClr val="042D4D"/>
                </a:solidFill>
              </a:rPr>
              <a:t> d</a:t>
            </a:r>
            <a:r>
              <a:rPr lang="pt-BR" sz="1600" b="1">
                <a:solidFill>
                  <a:srgbClr val="042D4D"/>
                </a:solidFill>
              </a:rPr>
              <a:t>ados futuros</a:t>
            </a:r>
          </a:p>
        </xdr:txBody>
      </xdr:sp>
    </xdr:grpSp>
    <xdr:clientData/>
  </xdr:twoCellAnchor>
  <xdr:twoCellAnchor>
    <xdr:from>
      <xdr:col>10</xdr:col>
      <xdr:colOff>64956</xdr:colOff>
      <xdr:row>14</xdr:row>
      <xdr:rowOff>116436</xdr:rowOff>
    </xdr:from>
    <xdr:to>
      <xdr:col>13</xdr:col>
      <xdr:colOff>312952</xdr:colOff>
      <xdr:row>28</xdr:row>
      <xdr:rowOff>31750</xdr:rowOff>
    </xdr:to>
    <xdr:sp macro="" textlink="">
      <xdr:nvSpPr>
        <xdr:cNvPr id="104" name="Arredondar Retângulo no Mesmo Canto Lateral 103"/>
        <xdr:cNvSpPr/>
      </xdr:nvSpPr>
      <xdr:spPr>
        <a:xfrm>
          <a:off x="5160831" y="2989811"/>
          <a:ext cx="2724496" cy="2582314"/>
        </a:xfrm>
        <a:prstGeom prst="round2Same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clientData/>
  </xdr:twoCellAnchor>
  <xdr:twoCellAnchor>
    <xdr:from>
      <xdr:col>10</xdr:col>
      <xdr:colOff>123942</xdr:colOff>
      <xdr:row>15</xdr:row>
      <xdr:rowOff>20076</xdr:rowOff>
    </xdr:from>
    <xdr:to>
      <xdr:col>13</xdr:col>
      <xdr:colOff>238042</xdr:colOff>
      <xdr:row>17</xdr:row>
      <xdr:rowOff>72874</xdr:rowOff>
    </xdr:to>
    <xdr:sp macro="" textlink="">
      <xdr:nvSpPr>
        <xdr:cNvPr id="56" name="CaixaDeTexto 119"/>
        <xdr:cNvSpPr txBox="1"/>
      </xdr:nvSpPr>
      <xdr:spPr>
        <a:xfrm>
          <a:off x="5219817" y="3083951"/>
          <a:ext cx="2590600" cy="433798"/>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chemeClr val="bg1"/>
              </a:solidFill>
            </a:rPr>
            <a:t>Avaliação</a:t>
          </a:r>
          <a:r>
            <a:rPr lang="pt-BR" sz="1600" b="1" baseline="0">
              <a:solidFill>
                <a:schemeClr val="bg1"/>
              </a:solidFill>
            </a:rPr>
            <a:t> da Eficiência</a:t>
          </a:r>
          <a:endParaRPr lang="pt-BR" sz="1600" b="1">
            <a:solidFill>
              <a:schemeClr val="bg1"/>
            </a:solidFill>
          </a:endParaRPr>
        </a:p>
        <a:p>
          <a:pPr algn="ctr"/>
          <a:endParaRPr lang="pt-BR" sz="800" b="1">
            <a:solidFill>
              <a:schemeClr val="bg1"/>
            </a:solidFill>
          </a:endParaRPr>
        </a:p>
      </xdr:txBody>
    </xdr:sp>
    <xdr:clientData/>
  </xdr:twoCellAnchor>
  <xdr:twoCellAnchor>
    <xdr:from>
      <xdr:col>10</xdr:col>
      <xdr:colOff>551790</xdr:colOff>
      <xdr:row>18</xdr:row>
      <xdr:rowOff>6232</xdr:rowOff>
    </xdr:from>
    <xdr:to>
      <xdr:col>12</xdr:col>
      <xdr:colOff>660324</xdr:colOff>
      <xdr:row>19</xdr:row>
      <xdr:rowOff>144443</xdr:rowOff>
    </xdr:to>
    <xdr:sp macro="" textlink="">
      <xdr:nvSpPr>
        <xdr:cNvPr id="15" name="Arredondar Retângulo em um Canto Diagonal 14">
          <a:hlinkClick xmlns:r="http://schemas.openxmlformats.org/officeDocument/2006/relationships" r:id="rId10"/>
        </xdr:cNvPr>
        <xdr:cNvSpPr/>
      </xdr:nvSpPr>
      <xdr:spPr>
        <a:xfrm>
          <a:off x="5647665" y="3641607"/>
          <a:ext cx="1727784" cy="328711"/>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Econômica</a:t>
          </a:r>
        </a:p>
      </xdr:txBody>
    </xdr:sp>
    <xdr:clientData/>
  </xdr:twoCellAnchor>
  <xdr:twoCellAnchor>
    <xdr:from>
      <xdr:col>10</xdr:col>
      <xdr:colOff>551790</xdr:colOff>
      <xdr:row>20</xdr:row>
      <xdr:rowOff>97151</xdr:rowOff>
    </xdr:from>
    <xdr:to>
      <xdr:col>12</xdr:col>
      <xdr:colOff>660324</xdr:colOff>
      <xdr:row>22</xdr:row>
      <xdr:rowOff>44861</xdr:rowOff>
    </xdr:to>
    <xdr:sp macro="" textlink="">
      <xdr:nvSpPr>
        <xdr:cNvPr id="16" name="Arredondar Retângulo em um Canto Diagonal 15">
          <a:hlinkClick xmlns:r="http://schemas.openxmlformats.org/officeDocument/2006/relationships" r:id="rId11"/>
        </xdr:cNvPr>
        <xdr:cNvSpPr/>
      </xdr:nvSpPr>
      <xdr:spPr>
        <a:xfrm>
          <a:off x="5647665" y="4113526"/>
          <a:ext cx="1727784" cy="328710"/>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Processos</a:t>
          </a:r>
        </a:p>
      </xdr:txBody>
    </xdr:sp>
    <xdr:clientData/>
  </xdr:twoCellAnchor>
  <xdr:twoCellAnchor>
    <xdr:from>
      <xdr:col>10</xdr:col>
      <xdr:colOff>551790</xdr:colOff>
      <xdr:row>22</xdr:row>
      <xdr:rowOff>171710</xdr:rowOff>
    </xdr:from>
    <xdr:to>
      <xdr:col>12</xdr:col>
      <xdr:colOff>660324</xdr:colOff>
      <xdr:row>24</xdr:row>
      <xdr:rowOff>119421</xdr:rowOff>
    </xdr:to>
    <xdr:sp macro="" textlink="">
      <xdr:nvSpPr>
        <xdr:cNvPr id="17" name="Arredondar Retângulo em um Canto Diagonal 16">
          <a:hlinkClick xmlns:r="http://schemas.openxmlformats.org/officeDocument/2006/relationships" r:id="rId12"/>
        </xdr:cNvPr>
        <xdr:cNvSpPr/>
      </xdr:nvSpPr>
      <xdr:spPr>
        <a:xfrm>
          <a:off x="5647665" y="4569085"/>
          <a:ext cx="1727784" cy="328711"/>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aseline="0"/>
            <a:t>Empregados</a:t>
          </a:r>
          <a:endParaRPr lang="pt-BR" sz="1200"/>
        </a:p>
      </xdr:txBody>
    </xdr:sp>
    <xdr:clientData/>
  </xdr:twoCellAnchor>
  <xdr:twoCellAnchor>
    <xdr:from>
      <xdr:col>10</xdr:col>
      <xdr:colOff>535954</xdr:colOff>
      <xdr:row>25</xdr:row>
      <xdr:rowOff>53329</xdr:rowOff>
    </xdr:from>
    <xdr:to>
      <xdr:col>12</xdr:col>
      <xdr:colOff>644488</xdr:colOff>
      <xdr:row>27</xdr:row>
      <xdr:rowOff>1040</xdr:rowOff>
    </xdr:to>
    <xdr:sp macro="" textlink="">
      <xdr:nvSpPr>
        <xdr:cNvPr id="19" name="Arredondar Retângulo em um Canto Diagonal 18">
          <a:hlinkClick xmlns:r="http://schemas.openxmlformats.org/officeDocument/2006/relationships" r:id="rId13"/>
        </xdr:cNvPr>
        <xdr:cNvSpPr/>
      </xdr:nvSpPr>
      <xdr:spPr>
        <a:xfrm>
          <a:off x="5631829" y="5022204"/>
          <a:ext cx="1727784" cy="328711"/>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Perdas $ dos Processos</a:t>
          </a:r>
        </a:p>
      </xdr:txBody>
    </xdr:sp>
    <xdr:clientData/>
  </xdr:twoCellAnchor>
  <xdr:twoCellAnchor>
    <xdr:from>
      <xdr:col>13</xdr:col>
      <xdr:colOff>30501</xdr:colOff>
      <xdr:row>20</xdr:row>
      <xdr:rowOff>21589</xdr:rowOff>
    </xdr:from>
    <xdr:to>
      <xdr:col>14</xdr:col>
      <xdr:colOff>65567</xdr:colOff>
      <xdr:row>22</xdr:row>
      <xdr:rowOff>174720</xdr:rowOff>
    </xdr:to>
    <xdr:sp macro="" textlink="">
      <xdr:nvSpPr>
        <xdr:cNvPr id="162" name="Seta para baixo 161"/>
        <xdr:cNvSpPr/>
      </xdr:nvSpPr>
      <xdr:spPr>
        <a:xfrm rot="16200000">
          <a:off x="7686718" y="3954122"/>
          <a:ext cx="534131" cy="701816"/>
        </a:xfrm>
        <a:prstGeom prst="downArrow">
          <a:avLst>
            <a:gd name="adj1" fmla="val 100000"/>
            <a:gd name="adj2" fmla="val 5000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clientData/>
  </xdr:twoCellAnchor>
  <xdr:twoCellAnchor>
    <xdr:from>
      <xdr:col>22</xdr:col>
      <xdr:colOff>1003862</xdr:colOff>
      <xdr:row>15</xdr:row>
      <xdr:rowOff>124892</xdr:rowOff>
    </xdr:from>
    <xdr:to>
      <xdr:col>26</xdr:col>
      <xdr:colOff>79375</xdr:colOff>
      <xdr:row>28</xdr:row>
      <xdr:rowOff>30784</xdr:rowOff>
    </xdr:to>
    <xdr:grpSp>
      <xdr:nvGrpSpPr>
        <xdr:cNvPr id="48" name="Grupo 47"/>
        <xdr:cNvGrpSpPr/>
      </xdr:nvGrpSpPr>
      <xdr:grpSpPr>
        <a:xfrm rot="18923866">
          <a:off x="16545487" y="3172892"/>
          <a:ext cx="2822013" cy="2382392"/>
          <a:chOff x="12795374" y="4343732"/>
          <a:chExt cx="2793654" cy="2880000"/>
        </a:xfrm>
        <a:solidFill>
          <a:srgbClr val="042D4D"/>
        </a:solidFill>
      </xdr:grpSpPr>
      <xdr:sp macro="" textlink="">
        <xdr:nvSpPr>
          <xdr:cNvPr id="114" name="Arredondar Retângulo no Mesmo Canto Lateral 113"/>
          <xdr:cNvSpPr/>
        </xdr:nvSpPr>
        <xdr:spPr>
          <a:xfrm rot="2676134">
            <a:off x="12795374" y="4343732"/>
            <a:ext cx="2793654" cy="2880000"/>
          </a:xfrm>
          <a:prstGeom prst="round2SameRect">
            <a:avLst>
              <a:gd name="adj1" fmla="val 50000"/>
              <a:gd name="adj2" fmla="val 50000"/>
            </a:avLst>
          </a:prstGeom>
          <a:solidFill>
            <a:srgbClr val="032D4D"/>
          </a:solidFill>
          <a:ln>
            <a:solidFill>
              <a:srgbClr val="032D4D"/>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115" name="Arredondar Retângulo no Mesmo Canto Lateral 114"/>
          <xdr:cNvSpPr/>
        </xdr:nvSpPr>
        <xdr:spPr>
          <a:xfrm rot="2676134">
            <a:off x="12926262" y="4483458"/>
            <a:ext cx="2514288" cy="2592000"/>
          </a:xfrm>
          <a:prstGeom prst="round2SameRect">
            <a:avLst>
              <a:gd name="adj1" fmla="val 50000"/>
              <a:gd name="adj2"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grpSp>
    <xdr:clientData/>
  </xdr:twoCellAnchor>
  <xdr:twoCellAnchor>
    <xdr:from>
      <xdr:col>23</xdr:col>
      <xdr:colOff>313017</xdr:colOff>
      <xdr:row>19</xdr:row>
      <xdr:rowOff>17042</xdr:rowOff>
    </xdr:from>
    <xdr:to>
      <xdr:col>25</xdr:col>
      <xdr:colOff>15041</xdr:colOff>
      <xdr:row>21</xdr:row>
      <xdr:rowOff>100614</xdr:rowOff>
    </xdr:to>
    <xdr:sp macro="" textlink="">
      <xdr:nvSpPr>
        <xdr:cNvPr id="132" name="Arredondar Retângulo em um Canto Diagonal 131">
          <a:hlinkClick xmlns:r="http://schemas.openxmlformats.org/officeDocument/2006/relationships" r:id="rId5"/>
        </xdr:cNvPr>
        <xdr:cNvSpPr/>
      </xdr:nvSpPr>
      <xdr:spPr>
        <a:xfrm>
          <a:off x="17299267" y="3827042"/>
          <a:ext cx="1337149" cy="464572"/>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Orçamento</a:t>
          </a:r>
        </a:p>
      </xdr:txBody>
    </xdr:sp>
    <xdr:clientData/>
  </xdr:twoCellAnchor>
  <xdr:twoCellAnchor>
    <xdr:from>
      <xdr:col>22</xdr:col>
      <xdr:colOff>1372804</xdr:colOff>
      <xdr:row>22</xdr:row>
      <xdr:rowOff>63224</xdr:rowOff>
    </xdr:from>
    <xdr:to>
      <xdr:col>25</xdr:col>
      <xdr:colOff>367005</xdr:colOff>
      <xdr:row>24</xdr:row>
      <xdr:rowOff>140745</xdr:rowOff>
    </xdr:to>
    <xdr:sp macro="" textlink="">
      <xdr:nvSpPr>
        <xdr:cNvPr id="79" name="Arredondar Retângulo em um Canto Diagonal 131">
          <a:hlinkClick xmlns:r="http://schemas.openxmlformats.org/officeDocument/2006/relationships" r:id="rId14"/>
        </xdr:cNvPr>
        <xdr:cNvSpPr/>
      </xdr:nvSpPr>
      <xdr:spPr>
        <a:xfrm>
          <a:off x="16914429" y="4444724"/>
          <a:ext cx="2073951" cy="458521"/>
        </a:xfrm>
        <a:prstGeom prst="round2DiagRect">
          <a:avLst>
            <a:gd name="adj1" fmla="val 16667"/>
            <a:gd name="adj2" fmla="val 12264"/>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Visão</a:t>
          </a:r>
          <a:r>
            <a:rPr lang="pt-BR" sz="1400" baseline="0"/>
            <a:t> para o próximo ano</a:t>
          </a:r>
          <a:endParaRPr lang="pt-BR" sz="1400"/>
        </a:p>
      </xdr:txBody>
    </xdr:sp>
    <xdr:clientData/>
  </xdr:twoCellAnchor>
  <xdr:twoCellAnchor>
    <xdr:from>
      <xdr:col>5</xdr:col>
      <xdr:colOff>285750</xdr:colOff>
      <xdr:row>15</xdr:row>
      <xdr:rowOff>29617</xdr:rowOff>
    </xdr:from>
    <xdr:to>
      <xdr:col>10</xdr:col>
      <xdr:colOff>190589</xdr:colOff>
      <xdr:row>27</xdr:row>
      <xdr:rowOff>141849</xdr:rowOff>
    </xdr:to>
    <xdr:grpSp>
      <xdr:nvGrpSpPr>
        <xdr:cNvPr id="61" name="Grupo 60"/>
        <xdr:cNvGrpSpPr/>
      </xdr:nvGrpSpPr>
      <xdr:grpSpPr>
        <a:xfrm>
          <a:off x="1587500" y="3077617"/>
          <a:ext cx="3698964" cy="2398232"/>
          <a:chOff x="-14813" y="443572"/>
          <a:chExt cx="2878890" cy="2531550"/>
        </a:xfrm>
      </xdr:grpSpPr>
      <xdr:grpSp>
        <xdr:nvGrpSpPr>
          <xdr:cNvPr id="93" name="Grupo 92"/>
          <xdr:cNvGrpSpPr/>
        </xdr:nvGrpSpPr>
        <xdr:grpSpPr>
          <a:xfrm rot="18923866">
            <a:off x="-14813" y="443572"/>
            <a:ext cx="2544317" cy="2531550"/>
            <a:chOff x="-26656" y="427895"/>
            <a:chExt cx="4090448" cy="4185510"/>
          </a:xfrm>
          <a:solidFill>
            <a:srgbClr val="042D4D"/>
          </a:solidFill>
        </xdr:grpSpPr>
        <xdr:sp macro="" textlink="">
          <xdr:nvSpPr>
            <xdr:cNvPr id="95" name="Arredondar Retângulo no Mesmo Canto Lateral 94"/>
            <xdr:cNvSpPr/>
          </xdr:nvSpPr>
          <xdr:spPr>
            <a:xfrm rot="2676134">
              <a:off x="-26656" y="427895"/>
              <a:ext cx="4090448" cy="4185510"/>
            </a:xfrm>
            <a:prstGeom prst="round2SameRect">
              <a:avLst>
                <a:gd name="adj1" fmla="val 50000"/>
                <a:gd name="adj2"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96" name="Arredondar Retângulo no Mesmo Canto Lateral 95"/>
            <xdr:cNvSpPr/>
          </xdr:nvSpPr>
          <xdr:spPr>
            <a:xfrm rot="2676134">
              <a:off x="125033" y="582123"/>
              <a:ext cx="3790824" cy="3861143"/>
            </a:xfrm>
            <a:prstGeom prst="round2SameRect">
              <a:avLst>
                <a:gd name="adj1" fmla="val 50000"/>
                <a:gd name="adj2"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b="1">
                <a:solidFill>
                  <a:srgbClr val="042D4D"/>
                </a:solidFill>
              </a:endParaRPr>
            </a:p>
          </xdr:txBody>
        </xdr:sp>
      </xdr:grpSp>
      <xdr:sp macro="" textlink="">
        <xdr:nvSpPr>
          <xdr:cNvPr id="94" name="Seta para baixo 93"/>
          <xdr:cNvSpPr/>
        </xdr:nvSpPr>
        <xdr:spPr>
          <a:xfrm rot="5303803" flipV="1">
            <a:off x="2356059" y="1466360"/>
            <a:ext cx="622195" cy="393840"/>
          </a:xfrm>
          <a:prstGeom prst="downArrow">
            <a:avLst>
              <a:gd name="adj1" fmla="val 100000"/>
              <a:gd name="adj2" fmla="val 50000"/>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grpSp>
    <xdr:clientData/>
  </xdr:twoCellAnchor>
  <xdr:twoCellAnchor>
    <xdr:from>
      <xdr:col>6</xdr:col>
      <xdr:colOff>465687</xdr:colOff>
      <xdr:row>18</xdr:row>
      <xdr:rowOff>161384</xdr:rowOff>
    </xdr:from>
    <xdr:to>
      <xdr:col>8</xdr:col>
      <xdr:colOff>588703</xdr:colOff>
      <xdr:row>20</xdr:row>
      <xdr:rowOff>108413</xdr:rowOff>
    </xdr:to>
    <xdr:sp macro="" textlink="">
      <xdr:nvSpPr>
        <xdr:cNvPr id="3" name="Arredondar Retângulo em um Canto Diagonal 2">
          <a:hlinkClick xmlns:r="http://schemas.openxmlformats.org/officeDocument/2006/relationships" r:id="rId15"/>
        </xdr:cNvPr>
        <xdr:cNvSpPr/>
      </xdr:nvSpPr>
      <xdr:spPr>
        <a:xfrm>
          <a:off x="2456922" y="3720520"/>
          <a:ext cx="1502769" cy="323325"/>
        </a:xfrm>
        <a:prstGeom prst="round2DiagRect">
          <a:avLst>
            <a:gd name="adj1" fmla="val 16667"/>
            <a:gd name="adj2" fmla="val 12264"/>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Financeiro </a:t>
          </a:r>
        </a:p>
      </xdr:txBody>
    </xdr:sp>
    <xdr:clientData/>
  </xdr:twoCellAnchor>
  <xdr:twoCellAnchor>
    <xdr:from>
      <xdr:col>6</xdr:col>
      <xdr:colOff>449871</xdr:colOff>
      <xdr:row>21</xdr:row>
      <xdr:rowOff>32384</xdr:rowOff>
    </xdr:from>
    <xdr:to>
      <xdr:col>8</xdr:col>
      <xdr:colOff>572887</xdr:colOff>
      <xdr:row>22</xdr:row>
      <xdr:rowOff>173971</xdr:rowOff>
    </xdr:to>
    <xdr:sp macro="" textlink="">
      <xdr:nvSpPr>
        <xdr:cNvPr id="7" name="Arredondar Retângulo em um Canto Diagonal 6">
          <a:hlinkClick xmlns:r="http://schemas.openxmlformats.org/officeDocument/2006/relationships" r:id="rId16"/>
        </xdr:cNvPr>
        <xdr:cNvSpPr/>
      </xdr:nvSpPr>
      <xdr:spPr>
        <a:xfrm>
          <a:off x="2441106" y="4155964"/>
          <a:ext cx="1502769" cy="329735"/>
        </a:xfrm>
        <a:prstGeom prst="round2DiagRect">
          <a:avLst>
            <a:gd name="adj1" fmla="val 16667"/>
            <a:gd name="adj2" fmla="val 12264"/>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Zootécnico</a:t>
          </a:r>
        </a:p>
      </xdr:txBody>
    </xdr:sp>
    <xdr:clientData/>
  </xdr:twoCellAnchor>
  <xdr:twoCellAnchor>
    <xdr:from>
      <xdr:col>6</xdr:col>
      <xdr:colOff>439531</xdr:colOff>
      <xdr:row>23</xdr:row>
      <xdr:rowOff>84756</xdr:rowOff>
    </xdr:from>
    <xdr:to>
      <xdr:col>8</xdr:col>
      <xdr:colOff>552152</xdr:colOff>
      <xdr:row>25</xdr:row>
      <xdr:rowOff>34989</xdr:rowOff>
    </xdr:to>
    <xdr:sp macro="" textlink="">
      <xdr:nvSpPr>
        <xdr:cNvPr id="10" name="Arredondar Retângulo em um Canto Diagonal 9">
          <a:hlinkClick xmlns:r="http://schemas.openxmlformats.org/officeDocument/2006/relationships" r:id="rId12"/>
        </xdr:cNvPr>
        <xdr:cNvSpPr/>
      </xdr:nvSpPr>
      <xdr:spPr>
        <a:xfrm>
          <a:off x="2430766" y="4584633"/>
          <a:ext cx="1492374" cy="326529"/>
        </a:xfrm>
        <a:prstGeom prst="round2DiagRect">
          <a:avLst>
            <a:gd name="adj1" fmla="val 16667"/>
            <a:gd name="adj2" fmla="val 12264"/>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Funcionários</a:t>
          </a:r>
        </a:p>
      </xdr:txBody>
    </xdr:sp>
    <xdr:clientData/>
  </xdr:twoCellAnchor>
  <xdr:twoCellAnchor>
    <xdr:from>
      <xdr:col>6</xdr:col>
      <xdr:colOff>212846</xdr:colOff>
      <xdr:row>16</xdr:row>
      <xdr:rowOff>81621</xdr:rowOff>
    </xdr:from>
    <xdr:to>
      <xdr:col>8</xdr:col>
      <xdr:colOff>814314</xdr:colOff>
      <xdr:row>18</xdr:row>
      <xdr:rowOff>140479</xdr:rowOff>
    </xdr:to>
    <xdr:sp macro="" textlink="">
      <xdr:nvSpPr>
        <xdr:cNvPr id="64" name="CaixaDeTexto 126"/>
        <xdr:cNvSpPr txBox="1"/>
      </xdr:nvSpPr>
      <xdr:spPr>
        <a:xfrm>
          <a:off x="2204081" y="3264461"/>
          <a:ext cx="1981221" cy="435154"/>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rgbClr val="042D4D"/>
              </a:solidFill>
            </a:rPr>
            <a:t>Entrada dados atuais</a:t>
          </a:r>
        </a:p>
      </xdr:txBody>
    </xdr:sp>
    <xdr:clientData/>
  </xdr:twoCellAnchor>
  <xdr:twoCellAnchor>
    <xdr:from>
      <xdr:col>22</xdr:col>
      <xdr:colOff>578219</xdr:colOff>
      <xdr:row>20</xdr:row>
      <xdr:rowOff>73741</xdr:rowOff>
    </xdr:from>
    <xdr:to>
      <xdr:col>22</xdr:col>
      <xdr:colOff>1191945</xdr:colOff>
      <xdr:row>23</xdr:row>
      <xdr:rowOff>36372</xdr:rowOff>
    </xdr:to>
    <xdr:sp macro="" textlink="">
      <xdr:nvSpPr>
        <xdr:cNvPr id="98" name="Seta para baixo 161"/>
        <xdr:cNvSpPr/>
      </xdr:nvSpPr>
      <xdr:spPr>
        <a:xfrm rot="16200000">
          <a:off x="14184337" y="3993623"/>
          <a:ext cx="534131" cy="613726"/>
        </a:xfrm>
        <a:prstGeom prst="downArrow">
          <a:avLst>
            <a:gd name="adj1" fmla="val 100000"/>
            <a:gd name="adj2" fmla="val 5000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clientData/>
  </xdr:twoCellAnchor>
  <xdr:twoCellAnchor>
    <xdr:from>
      <xdr:col>23</xdr:col>
      <xdr:colOff>0</xdr:colOff>
      <xdr:row>35</xdr:row>
      <xdr:rowOff>47209</xdr:rowOff>
    </xdr:from>
    <xdr:to>
      <xdr:col>26</xdr:col>
      <xdr:colOff>1</xdr:colOff>
      <xdr:row>43</xdr:row>
      <xdr:rowOff>151032</xdr:rowOff>
    </xdr:to>
    <xdr:grpSp>
      <xdr:nvGrpSpPr>
        <xdr:cNvPr id="249" name="Grupo 248"/>
        <xdr:cNvGrpSpPr>
          <a:grpSpLocks noChangeAspect="1"/>
        </xdr:cNvGrpSpPr>
      </xdr:nvGrpSpPr>
      <xdr:grpSpPr>
        <a:xfrm>
          <a:off x="16986250" y="6905209"/>
          <a:ext cx="2301876" cy="1627823"/>
          <a:chOff x="2843853" y="522514"/>
          <a:chExt cx="8145113" cy="5760000"/>
        </a:xfrm>
        <a:effectLst/>
      </xdr:grpSpPr>
      <xdr:sp macro="" textlink="">
        <xdr:nvSpPr>
          <xdr:cNvPr id="250" name="Retângulo 249"/>
          <xdr:cNvSpPr/>
        </xdr:nvSpPr>
        <xdr:spPr>
          <a:xfrm>
            <a:off x="2843853" y="522514"/>
            <a:ext cx="8145113" cy="5760000"/>
          </a:xfrm>
          <a:prstGeom prst="rect">
            <a:avLst/>
          </a:prstGeom>
          <a:solidFill>
            <a:srgbClr val="EFECEC"/>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grpSp>
        <xdr:nvGrpSpPr>
          <xdr:cNvPr id="251" name="Grupo 250"/>
          <xdr:cNvGrpSpPr>
            <a:grpSpLocks noChangeAspect="1"/>
          </xdr:cNvGrpSpPr>
        </xdr:nvGrpSpPr>
        <xdr:grpSpPr>
          <a:xfrm>
            <a:off x="3056257" y="1056775"/>
            <a:ext cx="7725915" cy="4828025"/>
            <a:chOff x="1431233" y="636104"/>
            <a:chExt cx="9198667" cy="5748367"/>
          </a:xfrm>
        </xdr:grpSpPr>
        <xdr:sp macro="" textlink="">
          <xdr:nvSpPr>
            <xdr:cNvPr id="252" name="Retângulo 251"/>
            <xdr:cNvSpPr/>
          </xdr:nvSpPr>
          <xdr:spPr>
            <a:xfrm>
              <a:off x="1431235" y="636104"/>
              <a:ext cx="6029739" cy="1789044"/>
            </a:xfrm>
            <a:prstGeom prst="rect">
              <a:avLst/>
            </a:prstGeom>
            <a:solidFill>
              <a:srgbClr val="5B9BD5">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sp macro="" textlink="">
          <xdr:nvSpPr>
            <xdr:cNvPr id="253" name="Retângulo 252"/>
            <xdr:cNvSpPr/>
          </xdr:nvSpPr>
          <xdr:spPr>
            <a:xfrm>
              <a:off x="7460974" y="636104"/>
              <a:ext cx="3168926" cy="1789044"/>
            </a:xfrm>
            <a:prstGeom prst="rect">
              <a:avLst/>
            </a:prstGeom>
            <a:solidFill>
              <a:srgbClr val="ED7D31">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sp macro="" textlink="">
          <xdr:nvSpPr>
            <xdr:cNvPr id="254" name="Retângulo 253"/>
            <xdr:cNvSpPr/>
          </xdr:nvSpPr>
          <xdr:spPr>
            <a:xfrm>
              <a:off x="1431234" y="2425148"/>
              <a:ext cx="6029740" cy="2848981"/>
            </a:xfrm>
            <a:prstGeom prst="rect">
              <a:avLst/>
            </a:prstGeom>
            <a:solidFill>
              <a:srgbClr val="70AD47">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sp macro="" textlink="">
          <xdr:nvSpPr>
            <xdr:cNvPr id="255" name="Retângulo 254"/>
            <xdr:cNvSpPr/>
          </xdr:nvSpPr>
          <xdr:spPr>
            <a:xfrm>
              <a:off x="7460974" y="2425147"/>
              <a:ext cx="3168926" cy="2848981"/>
            </a:xfrm>
            <a:prstGeom prst="rect">
              <a:avLst/>
            </a:prstGeom>
            <a:solidFill>
              <a:srgbClr val="A5A5A5">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sp macro="" textlink="">
          <xdr:nvSpPr>
            <xdr:cNvPr id="256" name="Retângulo 255"/>
            <xdr:cNvSpPr/>
          </xdr:nvSpPr>
          <xdr:spPr>
            <a:xfrm>
              <a:off x="1431233" y="5274128"/>
              <a:ext cx="9198666" cy="1110343"/>
            </a:xfrm>
            <a:prstGeom prst="rect">
              <a:avLst/>
            </a:prstGeom>
            <a:solidFill>
              <a:srgbClr val="FFC000">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grpSp>
    </xdr:grpSp>
    <xdr:clientData/>
  </xdr:twoCellAnchor>
  <xdr:twoCellAnchor>
    <xdr:from>
      <xdr:col>23</xdr:col>
      <xdr:colOff>226950</xdr:colOff>
      <xdr:row>37</xdr:row>
      <xdr:rowOff>170106</xdr:rowOff>
    </xdr:from>
    <xdr:to>
      <xdr:col>25</xdr:col>
      <xdr:colOff>452270</xdr:colOff>
      <xdr:row>41</xdr:row>
      <xdr:rowOff>73137</xdr:rowOff>
    </xdr:to>
    <xdr:sp macro="" textlink="">
      <xdr:nvSpPr>
        <xdr:cNvPr id="80" name="Arredondar Retângulo em um Canto Diagonal 132">
          <a:hlinkClick xmlns:r="http://schemas.openxmlformats.org/officeDocument/2006/relationships" r:id="rId17"/>
        </xdr:cNvPr>
        <xdr:cNvSpPr/>
      </xdr:nvSpPr>
      <xdr:spPr>
        <a:xfrm>
          <a:off x="17213200" y="7361481"/>
          <a:ext cx="1860445" cy="665031"/>
        </a:xfrm>
        <a:prstGeom prst="round2DiagRect">
          <a:avLst>
            <a:gd name="adj1" fmla="val 16667"/>
            <a:gd name="adj2" fmla="val 12264"/>
          </a:avLst>
        </a:prstGeom>
        <a:solidFill>
          <a:schemeClr val="tx1">
            <a:lumMod val="25000"/>
            <a:lumOff val="75000"/>
            <a:alpha val="6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DOWNLOAD Canvas </a:t>
          </a:r>
          <a:r>
            <a:rPr lang="pt-BR" sz="1400" baseline="0"/>
            <a:t>Gestão da Inovação</a:t>
          </a:r>
          <a:endParaRPr lang="pt-BR" sz="1400"/>
        </a:p>
      </xdr:txBody>
    </xdr:sp>
    <xdr:clientData/>
  </xdr:twoCellAnchor>
  <xdr:twoCellAnchor editAs="oneCell">
    <xdr:from>
      <xdr:col>23</xdr:col>
      <xdr:colOff>127929</xdr:colOff>
      <xdr:row>2</xdr:row>
      <xdr:rowOff>31750</xdr:rowOff>
    </xdr:from>
    <xdr:to>
      <xdr:col>26</xdr:col>
      <xdr:colOff>451104</xdr:colOff>
      <xdr:row>5</xdr:row>
      <xdr:rowOff>0</xdr:rowOff>
    </xdr:to>
    <xdr:pic>
      <xdr:nvPicPr>
        <xdr:cNvPr id="8" name="Imagem 7"/>
        <xdr:cNvPicPr>
          <a:picLocks noChangeAspect="1"/>
        </xdr:cNvPicPr>
      </xdr:nvPicPr>
      <xdr:blipFill>
        <a:blip xmlns:r="http://schemas.openxmlformats.org/officeDocument/2006/relationships" r:embed="rId18"/>
        <a:stretch>
          <a:fillRect/>
        </a:stretch>
      </xdr:blipFill>
      <xdr:spPr>
        <a:xfrm>
          <a:off x="17114179" y="396875"/>
          <a:ext cx="2625050" cy="571500"/>
        </a:xfrm>
        <a:prstGeom prst="rect">
          <a:avLst/>
        </a:prstGeom>
      </xdr:spPr>
    </xdr:pic>
    <xdr:clientData/>
  </xdr:twoCellAnchor>
  <xdr:twoCellAnchor editAs="oneCell">
    <xdr:from>
      <xdr:col>5</xdr:col>
      <xdr:colOff>63500</xdr:colOff>
      <xdr:row>40</xdr:row>
      <xdr:rowOff>158749</xdr:rowOff>
    </xdr:from>
    <xdr:to>
      <xdr:col>7</xdr:col>
      <xdr:colOff>166688</xdr:colOff>
      <xdr:row>44</xdr:row>
      <xdr:rowOff>15874</xdr:rowOff>
    </xdr:to>
    <xdr:pic>
      <xdr:nvPicPr>
        <xdr:cNvPr id="9" name="Imagem 8"/>
        <xdr:cNvPicPr>
          <a:picLocks noChangeAspect="1"/>
        </xdr:cNvPicPr>
      </xdr:nvPicPr>
      <xdr:blipFill>
        <a:blip xmlns:r="http://schemas.openxmlformats.org/officeDocument/2006/relationships" r:embed="rId19"/>
        <a:stretch>
          <a:fillRect/>
        </a:stretch>
      </xdr:blipFill>
      <xdr:spPr>
        <a:xfrm>
          <a:off x="1365250" y="7969249"/>
          <a:ext cx="1547813"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3176</xdr:rowOff>
    </xdr:from>
    <xdr:to>
      <xdr:col>9</xdr:col>
      <xdr:colOff>673100</xdr:colOff>
      <xdr:row>2</xdr:row>
      <xdr:rowOff>152400</xdr:rowOff>
    </xdr:to>
    <xdr:sp macro="" textlink="">
      <xdr:nvSpPr>
        <xdr:cNvPr id="2" name="Text Box 1"/>
        <xdr:cNvSpPr txBox="1">
          <a:spLocks noChangeArrowheads="1"/>
        </xdr:cNvSpPr>
      </xdr:nvSpPr>
      <xdr:spPr bwMode="auto">
        <a:xfrm>
          <a:off x="0" y="193676"/>
          <a:ext cx="9410700"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Dados Financeiros do ano atual</a:t>
          </a:r>
        </a:p>
      </xdr:txBody>
    </xdr:sp>
    <xdr:clientData/>
  </xdr:twoCellAnchor>
  <xdr:twoCellAnchor>
    <xdr:from>
      <xdr:col>7</xdr:col>
      <xdr:colOff>130175</xdr:colOff>
      <xdr:row>12</xdr:row>
      <xdr:rowOff>4</xdr:rowOff>
    </xdr:from>
    <xdr:to>
      <xdr:col>10</xdr:col>
      <xdr:colOff>482600</xdr:colOff>
      <xdr:row>15</xdr:row>
      <xdr:rowOff>139700</xdr:rowOff>
    </xdr:to>
    <xdr:grpSp>
      <xdr:nvGrpSpPr>
        <xdr:cNvPr id="5" name="Grupo 4"/>
        <xdr:cNvGrpSpPr/>
      </xdr:nvGrpSpPr>
      <xdr:grpSpPr>
        <a:xfrm>
          <a:off x="7944908" y="2336804"/>
          <a:ext cx="1986492" cy="723896"/>
          <a:chOff x="1984375" y="10693404"/>
          <a:chExt cx="1671981" cy="476254"/>
        </a:xfrm>
        <a:solidFill>
          <a:schemeClr val="accent5"/>
        </a:solidFill>
      </xdr:grpSpPr>
      <xdr:sp macro="" textlink="">
        <xdr:nvSpPr>
          <xdr:cNvPr id="3" name="Arredondar Retângulo em um Canto Diagonal 2">
            <a:hlinkClick xmlns:r="http://schemas.openxmlformats.org/officeDocument/2006/relationships" r:id="rId1"/>
          </xdr:cNvPr>
          <xdr:cNvSpPr/>
        </xdr:nvSpPr>
        <xdr:spPr>
          <a:xfrm>
            <a:off x="1984375" y="10762129"/>
            <a:ext cx="675714" cy="342900"/>
          </a:xfrm>
          <a:prstGeom prst="round2DiagRect">
            <a:avLst>
              <a:gd name="adj1" fmla="val 16667"/>
              <a:gd name="adj2" fmla="val 12264"/>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Home</a:t>
            </a:r>
          </a:p>
        </xdr:txBody>
      </xdr:sp>
      <xdr:sp macro="" textlink="">
        <xdr:nvSpPr>
          <xdr:cNvPr id="20" name="Triângulo isósceles 19">
            <a:hlinkClick xmlns:r="http://schemas.openxmlformats.org/officeDocument/2006/relationships" r:id="rId2"/>
          </xdr:cNvPr>
          <xdr:cNvSpPr/>
        </xdr:nvSpPr>
        <xdr:spPr>
          <a:xfrm rot="5400000">
            <a:off x="2946328" y="10459630"/>
            <a:ext cx="476254" cy="943802"/>
          </a:xfrm>
          <a:prstGeom prs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50" b="1"/>
              <a:t>Proximo</a:t>
            </a:r>
          </a:p>
        </xdr:txBody>
      </xdr:sp>
    </xdr:grpSp>
    <xdr:clientData/>
  </xdr:twoCellAnchor>
  <xdr:twoCellAnchor editAs="oneCell">
    <xdr:from>
      <xdr:col>6</xdr:col>
      <xdr:colOff>695326</xdr:colOff>
      <xdr:row>5</xdr:row>
      <xdr:rowOff>20301</xdr:rowOff>
    </xdr:from>
    <xdr:to>
      <xdr:col>10</xdr:col>
      <xdr:colOff>333096</xdr:colOff>
      <xdr:row>10</xdr:row>
      <xdr:rowOff>219</xdr:rowOff>
    </xdr:to>
    <xdr:pic>
      <xdr:nvPicPr>
        <xdr:cNvPr id="4" name="Imagem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781926" y="972801"/>
          <a:ext cx="1987270" cy="925849"/>
        </a:xfrm>
        <a:prstGeom prst="rect">
          <a:avLst/>
        </a:prstGeom>
      </xdr:spPr>
    </xdr:pic>
    <xdr:clientData/>
  </xdr:twoCellAnchor>
  <xdr:twoCellAnchor editAs="oneCell">
    <xdr:from>
      <xdr:col>1</xdr:col>
      <xdr:colOff>25399</xdr:colOff>
      <xdr:row>1</xdr:row>
      <xdr:rowOff>67734</xdr:rowOff>
    </xdr:from>
    <xdr:to>
      <xdr:col>1</xdr:col>
      <xdr:colOff>1066800</xdr:colOff>
      <xdr:row>2</xdr:row>
      <xdr:rowOff>99724</xdr:rowOff>
    </xdr:to>
    <xdr:pic>
      <xdr:nvPicPr>
        <xdr:cNvPr id="10" name="Imagem 9"/>
        <xdr:cNvPicPr>
          <a:picLocks noChangeAspect="1"/>
        </xdr:cNvPicPr>
      </xdr:nvPicPr>
      <xdr:blipFill>
        <a:blip xmlns:r="http://schemas.openxmlformats.org/officeDocument/2006/relationships" r:embed="rId4"/>
        <a:stretch>
          <a:fillRect/>
        </a:stretch>
      </xdr:blipFill>
      <xdr:spPr>
        <a:xfrm>
          <a:off x="423332" y="262467"/>
          <a:ext cx="1041401" cy="2267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123825</xdr:rowOff>
    </xdr:from>
    <xdr:to>
      <xdr:col>10</xdr:col>
      <xdr:colOff>73838</xdr:colOff>
      <xdr:row>2</xdr:row>
      <xdr:rowOff>82549</xdr:rowOff>
    </xdr:to>
    <xdr:sp macro="" textlink="">
      <xdr:nvSpPr>
        <xdr:cNvPr id="2" name="Text Box 1"/>
        <xdr:cNvSpPr txBox="1">
          <a:spLocks noChangeArrowheads="1"/>
        </xdr:cNvSpPr>
      </xdr:nvSpPr>
      <xdr:spPr bwMode="auto">
        <a:xfrm>
          <a:off x="0" y="123825"/>
          <a:ext cx="12552326" cy="38698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Dados Zootécnicos do ano atual</a:t>
          </a:r>
        </a:p>
        <a:p>
          <a:pPr algn="ctr" rtl="0">
            <a:defRPr sz="1000"/>
          </a:pPr>
          <a:endParaRPr lang="pt-BR" sz="2000" b="1" i="0" u="none" strike="noStrike" baseline="0">
            <a:solidFill>
              <a:schemeClr val="accent5"/>
            </a:solidFill>
            <a:latin typeface="+mn-lt"/>
            <a:ea typeface="Tahoma"/>
            <a:cs typeface="Tahoma"/>
          </a:endParaRPr>
        </a:p>
        <a:p>
          <a:pPr algn="ctr" rtl="0">
            <a:defRPr sz="1000"/>
          </a:pPr>
          <a:endParaRPr lang="pt-BR" sz="2000" b="1" i="0" u="none" strike="noStrike" baseline="0">
            <a:solidFill>
              <a:schemeClr val="accent5"/>
            </a:solidFill>
            <a:latin typeface="+mn-lt"/>
            <a:ea typeface="Tahoma"/>
            <a:cs typeface="Tahoma"/>
          </a:endParaRPr>
        </a:p>
      </xdr:txBody>
    </xdr:sp>
    <xdr:clientData/>
  </xdr:twoCellAnchor>
  <xdr:twoCellAnchor>
    <xdr:from>
      <xdr:col>6</xdr:col>
      <xdr:colOff>2028498</xdr:colOff>
      <xdr:row>5</xdr:row>
      <xdr:rowOff>185423</xdr:rowOff>
    </xdr:from>
    <xdr:to>
      <xdr:col>8</xdr:col>
      <xdr:colOff>182687</xdr:colOff>
      <xdr:row>8</xdr:row>
      <xdr:rowOff>39649</xdr:rowOff>
    </xdr:to>
    <xdr:grpSp>
      <xdr:nvGrpSpPr>
        <xdr:cNvPr id="15" name="Grupo 14"/>
        <xdr:cNvGrpSpPr/>
      </xdr:nvGrpSpPr>
      <xdr:grpSpPr>
        <a:xfrm>
          <a:off x="8561378" y="1201423"/>
          <a:ext cx="2258829" cy="433346"/>
          <a:chOff x="7900978" y="12153903"/>
          <a:chExt cx="2258829" cy="433346"/>
        </a:xfrm>
        <a:solidFill>
          <a:schemeClr val="accent5"/>
        </a:solidFill>
      </xdr:grpSpPr>
      <xdr:sp macro="" textlink="">
        <xdr:nvSpPr>
          <xdr:cNvPr id="3" name="Arredondar Retângulo em um Canto Diagonal 2">
            <a:hlinkClick xmlns:r="http://schemas.openxmlformats.org/officeDocument/2006/relationships" r:id="rId1"/>
          </xdr:cNvPr>
          <xdr:cNvSpPr/>
        </xdr:nvSpPr>
        <xdr:spPr>
          <a:xfrm>
            <a:off x="9108299" y="12188885"/>
            <a:ext cx="1051508" cy="348779"/>
          </a:xfrm>
          <a:prstGeom prst="round2DiagRect">
            <a:avLst>
              <a:gd name="adj1" fmla="val 16667"/>
              <a:gd name="adj2" fmla="val 12264"/>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5" name="Triângulo isósceles 4">
            <a:hlinkClick xmlns:r="http://schemas.openxmlformats.org/officeDocument/2006/relationships" r:id="rId2"/>
          </xdr:cNvPr>
          <xdr:cNvSpPr/>
        </xdr:nvSpPr>
        <xdr:spPr>
          <a:xfrm rot="5400000" flipV="1">
            <a:off x="8242018" y="11812863"/>
            <a:ext cx="433346" cy="1115426"/>
          </a:xfrm>
          <a:prstGeom prs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grpSp>
    <xdr:clientData/>
  </xdr:twoCellAnchor>
  <xdr:twoCellAnchor editAs="oneCell">
    <xdr:from>
      <xdr:col>4</xdr:col>
      <xdr:colOff>146109</xdr:colOff>
      <xdr:row>4</xdr:row>
      <xdr:rowOff>165453</xdr:rowOff>
    </xdr:from>
    <xdr:to>
      <xdr:col>6</xdr:col>
      <xdr:colOff>350006</xdr:colOff>
      <xdr:row>7</xdr:row>
      <xdr:rowOff>172720</xdr:rowOff>
    </xdr:to>
    <xdr:pic>
      <xdr:nvPicPr>
        <xdr:cNvPr id="9" name="Imagem 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632509" y="988413"/>
          <a:ext cx="1250377" cy="586387"/>
        </a:xfrm>
        <a:prstGeom prst="rect">
          <a:avLst/>
        </a:prstGeom>
      </xdr:spPr>
    </xdr:pic>
    <xdr:clientData/>
  </xdr:twoCellAnchor>
  <xdr:twoCellAnchor>
    <xdr:from>
      <xdr:col>8</xdr:col>
      <xdr:colOff>267557</xdr:colOff>
      <xdr:row>5</xdr:row>
      <xdr:rowOff>162564</xdr:rowOff>
    </xdr:from>
    <xdr:to>
      <xdr:col>9</xdr:col>
      <xdr:colOff>436244</xdr:colOff>
      <xdr:row>8</xdr:row>
      <xdr:rowOff>30483</xdr:rowOff>
    </xdr:to>
    <xdr:sp macro="" textlink="">
      <xdr:nvSpPr>
        <xdr:cNvPr id="18" name="Triângulo isósceles 19">
          <a:hlinkClick xmlns:r="http://schemas.openxmlformats.org/officeDocument/2006/relationships" r:id="rId4"/>
        </xdr:cNvPr>
        <xdr:cNvSpPr/>
      </xdr:nvSpPr>
      <xdr:spPr>
        <a:xfrm rot="5400000">
          <a:off x="11243421" y="840220"/>
          <a:ext cx="447039" cy="1123727"/>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Proximo</a:t>
          </a:r>
        </a:p>
      </xdr:txBody>
    </xdr:sp>
    <xdr:clientData/>
  </xdr:twoCellAnchor>
  <xdr:twoCellAnchor editAs="oneCell">
    <xdr:from>
      <xdr:col>1</xdr:col>
      <xdr:colOff>30480</xdr:colOff>
      <xdr:row>1</xdr:row>
      <xdr:rowOff>10160</xdr:rowOff>
    </xdr:from>
    <xdr:to>
      <xdr:col>1</xdr:col>
      <xdr:colOff>1071881</xdr:colOff>
      <xdr:row>1</xdr:row>
      <xdr:rowOff>236884</xdr:rowOff>
    </xdr:to>
    <xdr:pic>
      <xdr:nvPicPr>
        <xdr:cNvPr id="12" name="Imagem 11"/>
        <xdr:cNvPicPr>
          <a:picLocks noChangeAspect="1"/>
        </xdr:cNvPicPr>
      </xdr:nvPicPr>
      <xdr:blipFill>
        <a:blip xmlns:r="http://schemas.openxmlformats.org/officeDocument/2006/relationships" r:embed="rId5"/>
        <a:stretch>
          <a:fillRect/>
        </a:stretch>
      </xdr:blipFill>
      <xdr:spPr>
        <a:xfrm>
          <a:off x="233680" y="203200"/>
          <a:ext cx="1041401" cy="2267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9524</xdr:colOff>
      <xdr:row>0</xdr:row>
      <xdr:rowOff>85725</xdr:rowOff>
    </xdr:from>
    <xdr:to>
      <xdr:col>5</xdr:col>
      <xdr:colOff>19050</xdr:colOff>
      <xdr:row>2</xdr:row>
      <xdr:rowOff>44449</xdr:rowOff>
    </xdr:to>
    <xdr:sp macro="" textlink="">
      <xdr:nvSpPr>
        <xdr:cNvPr id="5" name="Text Box 1"/>
        <xdr:cNvSpPr txBox="1">
          <a:spLocks noChangeArrowheads="1"/>
        </xdr:cNvSpPr>
      </xdr:nvSpPr>
      <xdr:spPr bwMode="auto">
        <a:xfrm>
          <a:off x="9524" y="85725"/>
          <a:ext cx="6315076"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PROCESSOS PRODUTIVOS</a:t>
          </a:r>
        </a:p>
      </xdr:txBody>
    </xdr:sp>
    <xdr:clientData/>
  </xdr:twoCellAnchor>
  <xdr:twoCellAnchor>
    <xdr:from>
      <xdr:col>0</xdr:col>
      <xdr:colOff>161925</xdr:colOff>
      <xdr:row>0</xdr:row>
      <xdr:rowOff>85725</xdr:rowOff>
    </xdr:from>
    <xdr:to>
      <xdr:col>1</xdr:col>
      <xdr:colOff>857251</xdr:colOff>
      <xdr:row>2</xdr:row>
      <xdr:rowOff>44449</xdr:rowOff>
    </xdr:to>
    <xdr:grpSp>
      <xdr:nvGrpSpPr>
        <xdr:cNvPr id="6" name="Grupo 5"/>
        <xdr:cNvGrpSpPr/>
      </xdr:nvGrpSpPr>
      <xdr:grpSpPr>
        <a:xfrm>
          <a:off x="161925" y="85725"/>
          <a:ext cx="1025526" cy="339724"/>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4</xdr:col>
      <xdr:colOff>266700</xdr:colOff>
      <xdr:row>2</xdr:row>
      <xdr:rowOff>114300</xdr:rowOff>
    </xdr:from>
    <xdr:to>
      <xdr:col>6</xdr:col>
      <xdr:colOff>583355</xdr:colOff>
      <xdr:row>7</xdr:row>
      <xdr:rowOff>87649</xdr:rowOff>
    </xdr:to>
    <xdr:pic>
      <xdr:nvPicPr>
        <xdr:cNvPr id="9" name="Imagem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24525" y="495300"/>
          <a:ext cx="1773980" cy="925849"/>
        </a:xfrm>
        <a:prstGeom prst="rect">
          <a:avLst/>
        </a:prstGeom>
      </xdr:spPr>
    </xdr:pic>
    <xdr:clientData/>
  </xdr:twoCellAnchor>
  <xdr:twoCellAnchor>
    <xdr:from>
      <xdr:col>1</xdr:col>
      <xdr:colOff>1609725</xdr:colOff>
      <xdr:row>52</xdr:row>
      <xdr:rowOff>174468</xdr:rowOff>
    </xdr:from>
    <xdr:to>
      <xdr:col>2</xdr:col>
      <xdr:colOff>99560</xdr:colOff>
      <xdr:row>54</xdr:row>
      <xdr:rowOff>158061</xdr:rowOff>
    </xdr:to>
    <xdr:sp macro="" textlink="">
      <xdr:nvSpPr>
        <xdr:cNvPr id="10" name="Arredondar Retângulo em um Canto Diagonal 9">
          <a:hlinkClick xmlns:r="http://schemas.openxmlformats.org/officeDocument/2006/relationships" r:id="rId3"/>
        </xdr:cNvPr>
        <xdr:cNvSpPr/>
      </xdr:nvSpPr>
      <xdr:spPr>
        <a:xfrm>
          <a:off x="1895475" y="10651968"/>
          <a:ext cx="832985" cy="364593"/>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2</xdr:col>
      <xdr:colOff>193300</xdr:colOff>
      <xdr:row>52</xdr:row>
      <xdr:rowOff>155715</xdr:rowOff>
    </xdr:from>
    <xdr:to>
      <xdr:col>3</xdr:col>
      <xdr:colOff>275908</xdr:colOff>
      <xdr:row>54</xdr:row>
      <xdr:rowOff>149661</xdr:rowOff>
    </xdr:to>
    <xdr:sp macro="" textlink="">
      <xdr:nvSpPr>
        <xdr:cNvPr id="11" name="Triângulo isósceles 10">
          <a:hlinkClick xmlns:r="http://schemas.openxmlformats.org/officeDocument/2006/relationships" r:id="rId4"/>
        </xdr:cNvPr>
        <xdr:cNvSpPr/>
      </xdr:nvSpPr>
      <xdr:spPr>
        <a:xfrm rot="5400000">
          <a:off x="4095256" y="10722234"/>
          <a:ext cx="374946" cy="958908"/>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xdr:col>
      <xdr:colOff>514350</xdr:colOff>
      <xdr:row>52</xdr:row>
      <xdr:rowOff>152400</xdr:rowOff>
    </xdr:from>
    <xdr:to>
      <xdr:col>1</xdr:col>
      <xdr:colOff>1481344</xdr:colOff>
      <xdr:row>54</xdr:row>
      <xdr:rowOff>149658</xdr:rowOff>
    </xdr:to>
    <xdr:sp macro="" textlink="">
      <xdr:nvSpPr>
        <xdr:cNvPr id="12" name="Triângulo isósceles 11">
          <a:hlinkClick xmlns:r="http://schemas.openxmlformats.org/officeDocument/2006/relationships" r:id="rId5"/>
        </xdr:cNvPr>
        <xdr:cNvSpPr/>
      </xdr:nvSpPr>
      <xdr:spPr>
        <a:xfrm rot="5400000" flipV="1">
          <a:off x="1094468" y="10335532"/>
          <a:ext cx="378258" cy="966994"/>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2686828</xdr:colOff>
      <xdr:row>38</xdr:row>
      <xdr:rowOff>60168</xdr:rowOff>
    </xdr:from>
    <xdr:to>
      <xdr:col>2</xdr:col>
      <xdr:colOff>270280</xdr:colOff>
      <xdr:row>40</xdr:row>
      <xdr:rowOff>22068</xdr:rowOff>
    </xdr:to>
    <xdr:sp macro="" textlink="">
      <xdr:nvSpPr>
        <xdr:cNvPr id="2" name="Arredondar Retângulo em um Canto Diagonal 1">
          <a:hlinkClick xmlns:r="http://schemas.openxmlformats.org/officeDocument/2006/relationships" r:id="rId1"/>
        </xdr:cNvPr>
        <xdr:cNvSpPr/>
      </xdr:nvSpPr>
      <xdr:spPr>
        <a:xfrm>
          <a:off x="3296428" y="7680168"/>
          <a:ext cx="907677"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2</xdr:col>
      <xdr:colOff>506895</xdr:colOff>
      <xdr:row>38</xdr:row>
      <xdr:rowOff>60465</xdr:rowOff>
    </xdr:from>
    <xdr:to>
      <xdr:col>3</xdr:col>
      <xdr:colOff>593447</xdr:colOff>
      <xdr:row>40</xdr:row>
      <xdr:rowOff>32718</xdr:rowOff>
    </xdr:to>
    <xdr:sp macro="" textlink="">
      <xdr:nvSpPr>
        <xdr:cNvPr id="3" name="Triângulo isósceles 2">
          <a:hlinkClick xmlns:r="http://schemas.openxmlformats.org/officeDocument/2006/relationships" r:id="rId2"/>
        </xdr:cNvPr>
        <xdr:cNvSpPr/>
      </xdr:nvSpPr>
      <xdr:spPr>
        <a:xfrm rot="5400000">
          <a:off x="4745519" y="7375666"/>
          <a:ext cx="353253"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xdr:col>
      <xdr:colOff>1504950</xdr:colOff>
      <xdr:row>38</xdr:row>
      <xdr:rowOff>57150</xdr:rowOff>
    </xdr:from>
    <xdr:to>
      <xdr:col>1</xdr:col>
      <xdr:colOff>2467802</xdr:colOff>
      <xdr:row>40</xdr:row>
      <xdr:rowOff>32715</xdr:rowOff>
    </xdr:to>
    <xdr:sp macro="" textlink="">
      <xdr:nvSpPr>
        <xdr:cNvPr id="4" name="Triângulo isósceles 3">
          <a:hlinkClick xmlns:r="http://schemas.openxmlformats.org/officeDocument/2006/relationships" r:id="rId3"/>
        </xdr:cNvPr>
        <xdr:cNvSpPr/>
      </xdr:nvSpPr>
      <xdr:spPr>
        <a:xfrm rot="5400000" flipV="1">
          <a:off x="2417693" y="7374007"/>
          <a:ext cx="356565"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0</xdr:col>
      <xdr:colOff>9524</xdr:colOff>
      <xdr:row>0</xdr:row>
      <xdr:rowOff>85725</xdr:rowOff>
    </xdr:from>
    <xdr:to>
      <xdr:col>5</xdr:col>
      <xdr:colOff>19050</xdr:colOff>
      <xdr:row>2</xdr:row>
      <xdr:rowOff>44449</xdr:rowOff>
    </xdr:to>
    <xdr:sp macro="" textlink="">
      <xdr:nvSpPr>
        <xdr:cNvPr id="5" name="Text Box 1"/>
        <xdr:cNvSpPr txBox="1">
          <a:spLocks noChangeArrowheads="1"/>
        </xdr:cNvSpPr>
      </xdr:nvSpPr>
      <xdr:spPr bwMode="auto">
        <a:xfrm>
          <a:off x="9524" y="85725"/>
          <a:ext cx="6229351"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MASTITE ATUAL</a:t>
          </a:r>
        </a:p>
      </xdr:txBody>
    </xdr:sp>
    <xdr:clientData/>
  </xdr:twoCellAnchor>
  <xdr:twoCellAnchor>
    <xdr:from>
      <xdr:col>0</xdr:col>
      <xdr:colOff>161925</xdr:colOff>
      <xdr:row>0</xdr:row>
      <xdr:rowOff>85725</xdr:rowOff>
    </xdr:from>
    <xdr:to>
      <xdr:col>1</xdr:col>
      <xdr:colOff>857251</xdr:colOff>
      <xdr:row>2</xdr:row>
      <xdr:rowOff>44449</xdr:rowOff>
    </xdr:to>
    <xdr:grpSp>
      <xdr:nvGrpSpPr>
        <xdr:cNvPr id="6" name="Grupo 5"/>
        <xdr:cNvGrpSpPr/>
      </xdr:nvGrpSpPr>
      <xdr:grpSpPr>
        <a:xfrm>
          <a:off x="161925" y="85725"/>
          <a:ext cx="1021897" cy="339724"/>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4</xdr:col>
      <xdr:colOff>266700</xdr:colOff>
      <xdr:row>2</xdr:row>
      <xdr:rowOff>114300</xdr:rowOff>
    </xdr:from>
    <xdr:to>
      <xdr:col>6</xdr:col>
      <xdr:colOff>583355</xdr:colOff>
      <xdr:row>7</xdr:row>
      <xdr:rowOff>87649</xdr:rowOff>
    </xdr:to>
    <xdr:pic>
      <xdr:nvPicPr>
        <xdr:cNvPr id="9" name="Imagem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38800" y="495300"/>
          <a:ext cx="1773980" cy="9258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1236134</xdr:colOff>
      <xdr:row>20</xdr:row>
      <xdr:rowOff>155222</xdr:rowOff>
    </xdr:from>
    <xdr:to>
      <xdr:col>9</xdr:col>
      <xdr:colOff>47131</xdr:colOff>
      <xdr:row>22</xdr:row>
      <xdr:rowOff>28222</xdr:rowOff>
    </xdr:to>
    <xdr:sp macro="" textlink="">
      <xdr:nvSpPr>
        <xdr:cNvPr id="13" name="TextBox 65"/>
        <xdr:cNvSpPr txBox="1"/>
      </xdr:nvSpPr>
      <xdr:spPr>
        <a:xfrm>
          <a:off x="8483601" y="3914422"/>
          <a:ext cx="72530" cy="2624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30480</xdr:colOff>
      <xdr:row>11</xdr:row>
      <xdr:rowOff>127000</xdr:rowOff>
    </xdr:from>
    <xdr:to>
      <xdr:col>3</xdr:col>
      <xdr:colOff>76199</xdr:colOff>
      <xdr:row>13</xdr:row>
      <xdr:rowOff>101600</xdr:rowOff>
    </xdr:to>
    <xdr:sp macro="" textlink="">
      <xdr:nvSpPr>
        <xdr:cNvPr id="2" name="TextBox 10"/>
        <xdr:cNvSpPr txBox="1"/>
      </xdr:nvSpPr>
      <xdr:spPr>
        <a:xfrm>
          <a:off x="2238039" y="3724088"/>
          <a:ext cx="45719" cy="3780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490219</xdr:colOff>
      <xdr:row>7</xdr:row>
      <xdr:rowOff>150283</xdr:rowOff>
    </xdr:from>
    <xdr:to>
      <xdr:col>3</xdr:col>
      <xdr:colOff>539750</xdr:colOff>
      <xdr:row>9</xdr:row>
      <xdr:rowOff>124883</xdr:rowOff>
    </xdr:to>
    <xdr:sp macro="" textlink="">
      <xdr:nvSpPr>
        <xdr:cNvPr id="3" name="TextBox 11"/>
        <xdr:cNvSpPr txBox="1"/>
      </xdr:nvSpPr>
      <xdr:spPr>
        <a:xfrm flipH="1">
          <a:off x="3019636" y="1441450"/>
          <a:ext cx="49531" cy="3661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76199</xdr:colOff>
      <xdr:row>8</xdr:row>
      <xdr:rowOff>127000</xdr:rowOff>
    </xdr:from>
    <xdr:to>
      <xdr:col>3</xdr:col>
      <xdr:colOff>482600</xdr:colOff>
      <xdr:row>12</xdr:row>
      <xdr:rowOff>114300</xdr:rowOff>
    </xdr:to>
    <xdr:cxnSp macro="">
      <xdr:nvCxnSpPr>
        <xdr:cNvPr id="4" name="Elbow Connector 13"/>
        <xdr:cNvCxnSpPr/>
      </xdr:nvCxnSpPr>
      <xdr:spPr bwMode="auto">
        <a:xfrm flipV="1">
          <a:off x="1904999" y="2670175"/>
          <a:ext cx="396876" cy="1311275"/>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12700</xdr:colOff>
      <xdr:row>15</xdr:row>
      <xdr:rowOff>152400</xdr:rowOff>
    </xdr:from>
    <xdr:to>
      <xdr:col>6</xdr:col>
      <xdr:colOff>58419</xdr:colOff>
      <xdr:row>17</xdr:row>
      <xdr:rowOff>63500</xdr:rowOff>
    </xdr:to>
    <xdr:sp macro="" textlink="">
      <xdr:nvSpPr>
        <xdr:cNvPr id="5" name="TextBox 44"/>
        <xdr:cNvSpPr txBox="1"/>
      </xdr:nvSpPr>
      <xdr:spPr>
        <a:xfrm>
          <a:off x="3736975" y="5419725"/>
          <a:ext cx="45719" cy="31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660400</xdr:colOff>
      <xdr:row>11</xdr:row>
      <xdr:rowOff>12701</xdr:rowOff>
    </xdr:from>
    <xdr:to>
      <xdr:col>6</xdr:col>
      <xdr:colOff>706119</xdr:colOff>
      <xdr:row>12</xdr:row>
      <xdr:rowOff>121357</xdr:rowOff>
    </xdr:to>
    <xdr:sp macro="" textlink="">
      <xdr:nvSpPr>
        <xdr:cNvPr id="6" name="TextBox 45"/>
        <xdr:cNvSpPr txBox="1"/>
      </xdr:nvSpPr>
      <xdr:spPr>
        <a:xfrm>
          <a:off x="5909733" y="2097618"/>
          <a:ext cx="45719" cy="3097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12700</xdr:colOff>
      <xdr:row>7</xdr:row>
      <xdr:rowOff>152400</xdr:rowOff>
    </xdr:from>
    <xdr:to>
      <xdr:col>6</xdr:col>
      <xdr:colOff>58419</xdr:colOff>
      <xdr:row>9</xdr:row>
      <xdr:rowOff>63500</xdr:rowOff>
    </xdr:to>
    <xdr:sp macro="" textlink="">
      <xdr:nvSpPr>
        <xdr:cNvPr id="7" name="TextBox 46"/>
        <xdr:cNvSpPr txBox="1"/>
      </xdr:nvSpPr>
      <xdr:spPr>
        <a:xfrm>
          <a:off x="3736975" y="2495550"/>
          <a:ext cx="45719" cy="42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660400</xdr:colOff>
      <xdr:row>3</xdr:row>
      <xdr:rowOff>165100</xdr:rowOff>
    </xdr:from>
    <xdr:to>
      <xdr:col>9</xdr:col>
      <xdr:colOff>706119</xdr:colOff>
      <xdr:row>5</xdr:row>
      <xdr:rowOff>76200</xdr:rowOff>
    </xdr:to>
    <xdr:sp macro="" textlink="">
      <xdr:nvSpPr>
        <xdr:cNvPr id="8" name="TextBox 47"/>
        <xdr:cNvSpPr txBox="1"/>
      </xdr:nvSpPr>
      <xdr:spPr>
        <a:xfrm>
          <a:off x="6908800" y="1365250"/>
          <a:ext cx="0"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457200</xdr:colOff>
      <xdr:row>15</xdr:row>
      <xdr:rowOff>139700</xdr:rowOff>
    </xdr:from>
    <xdr:to>
      <xdr:col>4</xdr:col>
      <xdr:colOff>7619</xdr:colOff>
      <xdr:row>17</xdr:row>
      <xdr:rowOff>50800</xdr:rowOff>
    </xdr:to>
    <xdr:sp macro="" textlink="">
      <xdr:nvSpPr>
        <xdr:cNvPr id="9" name="TextBox 48"/>
        <xdr:cNvSpPr txBox="1"/>
      </xdr:nvSpPr>
      <xdr:spPr>
        <a:xfrm>
          <a:off x="2286000" y="5407025"/>
          <a:ext cx="26669" cy="31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76199</xdr:colOff>
      <xdr:row>12</xdr:row>
      <xdr:rowOff>114300</xdr:rowOff>
    </xdr:from>
    <xdr:to>
      <xdr:col>3</xdr:col>
      <xdr:colOff>457200</xdr:colOff>
      <xdr:row>16</xdr:row>
      <xdr:rowOff>95250</xdr:rowOff>
    </xdr:to>
    <xdr:cxnSp macro="">
      <xdr:nvCxnSpPr>
        <xdr:cNvPr id="10" name="Elbow Connector 50"/>
        <xdr:cNvCxnSpPr>
          <a:stCxn id="2" idx="3"/>
          <a:endCxn id="9" idx="1"/>
        </xdr:cNvCxnSpPr>
      </xdr:nvCxnSpPr>
      <xdr:spPr bwMode="auto">
        <a:xfrm>
          <a:off x="1904999" y="3981450"/>
          <a:ext cx="381001" cy="158115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8</xdr:row>
      <xdr:rowOff>113242</xdr:rowOff>
    </xdr:from>
    <xdr:to>
      <xdr:col>6</xdr:col>
      <xdr:colOff>660400</xdr:colOff>
      <xdr:row>11</xdr:row>
      <xdr:rowOff>167571</xdr:rowOff>
    </xdr:to>
    <xdr:cxnSp macro="">
      <xdr:nvCxnSpPr>
        <xdr:cNvPr id="11" name="Elbow Connector 53"/>
        <xdr:cNvCxnSpPr>
          <a:stCxn id="7" idx="3"/>
          <a:endCxn id="6" idx="1"/>
        </xdr:cNvCxnSpPr>
      </xdr:nvCxnSpPr>
      <xdr:spPr bwMode="auto">
        <a:xfrm>
          <a:off x="5307752" y="1594909"/>
          <a:ext cx="601981" cy="657579"/>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4</xdr:row>
      <xdr:rowOff>120650</xdr:rowOff>
    </xdr:from>
    <xdr:to>
      <xdr:col>6</xdr:col>
      <xdr:colOff>660400</xdr:colOff>
      <xdr:row>8</xdr:row>
      <xdr:rowOff>107950</xdr:rowOff>
    </xdr:to>
    <xdr:cxnSp macro="">
      <xdr:nvCxnSpPr>
        <xdr:cNvPr id="12" name="Elbow Connector 56"/>
        <xdr:cNvCxnSpPr>
          <a:stCxn id="7" idx="3"/>
          <a:endCxn id="8" idx="1"/>
        </xdr:cNvCxnSpPr>
      </xdr:nvCxnSpPr>
      <xdr:spPr bwMode="auto">
        <a:xfrm flipV="1">
          <a:off x="3782694" y="1511300"/>
          <a:ext cx="601981" cy="1139825"/>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9</xdr:col>
      <xdr:colOff>0</xdr:colOff>
      <xdr:row>3</xdr:row>
      <xdr:rowOff>177800</xdr:rowOff>
    </xdr:from>
    <xdr:to>
      <xdr:col>9</xdr:col>
      <xdr:colOff>45719</xdr:colOff>
      <xdr:row>5</xdr:row>
      <xdr:rowOff>88900</xdr:rowOff>
    </xdr:to>
    <xdr:sp macro="" textlink="">
      <xdr:nvSpPr>
        <xdr:cNvPr id="14" name="TextBox 67"/>
        <xdr:cNvSpPr txBox="1"/>
      </xdr:nvSpPr>
      <xdr:spPr>
        <a:xfrm>
          <a:off x="6267450" y="1377950"/>
          <a:ext cx="45719"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660400</xdr:colOff>
      <xdr:row>20</xdr:row>
      <xdr:rowOff>152400</xdr:rowOff>
    </xdr:from>
    <xdr:to>
      <xdr:col>6</xdr:col>
      <xdr:colOff>706119</xdr:colOff>
      <xdr:row>22</xdr:row>
      <xdr:rowOff>63500</xdr:rowOff>
    </xdr:to>
    <xdr:sp macro="" textlink="">
      <xdr:nvSpPr>
        <xdr:cNvPr id="15" name="TextBox 79"/>
        <xdr:cNvSpPr txBox="1"/>
      </xdr:nvSpPr>
      <xdr:spPr>
        <a:xfrm>
          <a:off x="4384675" y="7010400"/>
          <a:ext cx="26669"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58419</xdr:colOff>
      <xdr:row>13</xdr:row>
      <xdr:rowOff>81846</xdr:rowOff>
    </xdr:from>
    <xdr:to>
      <xdr:col>6</xdr:col>
      <xdr:colOff>651933</xdr:colOff>
      <xdr:row>16</xdr:row>
      <xdr:rowOff>107950</xdr:rowOff>
    </xdr:to>
    <xdr:cxnSp macro="">
      <xdr:nvCxnSpPr>
        <xdr:cNvPr id="16" name="Elbow Connector 87"/>
        <xdr:cNvCxnSpPr>
          <a:stCxn id="5" idx="3"/>
        </xdr:cNvCxnSpPr>
      </xdr:nvCxnSpPr>
      <xdr:spPr bwMode="auto">
        <a:xfrm flipV="1">
          <a:off x="3782694" y="4149021"/>
          <a:ext cx="593514" cy="1426279"/>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16</xdr:row>
      <xdr:rowOff>107950</xdr:rowOff>
    </xdr:from>
    <xdr:to>
      <xdr:col>6</xdr:col>
      <xdr:colOff>660400</xdr:colOff>
      <xdr:row>21</xdr:row>
      <xdr:rowOff>107950</xdr:rowOff>
    </xdr:to>
    <xdr:cxnSp macro="">
      <xdr:nvCxnSpPr>
        <xdr:cNvPr id="17" name="Elbow Connector 96"/>
        <xdr:cNvCxnSpPr>
          <a:stCxn id="5" idx="3"/>
          <a:endCxn id="15" idx="1"/>
        </xdr:cNvCxnSpPr>
      </xdr:nvCxnSpPr>
      <xdr:spPr bwMode="auto">
        <a:xfrm>
          <a:off x="3782694" y="5575300"/>
          <a:ext cx="601981" cy="158115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9</xdr:col>
      <xdr:colOff>673187</xdr:colOff>
      <xdr:row>20</xdr:row>
      <xdr:rowOff>46564</xdr:rowOff>
    </xdr:from>
    <xdr:to>
      <xdr:col>9</xdr:col>
      <xdr:colOff>718906</xdr:colOff>
      <xdr:row>21</xdr:row>
      <xdr:rowOff>148164</xdr:rowOff>
    </xdr:to>
    <xdr:sp macro="" textlink="">
      <xdr:nvSpPr>
        <xdr:cNvPr id="19" name="TextBox 110"/>
        <xdr:cNvSpPr txBox="1"/>
      </xdr:nvSpPr>
      <xdr:spPr>
        <a:xfrm>
          <a:off x="9168313" y="4283455"/>
          <a:ext cx="45719" cy="3043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683024</xdr:colOff>
      <xdr:row>23</xdr:row>
      <xdr:rowOff>139700</xdr:rowOff>
    </xdr:from>
    <xdr:to>
      <xdr:col>10</xdr:col>
      <xdr:colOff>7617</xdr:colOff>
      <xdr:row>25</xdr:row>
      <xdr:rowOff>50800</xdr:rowOff>
    </xdr:to>
    <xdr:sp macro="" textlink="">
      <xdr:nvSpPr>
        <xdr:cNvPr id="20" name="TextBox 122"/>
        <xdr:cNvSpPr txBox="1"/>
      </xdr:nvSpPr>
      <xdr:spPr>
        <a:xfrm>
          <a:off x="9178150" y="4963566"/>
          <a:ext cx="50307" cy="2953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683859</xdr:colOff>
      <xdr:row>16</xdr:row>
      <xdr:rowOff>14898</xdr:rowOff>
    </xdr:from>
    <xdr:to>
      <xdr:col>10</xdr:col>
      <xdr:colOff>3864</xdr:colOff>
      <xdr:row>17</xdr:row>
      <xdr:rowOff>137665</xdr:rowOff>
    </xdr:to>
    <xdr:sp macro="" textlink="">
      <xdr:nvSpPr>
        <xdr:cNvPr id="21" name="TextBox 123"/>
        <xdr:cNvSpPr txBox="1"/>
      </xdr:nvSpPr>
      <xdr:spPr>
        <a:xfrm>
          <a:off x="9178985" y="3440696"/>
          <a:ext cx="45719" cy="325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0</xdr:colOff>
      <xdr:row>0</xdr:row>
      <xdr:rowOff>89647</xdr:rowOff>
    </xdr:from>
    <xdr:to>
      <xdr:col>13</xdr:col>
      <xdr:colOff>11206</xdr:colOff>
      <xdr:row>2</xdr:row>
      <xdr:rowOff>0</xdr:rowOff>
    </xdr:to>
    <xdr:sp macro="" textlink="">
      <xdr:nvSpPr>
        <xdr:cNvPr id="32" name="Text Box 1"/>
        <xdr:cNvSpPr txBox="1">
          <a:spLocks noChangeArrowheads="1"/>
        </xdr:cNvSpPr>
      </xdr:nvSpPr>
      <xdr:spPr bwMode="auto">
        <a:xfrm>
          <a:off x="0" y="89647"/>
          <a:ext cx="12152406" cy="405653"/>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Análise da Eficiência Econômica</a:t>
          </a:r>
        </a:p>
      </xdr:txBody>
    </xdr:sp>
    <xdr:clientData/>
  </xdr:twoCellAnchor>
  <xdr:twoCellAnchor>
    <xdr:from>
      <xdr:col>1</xdr:col>
      <xdr:colOff>268942</xdr:colOff>
      <xdr:row>24</xdr:row>
      <xdr:rowOff>145675</xdr:rowOff>
    </xdr:from>
    <xdr:to>
      <xdr:col>2</xdr:col>
      <xdr:colOff>224119</xdr:colOff>
      <xdr:row>27</xdr:row>
      <xdr:rowOff>56028</xdr:rowOff>
    </xdr:to>
    <xdr:sp macro="" textlink="">
      <xdr:nvSpPr>
        <xdr:cNvPr id="28" name="Arredondar Retângulo em um Canto Diagonal 27">
          <a:hlinkClick xmlns:r="http://schemas.openxmlformats.org/officeDocument/2006/relationships" r:id="rId1"/>
        </xdr:cNvPr>
        <xdr:cNvSpPr/>
      </xdr:nvSpPr>
      <xdr:spPr>
        <a:xfrm>
          <a:off x="840442" y="4818528"/>
          <a:ext cx="1053353" cy="481853"/>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twoCellAnchor>
    <xdr:from>
      <xdr:col>2</xdr:col>
      <xdr:colOff>369795</xdr:colOff>
      <xdr:row>24</xdr:row>
      <xdr:rowOff>123264</xdr:rowOff>
    </xdr:from>
    <xdr:to>
      <xdr:col>4</xdr:col>
      <xdr:colOff>33616</xdr:colOff>
      <xdr:row>27</xdr:row>
      <xdr:rowOff>67237</xdr:rowOff>
    </xdr:to>
    <xdr:sp macro="" textlink="">
      <xdr:nvSpPr>
        <xdr:cNvPr id="33" name="Triângulo isósceles 32">
          <a:hlinkClick xmlns:r="http://schemas.openxmlformats.org/officeDocument/2006/relationships" r:id="rId2"/>
        </xdr:cNvPr>
        <xdr:cNvSpPr/>
      </xdr:nvSpPr>
      <xdr:spPr>
        <a:xfrm rot="5400000">
          <a:off x="2123513" y="4712075"/>
          <a:ext cx="515473" cy="683557"/>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a:t>
          </a:r>
        </a:p>
      </xdr:txBody>
    </xdr:sp>
    <xdr:clientData/>
  </xdr:twoCellAnchor>
  <xdr:twoCellAnchor>
    <xdr:from>
      <xdr:col>9</xdr:col>
      <xdr:colOff>47131</xdr:colOff>
      <xdr:row>16</xdr:row>
      <xdr:rowOff>152400</xdr:rowOff>
    </xdr:from>
    <xdr:to>
      <xdr:col>9</xdr:col>
      <xdr:colOff>683859</xdr:colOff>
      <xdr:row>24</xdr:row>
      <xdr:rowOff>127082</xdr:rowOff>
    </xdr:to>
    <xdr:grpSp>
      <xdr:nvGrpSpPr>
        <xdr:cNvPr id="60" name="Grupo 59"/>
        <xdr:cNvGrpSpPr/>
      </xdr:nvGrpSpPr>
      <xdr:grpSpPr>
        <a:xfrm>
          <a:off x="8520913" y="3578198"/>
          <a:ext cx="636728" cy="1564850"/>
          <a:chOff x="8530731" y="3568700"/>
          <a:chExt cx="636728" cy="1562182"/>
        </a:xfrm>
      </xdr:grpSpPr>
      <xdr:grpSp>
        <xdr:nvGrpSpPr>
          <xdr:cNvPr id="57" name="Grupo 56"/>
          <xdr:cNvGrpSpPr/>
        </xdr:nvGrpSpPr>
        <xdr:grpSpPr>
          <a:xfrm>
            <a:off x="8530731" y="3568700"/>
            <a:ext cx="636728" cy="1562100"/>
            <a:chOff x="8530731" y="3568700"/>
            <a:chExt cx="636728" cy="1562100"/>
          </a:xfrm>
        </xdr:grpSpPr>
        <xdr:cxnSp macro="">
          <xdr:nvCxnSpPr>
            <xdr:cNvPr id="44" name="Conector Reto 43"/>
            <xdr:cNvCxnSpPr>
              <a:stCxn id="13" idx="3"/>
            </xdr:cNvCxnSpPr>
          </xdr:nvCxnSpPr>
          <xdr:spPr>
            <a:xfrm>
              <a:off x="8530731" y="4517672"/>
              <a:ext cx="283069" cy="352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Conector Reto 48"/>
            <xdr:cNvCxnSpPr/>
          </xdr:nvCxnSpPr>
          <xdr:spPr>
            <a:xfrm flipH="1">
              <a:off x="8813800" y="3568700"/>
              <a:ext cx="12700" cy="15621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Conector de Seta Reta 53"/>
            <xdr:cNvCxnSpPr/>
          </xdr:nvCxnSpPr>
          <xdr:spPr>
            <a:xfrm>
              <a:off x="8813800" y="35687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58" name="Conector de Seta Reta 57"/>
          <xdr:cNvCxnSpPr/>
        </xdr:nvCxnSpPr>
        <xdr:spPr>
          <a:xfrm>
            <a:off x="8797431" y="44450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ector de Seta Reta 58"/>
          <xdr:cNvCxnSpPr/>
        </xdr:nvCxnSpPr>
        <xdr:spPr>
          <a:xfrm>
            <a:off x="8810131" y="51308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38100</xdr:colOff>
      <xdr:row>4</xdr:row>
      <xdr:rowOff>120650</xdr:rowOff>
    </xdr:from>
    <xdr:to>
      <xdr:col>9</xdr:col>
      <xdr:colOff>660400</xdr:colOff>
      <xdr:row>4</xdr:row>
      <xdr:rowOff>127000</xdr:rowOff>
    </xdr:to>
    <xdr:cxnSp macro="">
      <xdr:nvCxnSpPr>
        <xdr:cNvPr id="61" name="Conector de Seta Reta 60"/>
        <xdr:cNvCxnSpPr>
          <a:endCxn id="8" idx="1"/>
        </xdr:cNvCxnSpPr>
      </xdr:nvCxnSpPr>
      <xdr:spPr>
        <a:xfrm flipV="1">
          <a:off x="8521700" y="1123950"/>
          <a:ext cx="622300" cy="635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544286</xdr:colOff>
      <xdr:row>0</xdr:row>
      <xdr:rowOff>181429</xdr:rowOff>
    </xdr:from>
    <xdr:to>
      <xdr:col>1</xdr:col>
      <xdr:colOff>934679</xdr:colOff>
      <xdr:row>1</xdr:row>
      <xdr:rowOff>216052</xdr:rowOff>
    </xdr:to>
    <xdr:pic>
      <xdr:nvPicPr>
        <xdr:cNvPr id="35" name="Imagem 34"/>
        <xdr:cNvPicPr>
          <a:picLocks noChangeAspect="1"/>
        </xdr:cNvPicPr>
      </xdr:nvPicPr>
      <xdr:blipFill>
        <a:blip xmlns:r="http://schemas.openxmlformats.org/officeDocument/2006/relationships" r:embed="rId3"/>
        <a:stretch>
          <a:fillRect/>
        </a:stretch>
      </xdr:blipFill>
      <xdr:spPr>
        <a:xfrm>
          <a:off x="544286" y="181429"/>
          <a:ext cx="1041401" cy="22672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xdr:colOff>
      <xdr:row>0</xdr:row>
      <xdr:rowOff>93870</xdr:rowOff>
    </xdr:from>
    <xdr:to>
      <xdr:col>23</xdr:col>
      <xdr:colOff>149678</xdr:colOff>
      <xdr:row>2</xdr:row>
      <xdr:rowOff>41916</xdr:rowOff>
    </xdr:to>
    <xdr:sp macro="" textlink="">
      <xdr:nvSpPr>
        <xdr:cNvPr id="48" name="Text Box 1"/>
        <xdr:cNvSpPr txBox="1">
          <a:spLocks noChangeArrowheads="1"/>
        </xdr:cNvSpPr>
      </xdr:nvSpPr>
      <xdr:spPr bwMode="auto">
        <a:xfrm>
          <a:off x="1" y="93870"/>
          <a:ext cx="19077213" cy="35626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Análise da Eficiência dos Processos Produtivos</a:t>
          </a:r>
        </a:p>
      </xdr:txBody>
    </xdr:sp>
    <xdr:clientData/>
  </xdr:twoCellAnchor>
  <xdr:twoCellAnchor>
    <xdr:from>
      <xdr:col>17</xdr:col>
      <xdr:colOff>911412</xdr:colOff>
      <xdr:row>34</xdr:row>
      <xdr:rowOff>149412</xdr:rowOff>
    </xdr:from>
    <xdr:to>
      <xdr:col>22</xdr:col>
      <xdr:colOff>104587</xdr:colOff>
      <xdr:row>37</xdr:row>
      <xdr:rowOff>89650</xdr:rowOff>
    </xdr:to>
    <xdr:grpSp>
      <xdr:nvGrpSpPr>
        <xdr:cNvPr id="49" name="Grupo 48"/>
        <xdr:cNvGrpSpPr/>
      </xdr:nvGrpSpPr>
      <xdr:grpSpPr>
        <a:xfrm>
          <a:off x="16390687" y="7033180"/>
          <a:ext cx="4144335" cy="547629"/>
          <a:chOff x="16435294" y="7261412"/>
          <a:chExt cx="4138705" cy="567767"/>
        </a:xfrm>
        <a:solidFill>
          <a:schemeClr val="accent5"/>
        </a:solidFill>
      </xdr:grpSpPr>
      <xdr:sp macro="" textlink="">
        <xdr:nvSpPr>
          <xdr:cNvPr id="55" name="Arredondar Retângulo em um Canto Diagonal 54">
            <a:hlinkClick xmlns:r="http://schemas.openxmlformats.org/officeDocument/2006/relationships" r:id="rId1"/>
          </xdr:cNvPr>
          <xdr:cNvSpPr/>
        </xdr:nvSpPr>
        <xdr:spPr>
          <a:xfrm>
            <a:off x="17913961" y="7339734"/>
            <a:ext cx="1053329" cy="369663"/>
          </a:xfrm>
          <a:prstGeom prst="round2DiagRect">
            <a:avLst>
              <a:gd name="adj1" fmla="val 16667"/>
              <a:gd name="adj2" fmla="val 12264"/>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56" name="Triângulo isósceles 55">
            <a:hlinkClick xmlns:r="http://schemas.openxmlformats.org/officeDocument/2006/relationships" r:id="rId2"/>
          </xdr:cNvPr>
          <xdr:cNvSpPr/>
        </xdr:nvSpPr>
        <xdr:spPr>
          <a:xfrm rot="5400000">
            <a:off x="19535254" y="6790434"/>
            <a:ext cx="548912" cy="1528578"/>
          </a:xfrm>
          <a:prstGeom prs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50"/>
              <a:t>Proximo</a:t>
            </a:r>
          </a:p>
        </xdr:txBody>
      </xdr:sp>
      <xdr:sp macro="" textlink="">
        <xdr:nvSpPr>
          <xdr:cNvPr id="57" name="Triângulo isósceles 56">
            <a:hlinkClick xmlns:r="http://schemas.openxmlformats.org/officeDocument/2006/relationships" r:id="rId3"/>
          </xdr:cNvPr>
          <xdr:cNvSpPr/>
        </xdr:nvSpPr>
        <xdr:spPr>
          <a:xfrm rot="5400000" flipV="1">
            <a:off x="16865681" y="6831025"/>
            <a:ext cx="533338" cy="1394112"/>
          </a:xfrm>
          <a:prstGeom prs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1050"/>
              <a:t>Anterior</a:t>
            </a:r>
          </a:p>
        </xdr:txBody>
      </xdr:sp>
    </xdr:grpSp>
    <xdr:clientData/>
  </xdr:twoCellAnchor>
  <xdr:twoCellAnchor>
    <xdr:from>
      <xdr:col>6</xdr:col>
      <xdr:colOff>463177</xdr:colOff>
      <xdr:row>10</xdr:row>
      <xdr:rowOff>14941</xdr:rowOff>
    </xdr:from>
    <xdr:to>
      <xdr:col>7</xdr:col>
      <xdr:colOff>14942</xdr:colOff>
      <xdr:row>10</xdr:row>
      <xdr:rowOff>14941</xdr:rowOff>
    </xdr:to>
    <xdr:cxnSp macro="">
      <xdr:nvCxnSpPr>
        <xdr:cNvPr id="59" name="Conector de Seta Reta 58"/>
        <xdr:cNvCxnSpPr/>
      </xdr:nvCxnSpPr>
      <xdr:spPr>
        <a:xfrm flipH="1">
          <a:off x="6260353" y="2106706"/>
          <a:ext cx="62753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313765</xdr:colOff>
      <xdr:row>9</xdr:row>
      <xdr:rowOff>17930</xdr:rowOff>
    </xdr:from>
    <xdr:to>
      <xdr:col>3</xdr:col>
      <xdr:colOff>2989</xdr:colOff>
      <xdr:row>9</xdr:row>
      <xdr:rowOff>29883</xdr:rowOff>
    </xdr:to>
    <xdr:cxnSp macro="">
      <xdr:nvCxnSpPr>
        <xdr:cNvPr id="60" name="Conector de Seta Reta 59"/>
        <xdr:cNvCxnSpPr/>
      </xdr:nvCxnSpPr>
      <xdr:spPr>
        <a:xfrm flipH="1">
          <a:off x="2211294" y="1900518"/>
          <a:ext cx="510989" cy="119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298824</xdr:colOff>
      <xdr:row>12</xdr:row>
      <xdr:rowOff>5976</xdr:rowOff>
    </xdr:from>
    <xdr:to>
      <xdr:col>3</xdr:col>
      <xdr:colOff>20918</xdr:colOff>
      <xdr:row>12</xdr:row>
      <xdr:rowOff>5976</xdr:rowOff>
    </xdr:to>
    <xdr:cxnSp macro="">
      <xdr:nvCxnSpPr>
        <xdr:cNvPr id="61" name="Conector de Seta Reta 60"/>
        <xdr:cNvCxnSpPr/>
      </xdr:nvCxnSpPr>
      <xdr:spPr>
        <a:xfrm flipH="1">
          <a:off x="2196353" y="2516094"/>
          <a:ext cx="54385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283883</xdr:colOff>
      <xdr:row>14</xdr:row>
      <xdr:rowOff>203200</xdr:rowOff>
    </xdr:from>
    <xdr:to>
      <xdr:col>2</xdr:col>
      <xdr:colOff>815789</xdr:colOff>
      <xdr:row>14</xdr:row>
      <xdr:rowOff>203200</xdr:rowOff>
    </xdr:to>
    <xdr:cxnSp macro="">
      <xdr:nvCxnSpPr>
        <xdr:cNvPr id="62" name="Conector de Seta Reta 61"/>
        <xdr:cNvCxnSpPr/>
      </xdr:nvCxnSpPr>
      <xdr:spPr>
        <a:xfrm flipH="1">
          <a:off x="2181412" y="3131671"/>
          <a:ext cx="53190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418353</xdr:colOff>
      <xdr:row>6</xdr:row>
      <xdr:rowOff>35859</xdr:rowOff>
    </xdr:from>
    <xdr:to>
      <xdr:col>10</xdr:col>
      <xdr:colOff>1141508</xdr:colOff>
      <xdr:row>6</xdr:row>
      <xdr:rowOff>44823</xdr:rowOff>
    </xdr:to>
    <xdr:cxnSp macro="">
      <xdr:nvCxnSpPr>
        <xdr:cNvPr id="66" name="Conector de Seta Reta 65"/>
        <xdr:cNvCxnSpPr/>
      </xdr:nvCxnSpPr>
      <xdr:spPr>
        <a:xfrm flipH="1">
          <a:off x="10668000" y="1290918"/>
          <a:ext cx="723155" cy="896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448235</xdr:colOff>
      <xdr:row>9</xdr:row>
      <xdr:rowOff>14941</xdr:rowOff>
    </xdr:from>
    <xdr:to>
      <xdr:col>11</xdr:col>
      <xdr:colOff>8967</xdr:colOff>
      <xdr:row>9</xdr:row>
      <xdr:rowOff>23907</xdr:rowOff>
    </xdr:to>
    <xdr:cxnSp macro="">
      <xdr:nvCxnSpPr>
        <xdr:cNvPr id="67" name="Conector de Seta Reta 66"/>
        <xdr:cNvCxnSpPr/>
      </xdr:nvCxnSpPr>
      <xdr:spPr>
        <a:xfrm flipH="1" flipV="1">
          <a:off x="10697882" y="1897529"/>
          <a:ext cx="711203" cy="896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463177</xdr:colOff>
      <xdr:row>12</xdr:row>
      <xdr:rowOff>11953</xdr:rowOff>
    </xdr:from>
    <xdr:to>
      <xdr:col>10</xdr:col>
      <xdr:colOff>1132542</xdr:colOff>
      <xdr:row>12</xdr:row>
      <xdr:rowOff>14941</xdr:rowOff>
    </xdr:to>
    <xdr:cxnSp macro="">
      <xdr:nvCxnSpPr>
        <xdr:cNvPr id="68" name="Conector de Seta Reta 67"/>
        <xdr:cNvCxnSpPr/>
      </xdr:nvCxnSpPr>
      <xdr:spPr>
        <a:xfrm flipH="1">
          <a:off x="10712824" y="2522071"/>
          <a:ext cx="669365"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448235</xdr:colOff>
      <xdr:row>21</xdr:row>
      <xdr:rowOff>29881</xdr:rowOff>
    </xdr:from>
    <xdr:to>
      <xdr:col>10</xdr:col>
      <xdr:colOff>1138520</xdr:colOff>
      <xdr:row>21</xdr:row>
      <xdr:rowOff>29881</xdr:rowOff>
    </xdr:to>
    <xdr:cxnSp macro="">
      <xdr:nvCxnSpPr>
        <xdr:cNvPr id="75" name="Conector de Seta Reta 74"/>
        <xdr:cNvCxnSpPr/>
      </xdr:nvCxnSpPr>
      <xdr:spPr>
        <a:xfrm flipH="1">
          <a:off x="10697882" y="4422587"/>
          <a:ext cx="69028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493059</xdr:colOff>
      <xdr:row>24</xdr:row>
      <xdr:rowOff>17929</xdr:rowOff>
    </xdr:from>
    <xdr:to>
      <xdr:col>11</xdr:col>
      <xdr:colOff>5977</xdr:colOff>
      <xdr:row>24</xdr:row>
      <xdr:rowOff>17929</xdr:rowOff>
    </xdr:to>
    <xdr:cxnSp macro="">
      <xdr:nvCxnSpPr>
        <xdr:cNvPr id="76" name="Conector de Seta Reta 75"/>
        <xdr:cNvCxnSpPr/>
      </xdr:nvCxnSpPr>
      <xdr:spPr>
        <a:xfrm flipH="1">
          <a:off x="10742706" y="5038164"/>
          <a:ext cx="66338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463177</xdr:colOff>
      <xdr:row>27</xdr:row>
      <xdr:rowOff>5975</xdr:rowOff>
    </xdr:from>
    <xdr:to>
      <xdr:col>10</xdr:col>
      <xdr:colOff>1129553</xdr:colOff>
      <xdr:row>27</xdr:row>
      <xdr:rowOff>5975</xdr:rowOff>
    </xdr:to>
    <xdr:cxnSp macro="">
      <xdr:nvCxnSpPr>
        <xdr:cNvPr id="77" name="Conector de Seta Reta 76"/>
        <xdr:cNvCxnSpPr/>
      </xdr:nvCxnSpPr>
      <xdr:spPr>
        <a:xfrm flipH="1">
          <a:off x="10712824" y="5653740"/>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391459</xdr:colOff>
      <xdr:row>22</xdr:row>
      <xdr:rowOff>2987</xdr:rowOff>
    </xdr:from>
    <xdr:to>
      <xdr:col>7</xdr:col>
      <xdr:colOff>5979</xdr:colOff>
      <xdr:row>22</xdr:row>
      <xdr:rowOff>2987</xdr:rowOff>
    </xdr:to>
    <xdr:cxnSp macro="">
      <xdr:nvCxnSpPr>
        <xdr:cNvPr id="84" name="Conector de Seta Reta 83"/>
        <xdr:cNvCxnSpPr/>
      </xdr:nvCxnSpPr>
      <xdr:spPr>
        <a:xfrm flipH="1">
          <a:off x="6188635" y="4604869"/>
          <a:ext cx="69028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436283</xdr:colOff>
      <xdr:row>24</xdr:row>
      <xdr:rowOff>200211</xdr:rowOff>
    </xdr:from>
    <xdr:to>
      <xdr:col>7</xdr:col>
      <xdr:colOff>23907</xdr:colOff>
      <xdr:row>24</xdr:row>
      <xdr:rowOff>200211</xdr:rowOff>
    </xdr:to>
    <xdr:cxnSp macro="">
      <xdr:nvCxnSpPr>
        <xdr:cNvPr id="85" name="Conector de Seta Reta 84"/>
        <xdr:cNvCxnSpPr/>
      </xdr:nvCxnSpPr>
      <xdr:spPr>
        <a:xfrm flipH="1">
          <a:off x="6233459" y="5220446"/>
          <a:ext cx="66338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406401</xdr:colOff>
      <xdr:row>27</xdr:row>
      <xdr:rowOff>188257</xdr:rowOff>
    </xdr:from>
    <xdr:to>
      <xdr:col>6</xdr:col>
      <xdr:colOff>1072777</xdr:colOff>
      <xdr:row>27</xdr:row>
      <xdr:rowOff>188257</xdr:rowOff>
    </xdr:to>
    <xdr:cxnSp macro="">
      <xdr:nvCxnSpPr>
        <xdr:cNvPr id="86" name="Conector de Seta Reta 85"/>
        <xdr:cNvCxnSpPr/>
      </xdr:nvCxnSpPr>
      <xdr:spPr>
        <a:xfrm flipH="1">
          <a:off x="6203577" y="5836022"/>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424330</xdr:colOff>
      <xdr:row>30</xdr:row>
      <xdr:rowOff>206187</xdr:rowOff>
    </xdr:from>
    <xdr:to>
      <xdr:col>7</xdr:col>
      <xdr:colOff>14941</xdr:colOff>
      <xdr:row>30</xdr:row>
      <xdr:rowOff>206187</xdr:rowOff>
    </xdr:to>
    <xdr:cxnSp macro="">
      <xdr:nvCxnSpPr>
        <xdr:cNvPr id="87" name="Conector de Seta Reta 86"/>
        <xdr:cNvCxnSpPr/>
      </xdr:nvCxnSpPr>
      <xdr:spPr>
        <a:xfrm flipH="1">
          <a:off x="6221506" y="6481481"/>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292847</xdr:colOff>
      <xdr:row>21</xdr:row>
      <xdr:rowOff>209175</xdr:rowOff>
    </xdr:from>
    <xdr:to>
      <xdr:col>3</xdr:col>
      <xdr:colOff>137458</xdr:colOff>
      <xdr:row>21</xdr:row>
      <xdr:rowOff>209175</xdr:rowOff>
    </xdr:to>
    <xdr:cxnSp macro="">
      <xdr:nvCxnSpPr>
        <xdr:cNvPr id="88" name="Conector de Seta Reta 87"/>
        <xdr:cNvCxnSpPr/>
      </xdr:nvCxnSpPr>
      <xdr:spPr>
        <a:xfrm flipH="1">
          <a:off x="2190376" y="4601881"/>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59764</xdr:colOff>
      <xdr:row>18</xdr:row>
      <xdr:rowOff>209176</xdr:rowOff>
    </xdr:from>
    <xdr:to>
      <xdr:col>16</xdr:col>
      <xdr:colOff>433294</xdr:colOff>
      <xdr:row>18</xdr:row>
      <xdr:rowOff>209176</xdr:rowOff>
    </xdr:to>
    <xdr:cxnSp macro="">
      <xdr:nvCxnSpPr>
        <xdr:cNvPr id="89" name="Conector de Seta Reta 88"/>
        <xdr:cNvCxnSpPr/>
      </xdr:nvCxnSpPr>
      <xdr:spPr>
        <a:xfrm flipH="1" flipV="1">
          <a:off x="15135411" y="3974352"/>
          <a:ext cx="37353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2990</xdr:colOff>
      <xdr:row>9</xdr:row>
      <xdr:rowOff>14942</xdr:rowOff>
    </xdr:from>
    <xdr:to>
      <xdr:col>6</xdr:col>
      <xdr:colOff>388472</xdr:colOff>
      <xdr:row>9</xdr:row>
      <xdr:rowOff>17930</xdr:rowOff>
    </xdr:to>
    <xdr:cxnSp macro="">
      <xdr:nvCxnSpPr>
        <xdr:cNvPr id="91" name="Conector de Seta Reta 90"/>
        <xdr:cNvCxnSpPr/>
      </xdr:nvCxnSpPr>
      <xdr:spPr>
        <a:xfrm flipV="1">
          <a:off x="5800166" y="1897530"/>
          <a:ext cx="385482"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20919</xdr:colOff>
      <xdr:row>7</xdr:row>
      <xdr:rowOff>17930</xdr:rowOff>
    </xdr:from>
    <xdr:to>
      <xdr:col>10</xdr:col>
      <xdr:colOff>406401</xdr:colOff>
      <xdr:row>7</xdr:row>
      <xdr:rowOff>20918</xdr:rowOff>
    </xdr:to>
    <xdr:cxnSp macro="">
      <xdr:nvCxnSpPr>
        <xdr:cNvPr id="93" name="Conector de Seta Reta 92"/>
        <xdr:cNvCxnSpPr/>
      </xdr:nvCxnSpPr>
      <xdr:spPr>
        <a:xfrm flipV="1">
          <a:off x="10270566" y="1482165"/>
          <a:ext cx="385482"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14942</xdr:colOff>
      <xdr:row>9</xdr:row>
      <xdr:rowOff>5977</xdr:rowOff>
    </xdr:from>
    <xdr:to>
      <xdr:col>2</xdr:col>
      <xdr:colOff>274919</xdr:colOff>
      <xdr:row>9</xdr:row>
      <xdr:rowOff>5977</xdr:rowOff>
    </xdr:to>
    <xdr:cxnSp macro="">
      <xdr:nvCxnSpPr>
        <xdr:cNvPr id="94" name="Conector de Seta Reta 93"/>
        <xdr:cNvCxnSpPr/>
      </xdr:nvCxnSpPr>
      <xdr:spPr>
        <a:xfrm flipV="1">
          <a:off x="1912471" y="1888565"/>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1646518</xdr:colOff>
      <xdr:row>13</xdr:row>
      <xdr:rowOff>8965</xdr:rowOff>
    </xdr:from>
    <xdr:to>
      <xdr:col>2</xdr:col>
      <xdr:colOff>248025</xdr:colOff>
      <xdr:row>13</xdr:row>
      <xdr:rowOff>8965</xdr:rowOff>
    </xdr:to>
    <xdr:cxnSp macro="">
      <xdr:nvCxnSpPr>
        <xdr:cNvPr id="96" name="Conector de Seta Reta 95"/>
        <xdr:cNvCxnSpPr/>
      </xdr:nvCxnSpPr>
      <xdr:spPr>
        <a:xfrm flipV="1">
          <a:off x="1885577" y="2728259"/>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17930</xdr:colOff>
      <xdr:row>22</xdr:row>
      <xdr:rowOff>23907</xdr:rowOff>
    </xdr:from>
    <xdr:to>
      <xdr:col>2</xdr:col>
      <xdr:colOff>277907</xdr:colOff>
      <xdr:row>22</xdr:row>
      <xdr:rowOff>23907</xdr:rowOff>
    </xdr:to>
    <xdr:cxnSp macro="">
      <xdr:nvCxnSpPr>
        <xdr:cNvPr id="97" name="Conector de Seta Reta 96"/>
        <xdr:cNvCxnSpPr/>
      </xdr:nvCxnSpPr>
      <xdr:spPr>
        <a:xfrm flipV="1">
          <a:off x="1915459" y="4625789"/>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5977</xdr:colOff>
      <xdr:row>25</xdr:row>
      <xdr:rowOff>26895</xdr:rowOff>
    </xdr:from>
    <xdr:to>
      <xdr:col>2</xdr:col>
      <xdr:colOff>265954</xdr:colOff>
      <xdr:row>25</xdr:row>
      <xdr:rowOff>26895</xdr:rowOff>
    </xdr:to>
    <xdr:cxnSp macro="">
      <xdr:nvCxnSpPr>
        <xdr:cNvPr id="98" name="Conector de Seta Reta 97"/>
        <xdr:cNvCxnSpPr/>
      </xdr:nvCxnSpPr>
      <xdr:spPr>
        <a:xfrm flipV="1">
          <a:off x="1903506" y="5256307"/>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17930</xdr:colOff>
      <xdr:row>28</xdr:row>
      <xdr:rowOff>11954</xdr:rowOff>
    </xdr:from>
    <xdr:to>
      <xdr:col>2</xdr:col>
      <xdr:colOff>277907</xdr:colOff>
      <xdr:row>28</xdr:row>
      <xdr:rowOff>11954</xdr:rowOff>
    </xdr:to>
    <xdr:cxnSp macro="">
      <xdr:nvCxnSpPr>
        <xdr:cNvPr id="99" name="Conector de Seta Reta 98"/>
        <xdr:cNvCxnSpPr/>
      </xdr:nvCxnSpPr>
      <xdr:spPr>
        <a:xfrm flipV="1">
          <a:off x="1915459" y="5868895"/>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5978</xdr:colOff>
      <xdr:row>22</xdr:row>
      <xdr:rowOff>14942</xdr:rowOff>
    </xdr:from>
    <xdr:to>
      <xdr:col>6</xdr:col>
      <xdr:colOff>388471</xdr:colOff>
      <xdr:row>22</xdr:row>
      <xdr:rowOff>14942</xdr:rowOff>
    </xdr:to>
    <xdr:cxnSp macro="">
      <xdr:nvCxnSpPr>
        <xdr:cNvPr id="100" name="Conector de Seta Reta 99"/>
        <xdr:cNvCxnSpPr/>
      </xdr:nvCxnSpPr>
      <xdr:spPr>
        <a:xfrm>
          <a:off x="5803154" y="4616824"/>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8966</xdr:colOff>
      <xdr:row>25</xdr:row>
      <xdr:rowOff>2988</xdr:rowOff>
    </xdr:from>
    <xdr:to>
      <xdr:col>6</xdr:col>
      <xdr:colOff>391459</xdr:colOff>
      <xdr:row>25</xdr:row>
      <xdr:rowOff>2988</xdr:rowOff>
    </xdr:to>
    <xdr:cxnSp macro="">
      <xdr:nvCxnSpPr>
        <xdr:cNvPr id="102" name="Conector de Seta Reta 101"/>
        <xdr:cNvCxnSpPr/>
      </xdr:nvCxnSpPr>
      <xdr:spPr>
        <a:xfrm>
          <a:off x="5806142" y="5232400"/>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8965</xdr:colOff>
      <xdr:row>21</xdr:row>
      <xdr:rowOff>17929</xdr:rowOff>
    </xdr:from>
    <xdr:to>
      <xdr:col>10</xdr:col>
      <xdr:colOff>391458</xdr:colOff>
      <xdr:row>21</xdr:row>
      <xdr:rowOff>17929</xdr:rowOff>
    </xdr:to>
    <xdr:cxnSp macro="">
      <xdr:nvCxnSpPr>
        <xdr:cNvPr id="103" name="Conector de Seta Reta 102"/>
        <xdr:cNvCxnSpPr/>
      </xdr:nvCxnSpPr>
      <xdr:spPr>
        <a:xfrm>
          <a:off x="10258612" y="4410635"/>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11953</xdr:colOff>
      <xdr:row>24</xdr:row>
      <xdr:rowOff>5976</xdr:rowOff>
    </xdr:from>
    <xdr:to>
      <xdr:col>10</xdr:col>
      <xdr:colOff>394446</xdr:colOff>
      <xdr:row>24</xdr:row>
      <xdr:rowOff>5976</xdr:rowOff>
    </xdr:to>
    <xdr:cxnSp macro="">
      <xdr:nvCxnSpPr>
        <xdr:cNvPr id="104" name="Conector de Seta Reta 103"/>
        <xdr:cNvCxnSpPr/>
      </xdr:nvCxnSpPr>
      <xdr:spPr>
        <a:xfrm>
          <a:off x="10261600" y="5026211"/>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26895</xdr:colOff>
      <xdr:row>27</xdr:row>
      <xdr:rowOff>5976</xdr:rowOff>
    </xdr:from>
    <xdr:to>
      <xdr:col>10</xdr:col>
      <xdr:colOff>409388</xdr:colOff>
      <xdr:row>27</xdr:row>
      <xdr:rowOff>5976</xdr:rowOff>
    </xdr:to>
    <xdr:cxnSp macro="">
      <xdr:nvCxnSpPr>
        <xdr:cNvPr id="105" name="Conector de Seta Reta 104"/>
        <xdr:cNvCxnSpPr/>
      </xdr:nvCxnSpPr>
      <xdr:spPr>
        <a:xfrm>
          <a:off x="10276542" y="5653741"/>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29883</xdr:colOff>
      <xdr:row>29</xdr:row>
      <xdr:rowOff>203199</xdr:rowOff>
    </xdr:from>
    <xdr:to>
      <xdr:col>10</xdr:col>
      <xdr:colOff>412376</xdr:colOff>
      <xdr:row>29</xdr:row>
      <xdr:rowOff>203199</xdr:rowOff>
    </xdr:to>
    <xdr:cxnSp macro="">
      <xdr:nvCxnSpPr>
        <xdr:cNvPr id="106" name="Conector de Seta Reta 105"/>
        <xdr:cNvCxnSpPr/>
      </xdr:nvCxnSpPr>
      <xdr:spPr>
        <a:xfrm>
          <a:off x="10279530" y="6269317"/>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493059</xdr:colOff>
      <xdr:row>19</xdr:row>
      <xdr:rowOff>14941</xdr:rowOff>
    </xdr:from>
    <xdr:to>
      <xdr:col>14</xdr:col>
      <xdr:colOff>38847</xdr:colOff>
      <xdr:row>19</xdr:row>
      <xdr:rowOff>14941</xdr:rowOff>
    </xdr:to>
    <xdr:cxnSp macro="">
      <xdr:nvCxnSpPr>
        <xdr:cNvPr id="107" name="Conector de Seta Reta 106"/>
        <xdr:cNvCxnSpPr/>
      </xdr:nvCxnSpPr>
      <xdr:spPr>
        <a:xfrm flipV="1">
          <a:off x="732118" y="3989294"/>
          <a:ext cx="13052611"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268942</xdr:colOff>
      <xdr:row>4</xdr:row>
      <xdr:rowOff>0</xdr:rowOff>
    </xdr:from>
    <xdr:to>
      <xdr:col>2</xdr:col>
      <xdr:colOff>283884</xdr:colOff>
      <xdr:row>18</xdr:row>
      <xdr:rowOff>176247</xdr:rowOff>
    </xdr:to>
    <xdr:cxnSp macro="">
      <xdr:nvCxnSpPr>
        <xdr:cNvPr id="110" name="Conector de Seta Reta 109"/>
        <xdr:cNvCxnSpPr/>
      </xdr:nvCxnSpPr>
      <xdr:spPr>
        <a:xfrm>
          <a:off x="2166471" y="836706"/>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421342</xdr:colOff>
      <xdr:row>4</xdr:row>
      <xdr:rowOff>2988</xdr:rowOff>
    </xdr:from>
    <xdr:to>
      <xdr:col>6</xdr:col>
      <xdr:colOff>436284</xdr:colOff>
      <xdr:row>18</xdr:row>
      <xdr:rowOff>179235</xdr:rowOff>
    </xdr:to>
    <xdr:cxnSp macro="">
      <xdr:nvCxnSpPr>
        <xdr:cNvPr id="115" name="Conector de Seta Reta 114"/>
        <xdr:cNvCxnSpPr/>
      </xdr:nvCxnSpPr>
      <xdr:spPr>
        <a:xfrm>
          <a:off x="6218518" y="839694"/>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418353</xdr:colOff>
      <xdr:row>4</xdr:row>
      <xdr:rowOff>14942</xdr:rowOff>
    </xdr:from>
    <xdr:to>
      <xdr:col>10</xdr:col>
      <xdr:colOff>433295</xdr:colOff>
      <xdr:row>18</xdr:row>
      <xdr:rowOff>191189</xdr:rowOff>
    </xdr:to>
    <xdr:cxnSp macro="">
      <xdr:nvCxnSpPr>
        <xdr:cNvPr id="116" name="Conector de Seta Reta 115"/>
        <xdr:cNvCxnSpPr/>
      </xdr:nvCxnSpPr>
      <xdr:spPr>
        <a:xfrm>
          <a:off x="10668000" y="851648"/>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298824</xdr:colOff>
      <xdr:row>19</xdr:row>
      <xdr:rowOff>41777</xdr:rowOff>
    </xdr:from>
    <xdr:to>
      <xdr:col>2</xdr:col>
      <xdr:colOff>298825</xdr:colOff>
      <xdr:row>33</xdr:row>
      <xdr:rowOff>30242</xdr:rowOff>
    </xdr:to>
    <xdr:cxnSp macro="">
      <xdr:nvCxnSpPr>
        <xdr:cNvPr id="117" name="Conector de Seta Reta 116"/>
        <xdr:cNvCxnSpPr/>
      </xdr:nvCxnSpPr>
      <xdr:spPr>
        <a:xfrm flipV="1">
          <a:off x="2196353" y="4016130"/>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403412</xdr:colOff>
      <xdr:row>19</xdr:row>
      <xdr:rowOff>44823</xdr:rowOff>
    </xdr:from>
    <xdr:to>
      <xdr:col>6</xdr:col>
      <xdr:colOff>403413</xdr:colOff>
      <xdr:row>33</xdr:row>
      <xdr:rowOff>33288</xdr:rowOff>
    </xdr:to>
    <xdr:cxnSp macro="">
      <xdr:nvCxnSpPr>
        <xdr:cNvPr id="120" name="Conector de Seta Reta 119"/>
        <xdr:cNvCxnSpPr/>
      </xdr:nvCxnSpPr>
      <xdr:spPr>
        <a:xfrm flipV="1">
          <a:off x="6200588" y="4019176"/>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433295</xdr:colOff>
      <xdr:row>19</xdr:row>
      <xdr:rowOff>29882</xdr:rowOff>
    </xdr:from>
    <xdr:to>
      <xdr:col>10</xdr:col>
      <xdr:colOff>433296</xdr:colOff>
      <xdr:row>33</xdr:row>
      <xdr:rowOff>18347</xdr:rowOff>
    </xdr:to>
    <xdr:cxnSp macro="">
      <xdr:nvCxnSpPr>
        <xdr:cNvPr id="121" name="Conector de Seta Reta 120"/>
        <xdr:cNvCxnSpPr/>
      </xdr:nvCxnSpPr>
      <xdr:spPr>
        <a:xfrm flipV="1">
          <a:off x="10682942" y="4004235"/>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14941</xdr:colOff>
      <xdr:row>5</xdr:row>
      <xdr:rowOff>179295</xdr:rowOff>
    </xdr:from>
    <xdr:to>
      <xdr:col>21</xdr:col>
      <xdr:colOff>8965</xdr:colOff>
      <xdr:row>16</xdr:row>
      <xdr:rowOff>20916</xdr:rowOff>
    </xdr:to>
    <xdr:grpSp>
      <xdr:nvGrpSpPr>
        <xdr:cNvPr id="132" name="Grupo 131"/>
        <xdr:cNvGrpSpPr/>
      </xdr:nvGrpSpPr>
      <xdr:grpSpPr>
        <a:xfrm>
          <a:off x="18439144" y="1191614"/>
          <a:ext cx="583009" cy="2068722"/>
          <a:chOff x="18497176" y="1225177"/>
          <a:chExt cx="576730" cy="2142563"/>
        </a:xfrm>
      </xdr:grpSpPr>
      <xdr:grpSp>
        <xdr:nvGrpSpPr>
          <xdr:cNvPr id="128" name="Grupo 127"/>
          <xdr:cNvGrpSpPr/>
        </xdr:nvGrpSpPr>
        <xdr:grpSpPr>
          <a:xfrm>
            <a:off x="18766118" y="1225177"/>
            <a:ext cx="307788" cy="2142563"/>
            <a:chOff x="18766118" y="1225177"/>
            <a:chExt cx="307788" cy="2142563"/>
          </a:xfrm>
        </xdr:grpSpPr>
        <xdr:cxnSp macro="">
          <xdr:nvCxnSpPr>
            <xdr:cNvPr id="122" name="Conector de Seta Reta 121"/>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4" name="Conector de Seta Reta 123"/>
            <xdr:cNvCxnSpPr/>
          </xdr:nvCxnSpPr>
          <xdr:spPr>
            <a:xfrm>
              <a:off x="18798989" y="2288987"/>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5" name="Conector de Seta Reta 124"/>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7" name="Conector Reto 126"/>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30" name="Conector Reto 129"/>
          <xdr:cNvCxnSpPr/>
        </xdr:nvCxnSpPr>
        <xdr:spPr>
          <a:xfrm>
            <a:off x="18497176" y="2211294"/>
            <a:ext cx="254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2988</xdr:colOff>
      <xdr:row>20</xdr:row>
      <xdr:rowOff>182283</xdr:rowOff>
    </xdr:from>
    <xdr:to>
      <xdr:col>20</xdr:col>
      <xdr:colOff>579718</xdr:colOff>
      <xdr:row>31</xdr:row>
      <xdr:rowOff>23904</xdr:rowOff>
    </xdr:to>
    <xdr:grpSp>
      <xdr:nvGrpSpPr>
        <xdr:cNvPr id="133" name="Grupo 132"/>
        <xdr:cNvGrpSpPr/>
      </xdr:nvGrpSpPr>
      <xdr:grpSpPr>
        <a:xfrm>
          <a:off x="18427191" y="4231558"/>
          <a:ext cx="576730" cy="2068723"/>
          <a:chOff x="18497176" y="1225177"/>
          <a:chExt cx="576730" cy="2142563"/>
        </a:xfrm>
      </xdr:grpSpPr>
      <xdr:grpSp>
        <xdr:nvGrpSpPr>
          <xdr:cNvPr id="134" name="Grupo 133"/>
          <xdr:cNvGrpSpPr/>
        </xdr:nvGrpSpPr>
        <xdr:grpSpPr>
          <a:xfrm>
            <a:off x="18766118" y="1225177"/>
            <a:ext cx="307788" cy="2142563"/>
            <a:chOff x="18766118" y="1225177"/>
            <a:chExt cx="307788" cy="2142563"/>
          </a:xfrm>
        </xdr:grpSpPr>
        <xdr:cxnSp macro="">
          <xdr:nvCxnSpPr>
            <xdr:cNvPr id="136" name="Conector de Seta Reta 135"/>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7" name="Conector de Seta Reta 136"/>
            <xdr:cNvCxnSpPr/>
          </xdr:nvCxnSpPr>
          <xdr:spPr>
            <a:xfrm>
              <a:off x="18798989" y="2288987"/>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8" name="Conector de Seta Reta 137"/>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9" name="Conector Reto 138"/>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35" name="Conector Reto 134"/>
          <xdr:cNvCxnSpPr/>
        </xdr:nvCxnSpPr>
        <xdr:spPr>
          <a:xfrm>
            <a:off x="18497176" y="2211294"/>
            <a:ext cx="254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20919</xdr:colOff>
      <xdr:row>10</xdr:row>
      <xdr:rowOff>119530</xdr:rowOff>
    </xdr:from>
    <xdr:to>
      <xdr:col>18</xdr:col>
      <xdr:colOff>325718</xdr:colOff>
      <xdr:row>25</xdr:row>
      <xdr:rowOff>119529</xdr:rowOff>
    </xdr:to>
    <xdr:grpSp>
      <xdr:nvGrpSpPr>
        <xdr:cNvPr id="141" name="Grupo 140"/>
        <xdr:cNvGrpSpPr/>
      </xdr:nvGrpSpPr>
      <xdr:grpSpPr>
        <a:xfrm>
          <a:off x="16991064" y="2144168"/>
          <a:ext cx="304799" cy="3036955"/>
          <a:chOff x="18766118" y="1225177"/>
          <a:chExt cx="304799" cy="2142563"/>
        </a:xfrm>
      </xdr:grpSpPr>
      <xdr:cxnSp macro="">
        <xdr:nvCxnSpPr>
          <xdr:cNvPr id="143" name="Conector de Seta Reta 142"/>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5" name="Conector de Seta Reta 144"/>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6" name="Conector Reto 145"/>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147247</xdr:colOff>
      <xdr:row>0</xdr:row>
      <xdr:rowOff>165652</xdr:rowOff>
    </xdr:from>
    <xdr:to>
      <xdr:col>1</xdr:col>
      <xdr:colOff>1188648</xdr:colOff>
      <xdr:row>1</xdr:row>
      <xdr:rowOff>189912</xdr:rowOff>
    </xdr:to>
    <xdr:pic>
      <xdr:nvPicPr>
        <xdr:cNvPr id="64" name="Imagem 63"/>
        <xdr:cNvPicPr>
          <a:picLocks noChangeAspect="1"/>
        </xdr:cNvPicPr>
      </xdr:nvPicPr>
      <xdr:blipFill>
        <a:blip xmlns:r="http://schemas.openxmlformats.org/officeDocument/2006/relationships" r:embed="rId4"/>
        <a:stretch>
          <a:fillRect/>
        </a:stretch>
      </xdr:blipFill>
      <xdr:spPr>
        <a:xfrm>
          <a:off x="386522" y="165652"/>
          <a:ext cx="1041401" cy="22672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836385</xdr:colOff>
      <xdr:row>9</xdr:row>
      <xdr:rowOff>85271</xdr:rowOff>
    </xdr:from>
    <xdr:to>
      <xdr:col>2</xdr:col>
      <xdr:colOff>57523</xdr:colOff>
      <xdr:row>14</xdr:row>
      <xdr:rowOff>114300</xdr:rowOff>
    </xdr:to>
    <xdr:sp macro="" textlink="">
      <xdr:nvSpPr>
        <xdr:cNvPr id="5" name="Oval 4"/>
        <xdr:cNvSpPr/>
      </xdr:nvSpPr>
      <xdr:spPr bwMode="auto">
        <a:xfrm>
          <a:off x="1496785" y="1888671"/>
          <a:ext cx="1088038" cy="1045029"/>
        </a:xfrm>
        <a:prstGeom prst="ellipse">
          <a:avLst/>
        </a:prstGeom>
        <a:solidFill>
          <a:schemeClr val="accent5"/>
        </a:solidFill>
        <a:ln w="9525" cap="flat" cmpd="sng" algn="ctr">
          <a:noFill/>
          <a:prstDash val="solid"/>
          <a:round/>
          <a:headEnd type="none" w="med" len="med"/>
          <a:tailEnd type="none" w="med" len="med"/>
        </a:ln>
        <a:effectLst/>
      </xdr:spPr>
      <xdr:txBody>
        <a:bodyPr wrap="square" anchor="ctr"/>
        <a:lstStyle/>
        <a:p>
          <a:pPr algn="ctr"/>
          <a:r>
            <a:rPr lang="en-US" sz="1200" b="1">
              <a:solidFill>
                <a:schemeClr val="bg1"/>
              </a:solidFill>
              <a:latin typeface="Arial"/>
              <a:cs typeface="Arial"/>
            </a:rPr>
            <a:t>Funcionários</a:t>
          </a:r>
        </a:p>
      </xdr:txBody>
    </xdr:sp>
    <xdr:clientData/>
  </xdr:twoCellAnchor>
  <xdr:twoCellAnchor>
    <xdr:from>
      <xdr:col>0</xdr:col>
      <xdr:colOff>0</xdr:colOff>
      <xdr:row>0</xdr:row>
      <xdr:rowOff>138545</xdr:rowOff>
    </xdr:from>
    <xdr:to>
      <xdr:col>7</xdr:col>
      <xdr:colOff>3797300</xdr:colOff>
      <xdr:row>2</xdr:row>
      <xdr:rowOff>163286</xdr:rowOff>
    </xdr:to>
    <xdr:sp macro="" textlink="">
      <xdr:nvSpPr>
        <xdr:cNvPr id="12" name="Text Box 1"/>
        <xdr:cNvSpPr txBox="1">
          <a:spLocks noChangeArrowheads="1"/>
        </xdr:cNvSpPr>
      </xdr:nvSpPr>
      <xdr:spPr bwMode="auto">
        <a:xfrm>
          <a:off x="0" y="138545"/>
          <a:ext cx="10680700" cy="405741"/>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PERSPECTIVAS DOS FUNCIONÁRIOS</a:t>
          </a:r>
        </a:p>
      </xdr:txBody>
    </xdr:sp>
    <xdr:clientData/>
  </xdr:twoCellAnchor>
  <xdr:oneCellAnchor>
    <xdr:from>
      <xdr:col>8</xdr:col>
      <xdr:colOff>0</xdr:colOff>
      <xdr:row>2</xdr:row>
      <xdr:rowOff>0</xdr:rowOff>
    </xdr:from>
    <xdr:ext cx="184731" cy="264560"/>
    <xdr:sp macro="" textlink="">
      <xdr:nvSpPr>
        <xdr:cNvPr id="20" name="CaixaDeTexto 12"/>
        <xdr:cNvSpPr txBox="1"/>
      </xdr:nvSpPr>
      <xdr:spPr>
        <a:xfrm>
          <a:off x="103609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21" name="CaixaDeTexto 23"/>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22" name="CaixaDeTexto 23"/>
        <xdr:cNvSpPr txBox="1"/>
      </xdr:nvSpPr>
      <xdr:spPr>
        <a:xfrm>
          <a:off x="159616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29" name="CaixaDeTexto 45"/>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0" name="CaixaDeTexto 46"/>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1" name="CaixaDeTexto 47"/>
        <xdr:cNvSpPr txBox="1"/>
      </xdr:nvSpPr>
      <xdr:spPr>
        <a:xfrm>
          <a:off x="103609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2" name="CaixaDeTexto 65"/>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3" name="CaixaDeTexto 66"/>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4" name="CaixaDeTexto 75"/>
        <xdr:cNvSpPr txBox="1"/>
      </xdr:nvSpPr>
      <xdr:spPr>
        <a:xfrm>
          <a:off x="103609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twoCellAnchor editAs="oneCell">
    <xdr:from>
      <xdr:col>7</xdr:col>
      <xdr:colOff>322729</xdr:colOff>
      <xdr:row>5</xdr:row>
      <xdr:rowOff>116663</xdr:rowOff>
    </xdr:from>
    <xdr:to>
      <xdr:col>7</xdr:col>
      <xdr:colOff>1983858</xdr:colOff>
      <xdr:row>9</xdr:row>
      <xdr:rowOff>47341</xdr:rowOff>
    </xdr:to>
    <xdr:pic>
      <xdr:nvPicPr>
        <xdr:cNvPr id="42" name="Imagem 4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06129" y="1107263"/>
          <a:ext cx="1661129" cy="743478"/>
        </a:xfrm>
        <a:prstGeom prst="rect">
          <a:avLst/>
        </a:prstGeom>
      </xdr:spPr>
    </xdr:pic>
    <xdr:clientData/>
  </xdr:twoCellAnchor>
  <xdr:twoCellAnchor>
    <xdr:from>
      <xdr:col>7</xdr:col>
      <xdr:colOff>260044</xdr:colOff>
      <xdr:row>11</xdr:row>
      <xdr:rowOff>31555</xdr:rowOff>
    </xdr:from>
    <xdr:to>
      <xdr:col>7</xdr:col>
      <xdr:colOff>2730500</xdr:colOff>
      <xdr:row>13</xdr:row>
      <xdr:rowOff>176376</xdr:rowOff>
    </xdr:to>
    <xdr:grpSp>
      <xdr:nvGrpSpPr>
        <xdr:cNvPr id="23" name="Grupo 22"/>
        <xdr:cNvGrpSpPr/>
      </xdr:nvGrpSpPr>
      <xdr:grpSpPr>
        <a:xfrm>
          <a:off x="7105344" y="2241355"/>
          <a:ext cx="2470456" cy="551221"/>
          <a:chOff x="17913961" y="7280267"/>
          <a:chExt cx="2660038" cy="548912"/>
        </a:xfrm>
        <a:solidFill>
          <a:schemeClr val="accent5"/>
        </a:solidFill>
      </xdr:grpSpPr>
      <xdr:sp macro="" textlink="">
        <xdr:nvSpPr>
          <xdr:cNvPr id="24" name="Arredondar Retângulo em um Canto Diagonal 54">
            <a:hlinkClick xmlns:r="http://schemas.openxmlformats.org/officeDocument/2006/relationships" r:id="rId2"/>
          </xdr:cNvPr>
          <xdr:cNvSpPr/>
        </xdr:nvSpPr>
        <xdr:spPr>
          <a:xfrm>
            <a:off x="17913961" y="7339734"/>
            <a:ext cx="1053329" cy="369663"/>
          </a:xfrm>
          <a:prstGeom prst="round2DiagRect">
            <a:avLst>
              <a:gd name="adj1" fmla="val 16667"/>
              <a:gd name="adj2" fmla="val 12264"/>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25" name="Triângulo isósceles 55">
            <a:hlinkClick xmlns:r="http://schemas.openxmlformats.org/officeDocument/2006/relationships" r:id="rId3"/>
          </xdr:cNvPr>
          <xdr:cNvSpPr/>
        </xdr:nvSpPr>
        <xdr:spPr>
          <a:xfrm rot="5400000">
            <a:off x="19535254" y="6790434"/>
            <a:ext cx="548912" cy="1528578"/>
          </a:xfrm>
          <a:prstGeom prs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50"/>
              <a:t>Proximo</a:t>
            </a:r>
          </a:p>
        </xdr:txBody>
      </xdr:sp>
    </xdr:grpSp>
    <xdr:clientData/>
  </xdr:twoCellAnchor>
  <xdr:twoCellAnchor>
    <xdr:from>
      <xdr:col>2</xdr:col>
      <xdr:colOff>57523</xdr:colOff>
      <xdr:row>6</xdr:row>
      <xdr:rowOff>144318</xdr:rowOff>
    </xdr:from>
    <xdr:to>
      <xdr:col>2</xdr:col>
      <xdr:colOff>721048</xdr:colOff>
      <xdr:row>22</xdr:row>
      <xdr:rowOff>187614</xdr:rowOff>
    </xdr:to>
    <xdr:grpSp>
      <xdr:nvGrpSpPr>
        <xdr:cNvPr id="27" name="Grupo 26"/>
        <xdr:cNvGrpSpPr/>
      </xdr:nvGrpSpPr>
      <xdr:grpSpPr>
        <a:xfrm>
          <a:off x="2584823" y="1338118"/>
          <a:ext cx="663525" cy="3294496"/>
          <a:chOff x="18410381" y="1225177"/>
          <a:chExt cx="663525" cy="2142563"/>
        </a:xfrm>
      </xdr:grpSpPr>
      <xdr:grpSp>
        <xdr:nvGrpSpPr>
          <xdr:cNvPr id="28" name="Grupo 27"/>
          <xdr:cNvGrpSpPr/>
        </xdr:nvGrpSpPr>
        <xdr:grpSpPr>
          <a:xfrm>
            <a:off x="18766118" y="1225177"/>
            <a:ext cx="307788" cy="2142563"/>
            <a:chOff x="18766118" y="1225177"/>
            <a:chExt cx="307788" cy="2142563"/>
          </a:xfrm>
        </xdr:grpSpPr>
        <xdr:cxnSp macro="">
          <xdr:nvCxnSpPr>
            <xdr:cNvPr id="36" name="Conector de Seta Reta 35"/>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7" name="Conector de Seta Reta 36"/>
            <xdr:cNvCxnSpPr/>
          </xdr:nvCxnSpPr>
          <xdr:spPr>
            <a:xfrm>
              <a:off x="18798989" y="1933511"/>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8" name="Conector de Seta Reta 37"/>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4" name="Conector Reto 43"/>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35" name="Conector Reto 34"/>
          <xdr:cNvCxnSpPr>
            <a:stCxn id="5" idx="6"/>
          </xdr:cNvCxnSpPr>
        </xdr:nvCxnSpPr>
        <xdr:spPr>
          <a:xfrm>
            <a:off x="18410381" y="1923043"/>
            <a:ext cx="361577" cy="118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443718</xdr:colOff>
      <xdr:row>17</xdr:row>
      <xdr:rowOff>158750</xdr:rowOff>
    </xdr:from>
    <xdr:to>
      <xdr:col>2</xdr:col>
      <xdr:colOff>718635</xdr:colOff>
      <xdr:row>17</xdr:row>
      <xdr:rowOff>158750</xdr:rowOff>
    </xdr:to>
    <xdr:cxnSp macro="">
      <xdr:nvCxnSpPr>
        <xdr:cNvPr id="45" name="Conector de Seta Reta 44"/>
        <xdr:cNvCxnSpPr/>
      </xdr:nvCxnSpPr>
      <xdr:spPr>
        <a:xfrm>
          <a:off x="2983718" y="3564659"/>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342900</xdr:colOff>
      <xdr:row>1</xdr:row>
      <xdr:rowOff>38100</xdr:rowOff>
    </xdr:from>
    <xdr:to>
      <xdr:col>1</xdr:col>
      <xdr:colOff>723901</xdr:colOff>
      <xdr:row>2</xdr:row>
      <xdr:rowOff>74324</xdr:rowOff>
    </xdr:to>
    <xdr:pic>
      <xdr:nvPicPr>
        <xdr:cNvPr id="43" name="Imagem 42"/>
        <xdr:cNvPicPr>
          <a:picLocks noChangeAspect="1"/>
        </xdr:cNvPicPr>
      </xdr:nvPicPr>
      <xdr:blipFill>
        <a:blip xmlns:r="http://schemas.openxmlformats.org/officeDocument/2006/relationships" r:embed="rId4"/>
        <a:stretch>
          <a:fillRect/>
        </a:stretch>
      </xdr:blipFill>
      <xdr:spPr>
        <a:xfrm>
          <a:off x="342900" y="228600"/>
          <a:ext cx="1041401" cy="2267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436475</xdr:colOff>
      <xdr:row>13</xdr:row>
      <xdr:rowOff>20319</xdr:rowOff>
    </xdr:from>
    <xdr:to>
      <xdr:col>5</xdr:col>
      <xdr:colOff>457201</xdr:colOff>
      <xdr:row>29</xdr:row>
      <xdr:rowOff>25120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92233</xdr:rowOff>
    </xdr:from>
    <xdr:to>
      <xdr:col>10</xdr:col>
      <xdr:colOff>0</xdr:colOff>
      <xdr:row>2</xdr:row>
      <xdr:rowOff>87923</xdr:rowOff>
    </xdr:to>
    <xdr:sp macro="" textlink="">
      <xdr:nvSpPr>
        <xdr:cNvPr id="4" name="Text Box 1"/>
        <xdr:cNvSpPr txBox="1">
          <a:spLocks noChangeArrowheads="1"/>
        </xdr:cNvSpPr>
      </xdr:nvSpPr>
      <xdr:spPr bwMode="auto">
        <a:xfrm>
          <a:off x="0" y="92233"/>
          <a:ext cx="9625665" cy="318075"/>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Avaliação das Perdas dos Processos</a:t>
          </a:r>
        </a:p>
      </xdr:txBody>
    </xdr:sp>
    <xdr:clientData/>
  </xdr:twoCellAnchor>
  <xdr:twoCellAnchor>
    <xdr:from>
      <xdr:col>8</xdr:col>
      <xdr:colOff>142606</xdr:colOff>
      <xdr:row>32</xdr:row>
      <xdr:rowOff>8282</xdr:rowOff>
    </xdr:from>
    <xdr:to>
      <xdr:col>8</xdr:col>
      <xdr:colOff>985519</xdr:colOff>
      <xdr:row>34</xdr:row>
      <xdr:rowOff>71120</xdr:rowOff>
    </xdr:to>
    <xdr:sp macro="" textlink="">
      <xdr:nvSpPr>
        <xdr:cNvPr id="9" name="Arredondar Retângulo em um Canto Diagonal 8">
          <a:hlinkClick xmlns:r="http://schemas.openxmlformats.org/officeDocument/2006/relationships" r:id="rId2"/>
        </xdr:cNvPr>
        <xdr:cNvSpPr/>
      </xdr:nvSpPr>
      <xdr:spPr>
        <a:xfrm>
          <a:off x="9733646" y="5626762"/>
          <a:ext cx="842913" cy="428598"/>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twoCellAnchor>
    <xdr:from>
      <xdr:col>6</xdr:col>
      <xdr:colOff>2813055</xdr:colOff>
      <xdr:row>31</xdr:row>
      <xdr:rowOff>142240</xdr:rowOff>
    </xdr:from>
    <xdr:to>
      <xdr:col>8</xdr:col>
      <xdr:colOff>60960</xdr:colOff>
      <xdr:row>34</xdr:row>
      <xdr:rowOff>132239</xdr:rowOff>
    </xdr:to>
    <xdr:sp macro="" textlink="">
      <xdr:nvSpPr>
        <xdr:cNvPr id="11" name="Triângulo isósceles 10">
          <a:hlinkClick xmlns:r="http://schemas.openxmlformats.org/officeDocument/2006/relationships" r:id="rId3"/>
        </xdr:cNvPr>
        <xdr:cNvSpPr/>
      </xdr:nvSpPr>
      <xdr:spPr>
        <a:xfrm rot="5400000" flipV="1">
          <a:off x="8818168" y="5282647"/>
          <a:ext cx="538639" cy="1129025"/>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2</xdr:col>
      <xdr:colOff>447406</xdr:colOff>
      <xdr:row>29</xdr:row>
      <xdr:rowOff>150522</xdr:rowOff>
    </xdr:from>
    <xdr:to>
      <xdr:col>3</xdr:col>
      <xdr:colOff>1046479</xdr:colOff>
      <xdr:row>31</xdr:row>
      <xdr:rowOff>98439</xdr:rowOff>
    </xdr:to>
    <xdr:sp macro="" textlink="">
      <xdr:nvSpPr>
        <xdr:cNvPr id="10" name="Arredondar Retângulo em um Canto Diagonal 8">
          <a:hlinkClick xmlns:r="http://schemas.openxmlformats.org/officeDocument/2006/relationships" r:id="rId4"/>
        </xdr:cNvPr>
        <xdr:cNvSpPr/>
      </xdr:nvSpPr>
      <xdr:spPr>
        <a:xfrm>
          <a:off x="1331326" y="5220362"/>
          <a:ext cx="2559953" cy="313677"/>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Detalhe das Perdas por Mastite</a:t>
          </a:r>
        </a:p>
      </xdr:txBody>
    </xdr:sp>
    <xdr:clientData/>
  </xdr:twoCellAnchor>
  <xdr:twoCellAnchor editAs="oneCell">
    <xdr:from>
      <xdr:col>1</xdr:col>
      <xdr:colOff>40640</xdr:colOff>
      <xdr:row>0</xdr:row>
      <xdr:rowOff>152400</xdr:rowOff>
    </xdr:from>
    <xdr:to>
      <xdr:col>2</xdr:col>
      <xdr:colOff>381001</xdr:colOff>
      <xdr:row>2</xdr:row>
      <xdr:rowOff>13364</xdr:rowOff>
    </xdr:to>
    <xdr:pic>
      <xdr:nvPicPr>
        <xdr:cNvPr id="12" name="Imagem 11"/>
        <xdr:cNvPicPr>
          <a:picLocks noChangeAspect="1"/>
        </xdr:cNvPicPr>
      </xdr:nvPicPr>
      <xdr:blipFill>
        <a:blip xmlns:r="http://schemas.openxmlformats.org/officeDocument/2006/relationships" r:embed="rId5"/>
        <a:stretch>
          <a:fillRect/>
        </a:stretch>
      </xdr:blipFill>
      <xdr:spPr>
        <a:xfrm>
          <a:off x="223520" y="152400"/>
          <a:ext cx="1041401" cy="22672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9</xdr:col>
      <xdr:colOff>76199</xdr:colOff>
      <xdr:row>2</xdr:row>
      <xdr:rowOff>44824</xdr:rowOff>
    </xdr:from>
    <xdr:to>
      <xdr:col>12</xdr:col>
      <xdr:colOff>133350</xdr:colOff>
      <xdr:row>22</xdr:row>
      <xdr:rowOff>131330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25</xdr:row>
      <xdr:rowOff>152400</xdr:rowOff>
    </xdr:from>
    <xdr:to>
      <xdr:col>7</xdr:col>
      <xdr:colOff>447675</xdr:colOff>
      <xdr:row>25</xdr:row>
      <xdr:rowOff>161925</xdr:rowOff>
    </xdr:to>
    <xdr:cxnSp macro="">
      <xdr:nvCxnSpPr>
        <xdr:cNvPr id="13" name="Elbow Connector 7"/>
        <xdr:cNvCxnSpPr/>
      </xdr:nvCxnSpPr>
      <xdr:spPr bwMode="auto">
        <a:xfrm flipV="1">
          <a:off x="6610350" y="4838700"/>
          <a:ext cx="447675" cy="9525"/>
        </a:xfrm>
        <a:prstGeom prst="bentConnector3">
          <a:avLst>
            <a:gd name="adj1" fmla="val 50000"/>
          </a:avLst>
        </a:prstGeom>
        <a:solidFill>
          <a:srgbClr val="FFFFFF"/>
        </a:solidFill>
        <a:ln w="57150" cap="flat" cmpd="sng" algn="ctr">
          <a:solidFill>
            <a:schemeClr val="tx2"/>
          </a:solidFill>
          <a:prstDash val="solid"/>
          <a:round/>
          <a:headEnd type="none" w="med" len="med"/>
          <a:tailEnd type="arrow"/>
        </a:ln>
        <a:effectLst/>
      </xdr:spPr>
    </xdr:cxnSp>
    <xdr:clientData/>
  </xdr:twoCellAnchor>
  <xdr:twoCellAnchor>
    <xdr:from>
      <xdr:col>0</xdr:col>
      <xdr:colOff>0</xdr:colOff>
      <xdr:row>0</xdr:row>
      <xdr:rowOff>57150</xdr:rowOff>
    </xdr:from>
    <xdr:to>
      <xdr:col>13</xdr:col>
      <xdr:colOff>19049</xdr:colOff>
      <xdr:row>0</xdr:row>
      <xdr:rowOff>438150</xdr:rowOff>
    </xdr:to>
    <xdr:sp macro="" textlink="">
      <xdr:nvSpPr>
        <xdr:cNvPr id="22" name="Text Box 1"/>
        <xdr:cNvSpPr txBox="1">
          <a:spLocks noChangeArrowheads="1"/>
        </xdr:cNvSpPr>
      </xdr:nvSpPr>
      <xdr:spPr bwMode="auto">
        <a:xfrm>
          <a:off x="0" y="57150"/>
          <a:ext cx="12468224" cy="38100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Detalhamento das Perdas por Mastite</a:t>
          </a:r>
        </a:p>
      </xdr:txBody>
    </xdr:sp>
    <xdr:clientData/>
  </xdr:twoCellAnchor>
  <xdr:twoCellAnchor>
    <xdr:from>
      <xdr:col>11</xdr:col>
      <xdr:colOff>41693</xdr:colOff>
      <xdr:row>61</xdr:row>
      <xdr:rowOff>135513</xdr:rowOff>
    </xdr:from>
    <xdr:to>
      <xdr:col>12</xdr:col>
      <xdr:colOff>4266</xdr:colOff>
      <xdr:row>64</xdr:row>
      <xdr:rowOff>58998</xdr:rowOff>
    </xdr:to>
    <xdr:sp macro="" textlink="">
      <xdr:nvSpPr>
        <xdr:cNvPr id="14" name="Arredondar Retângulo em um Canto Diagonal 8">
          <a:hlinkClick xmlns:r="http://schemas.openxmlformats.org/officeDocument/2006/relationships" r:id="rId2"/>
        </xdr:cNvPr>
        <xdr:cNvSpPr/>
      </xdr:nvSpPr>
      <xdr:spPr>
        <a:xfrm>
          <a:off x="13650898" y="11190286"/>
          <a:ext cx="842913" cy="428598"/>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twoCellAnchor>
    <xdr:from>
      <xdr:col>9</xdr:col>
      <xdr:colOff>3781136</xdr:colOff>
      <xdr:row>61</xdr:row>
      <xdr:rowOff>86591</xdr:rowOff>
    </xdr:from>
    <xdr:to>
      <xdr:col>10</xdr:col>
      <xdr:colOff>912547</xdr:colOff>
      <xdr:row>64</xdr:row>
      <xdr:rowOff>120117</xdr:rowOff>
    </xdr:to>
    <xdr:sp macro="" textlink="">
      <xdr:nvSpPr>
        <xdr:cNvPr id="15" name="Triângulo isósceles 10">
          <a:hlinkClick xmlns:r="http://schemas.openxmlformats.org/officeDocument/2006/relationships" r:id="rId3"/>
        </xdr:cNvPr>
        <xdr:cNvSpPr/>
      </xdr:nvSpPr>
      <xdr:spPr>
        <a:xfrm rot="5400000" flipV="1">
          <a:off x="12735420" y="10846171"/>
          <a:ext cx="538639" cy="1129025"/>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editAs="oneCell">
    <xdr:from>
      <xdr:col>1</xdr:col>
      <xdr:colOff>215900</xdr:colOff>
      <xdr:row>0</xdr:row>
      <xdr:rowOff>152400</xdr:rowOff>
    </xdr:from>
    <xdr:to>
      <xdr:col>2</xdr:col>
      <xdr:colOff>571501</xdr:colOff>
      <xdr:row>0</xdr:row>
      <xdr:rowOff>379124</xdr:rowOff>
    </xdr:to>
    <xdr:pic>
      <xdr:nvPicPr>
        <xdr:cNvPr id="10" name="Imagem 9"/>
        <xdr:cNvPicPr>
          <a:picLocks noChangeAspect="1"/>
        </xdr:cNvPicPr>
      </xdr:nvPicPr>
      <xdr:blipFill>
        <a:blip xmlns:r="http://schemas.openxmlformats.org/officeDocument/2006/relationships" r:embed="rId4"/>
        <a:stretch>
          <a:fillRect/>
        </a:stretch>
      </xdr:blipFill>
      <xdr:spPr>
        <a:xfrm>
          <a:off x="317500" y="152400"/>
          <a:ext cx="1041401" cy="22672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16821</xdr:colOff>
      <xdr:row>0</xdr:row>
      <xdr:rowOff>84789</xdr:rowOff>
    </xdr:from>
    <xdr:to>
      <xdr:col>10</xdr:col>
      <xdr:colOff>815828</xdr:colOff>
      <xdr:row>1</xdr:row>
      <xdr:rowOff>304557</xdr:rowOff>
    </xdr:to>
    <xdr:sp macro="" textlink="">
      <xdr:nvSpPr>
        <xdr:cNvPr id="3" name="Text Box 1"/>
        <xdr:cNvSpPr txBox="1">
          <a:spLocks noChangeArrowheads="1"/>
        </xdr:cNvSpPr>
      </xdr:nvSpPr>
      <xdr:spPr bwMode="auto">
        <a:xfrm>
          <a:off x="16821" y="84789"/>
          <a:ext cx="8461060" cy="413212"/>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ANALISE SWOT</a:t>
          </a:r>
        </a:p>
      </xdr:txBody>
    </xdr:sp>
    <xdr:clientData/>
  </xdr:twoCellAnchor>
  <xdr:twoCellAnchor>
    <xdr:from>
      <xdr:col>1</xdr:col>
      <xdr:colOff>111302</xdr:colOff>
      <xdr:row>0</xdr:row>
      <xdr:rowOff>84107</xdr:rowOff>
    </xdr:from>
    <xdr:to>
      <xdr:col>2</xdr:col>
      <xdr:colOff>235140</xdr:colOff>
      <xdr:row>1</xdr:row>
      <xdr:rowOff>316731</xdr:rowOff>
    </xdr:to>
    <xdr:grpSp>
      <xdr:nvGrpSpPr>
        <xdr:cNvPr id="4" name="Grupo 3"/>
        <xdr:cNvGrpSpPr/>
      </xdr:nvGrpSpPr>
      <xdr:grpSpPr>
        <a:xfrm>
          <a:off x="355533" y="84107"/>
          <a:ext cx="1003069" cy="428009"/>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9</xdr:col>
      <xdr:colOff>77440</xdr:colOff>
      <xdr:row>22</xdr:row>
      <xdr:rowOff>75</xdr:rowOff>
    </xdr:from>
    <xdr:to>
      <xdr:col>10</xdr:col>
      <xdr:colOff>41122</xdr:colOff>
      <xdr:row>24</xdr:row>
      <xdr:rowOff>37904</xdr:rowOff>
    </xdr:to>
    <xdr:sp macro="" textlink="">
      <xdr:nvSpPr>
        <xdr:cNvPr id="7" name="Arredondar Retângulo em um Canto Diagonal 8">
          <a:hlinkClick xmlns:r="http://schemas.openxmlformats.org/officeDocument/2006/relationships" r:id="rId2"/>
        </xdr:cNvPr>
        <xdr:cNvSpPr/>
      </xdr:nvSpPr>
      <xdr:spPr>
        <a:xfrm>
          <a:off x="7355517" y="4855383"/>
          <a:ext cx="842913" cy="428598"/>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xdr:row>
      <xdr:rowOff>13606</xdr:rowOff>
    </xdr:from>
    <xdr:to>
      <xdr:col>13</xdr:col>
      <xdr:colOff>254000</xdr:colOff>
      <xdr:row>4</xdr:row>
      <xdr:rowOff>95250</xdr:rowOff>
    </xdr:to>
    <xdr:sp macro="" textlink="">
      <xdr:nvSpPr>
        <xdr:cNvPr id="2" name="Text Box 1"/>
        <xdr:cNvSpPr txBox="1">
          <a:spLocks noChangeArrowheads="1"/>
        </xdr:cNvSpPr>
      </xdr:nvSpPr>
      <xdr:spPr bwMode="auto">
        <a:xfrm>
          <a:off x="0" y="225273"/>
          <a:ext cx="11641667" cy="737810"/>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Priorização dos Projetos</a:t>
          </a:r>
        </a:p>
      </xdr:txBody>
    </xdr:sp>
    <xdr:clientData/>
  </xdr:twoCellAnchor>
  <xdr:twoCellAnchor>
    <xdr:from>
      <xdr:col>11</xdr:col>
      <xdr:colOff>2168585</xdr:colOff>
      <xdr:row>1</xdr:row>
      <xdr:rowOff>61303</xdr:rowOff>
    </xdr:from>
    <xdr:to>
      <xdr:col>13</xdr:col>
      <xdr:colOff>159229</xdr:colOff>
      <xdr:row>4</xdr:row>
      <xdr:rowOff>10584</xdr:rowOff>
    </xdr:to>
    <xdr:sp macro="" textlink="">
      <xdr:nvSpPr>
        <xdr:cNvPr id="3" name="Arredondar Retângulo em um Canto Diagonal 2">
          <a:hlinkClick xmlns:r="http://schemas.openxmlformats.org/officeDocument/2006/relationships" r:id="rId1"/>
        </xdr:cNvPr>
        <xdr:cNvSpPr/>
      </xdr:nvSpPr>
      <xdr:spPr>
        <a:xfrm>
          <a:off x="11537830" y="264982"/>
          <a:ext cx="1369324" cy="596262"/>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174668</xdr:colOff>
      <xdr:row>1</xdr:row>
      <xdr:rowOff>95849</xdr:rowOff>
    </xdr:from>
    <xdr:to>
      <xdr:col>3</xdr:col>
      <xdr:colOff>35944</xdr:colOff>
      <xdr:row>4</xdr:row>
      <xdr:rowOff>1</xdr:rowOff>
    </xdr:to>
    <xdr:grpSp>
      <xdr:nvGrpSpPr>
        <xdr:cNvPr id="4" name="Grupo 3"/>
        <xdr:cNvGrpSpPr/>
      </xdr:nvGrpSpPr>
      <xdr:grpSpPr>
        <a:xfrm>
          <a:off x="653913" y="299528"/>
          <a:ext cx="1526654" cy="551133"/>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10</xdr:col>
      <xdr:colOff>251604</xdr:colOff>
      <xdr:row>13</xdr:row>
      <xdr:rowOff>155754</xdr:rowOff>
    </xdr:from>
    <xdr:to>
      <xdr:col>11</xdr:col>
      <xdr:colOff>1432518</xdr:colOff>
      <xdr:row>16</xdr:row>
      <xdr:rowOff>146732</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369246" y="3666226"/>
          <a:ext cx="2091480" cy="889563"/>
        </a:xfrm>
        <a:prstGeom prst="rect">
          <a:avLst/>
        </a:prstGeom>
      </xdr:spPr>
    </xdr:pic>
    <xdr:clientData/>
  </xdr:twoCellAnchor>
  <xdr:twoCellAnchor>
    <xdr:from>
      <xdr:col>11</xdr:col>
      <xdr:colOff>71887</xdr:colOff>
      <xdr:row>17</xdr:row>
      <xdr:rowOff>131792</xdr:rowOff>
    </xdr:from>
    <xdr:to>
      <xdr:col>11</xdr:col>
      <xdr:colOff>914800</xdr:colOff>
      <xdr:row>18</xdr:row>
      <xdr:rowOff>260862</xdr:rowOff>
    </xdr:to>
    <xdr:sp macro="" textlink="">
      <xdr:nvSpPr>
        <xdr:cNvPr id="8" name="Arredondar Retângulo em um Canto Diagonal 8">
          <a:hlinkClick xmlns:r="http://schemas.openxmlformats.org/officeDocument/2006/relationships" r:id="rId1"/>
        </xdr:cNvPr>
        <xdr:cNvSpPr/>
      </xdr:nvSpPr>
      <xdr:spPr>
        <a:xfrm>
          <a:off x="9441132" y="4636698"/>
          <a:ext cx="842913" cy="428598"/>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81643</xdr:rowOff>
    </xdr:from>
    <xdr:to>
      <xdr:col>13</xdr:col>
      <xdr:colOff>476250</xdr:colOff>
      <xdr:row>2</xdr:row>
      <xdr:rowOff>108858</xdr:rowOff>
    </xdr:to>
    <xdr:sp macro="" textlink="">
      <xdr:nvSpPr>
        <xdr:cNvPr id="3" name="Text Box 1"/>
        <xdr:cNvSpPr txBox="1">
          <a:spLocks noChangeArrowheads="1"/>
        </xdr:cNvSpPr>
      </xdr:nvSpPr>
      <xdr:spPr bwMode="auto">
        <a:xfrm>
          <a:off x="0" y="81643"/>
          <a:ext cx="17893393" cy="353786"/>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CONTÁBIL</a:t>
          </a:r>
        </a:p>
      </xdr:txBody>
    </xdr:sp>
    <xdr:clientData/>
  </xdr:twoCellAnchor>
  <xdr:twoCellAnchor>
    <xdr:from>
      <xdr:col>1</xdr:col>
      <xdr:colOff>4204609</xdr:colOff>
      <xdr:row>0</xdr:row>
      <xdr:rowOff>81643</xdr:rowOff>
    </xdr:from>
    <xdr:to>
      <xdr:col>4</xdr:col>
      <xdr:colOff>449036</xdr:colOff>
      <xdr:row>2</xdr:row>
      <xdr:rowOff>97972</xdr:rowOff>
    </xdr:to>
    <xdr:sp macro="[0]!preencher_inputs_auto" textlink="">
      <xdr:nvSpPr>
        <xdr:cNvPr id="4" name="Arredondar Retângulo em um Canto Diagonal 3"/>
        <xdr:cNvSpPr/>
      </xdr:nvSpPr>
      <xdr:spPr>
        <a:xfrm>
          <a:off x="4340680" y="81643"/>
          <a:ext cx="2939142" cy="342900"/>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Preenchar Inputs com dados</a:t>
          </a:r>
          <a:r>
            <a:rPr lang="pt-BR" sz="1200" baseline="0"/>
            <a:t> atuais</a:t>
          </a:r>
          <a:endParaRPr lang="pt-BR" sz="1200"/>
        </a:p>
      </xdr:txBody>
    </xdr:sp>
    <xdr:clientData/>
  </xdr:twoCellAnchor>
  <xdr:twoCellAnchor>
    <xdr:from>
      <xdr:col>10</xdr:col>
      <xdr:colOff>732842</xdr:colOff>
      <xdr:row>59</xdr:row>
      <xdr:rowOff>71053</xdr:rowOff>
    </xdr:from>
    <xdr:to>
      <xdr:col>11</xdr:col>
      <xdr:colOff>633590</xdr:colOff>
      <xdr:row>61</xdr:row>
      <xdr:rowOff>87382</xdr:rowOff>
    </xdr:to>
    <xdr:sp macro="" textlink="">
      <xdr:nvSpPr>
        <xdr:cNvPr id="5" name="Arredondar Retângulo em um Canto Diagonal 4">
          <a:hlinkClick xmlns:r="http://schemas.openxmlformats.org/officeDocument/2006/relationships" r:id="rId1"/>
        </xdr:cNvPr>
        <xdr:cNvSpPr/>
      </xdr:nvSpPr>
      <xdr:spPr>
        <a:xfrm>
          <a:off x="15129199" y="12167803"/>
          <a:ext cx="907677" cy="342900"/>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11</xdr:col>
      <xdr:colOff>870205</xdr:colOff>
      <xdr:row>59</xdr:row>
      <xdr:rowOff>71350</xdr:rowOff>
    </xdr:from>
    <xdr:to>
      <xdr:col>12</xdr:col>
      <xdr:colOff>826129</xdr:colOff>
      <xdr:row>61</xdr:row>
      <xdr:rowOff>98032</xdr:rowOff>
    </xdr:to>
    <xdr:sp macro="" textlink="">
      <xdr:nvSpPr>
        <xdr:cNvPr id="6" name="Triângulo isósceles 5">
          <a:hlinkClick xmlns:r="http://schemas.openxmlformats.org/officeDocument/2006/relationships" r:id="rId2"/>
        </xdr:cNvPr>
        <xdr:cNvSpPr/>
      </xdr:nvSpPr>
      <xdr:spPr>
        <a:xfrm rot="5400000">
          <a:off x="16578290" y="11863301"/>
          <a:ext cx="353253" cy="96285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editAs="oneCell">
    <xdr:from>
      <xdr:col>13</xdr:col>
      <xdr:colOff>326236</xdr:colOff>
      <xdr:row>2</xdr:row>
      <xdr:rowOff>195950</xdr:rowOff>
    </xdr:from>
    <xdr:to>
      <xdr:col>14</xdr:col>
      <xdr:colOff>665753</xdr:colOff>
      <xdr:row>6</xdr:row>
      <xdr:rowOff>161065</xdr:rowOff>
    </xdr:to>
    <xdr:pic>
      <xdr:nvPicPr>
        <xdr:cNvPr id="11" name="Imagem 10"/>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187625" y="548728"/>
          <a:ext cx="1915258" cy="870578"/>
        </a:xfrm>
        <a:prstGeom prst="rect">
          <a:avLst/>
        </a:prstGeom>
      </xdr:spPr>
    </xdr:pic>
    <xdr:clientData/>
  </xdr:twoCellAnchor>
  <xdr:twoCellAnchor editAs="oneCell">
    <xdr:from>
      <xdr:col>1</xdr:col>
      <xdr:colOff>58796</xdr:colOff>
      <xdr:row>0</xdr:row>
      <xdr:rowOff>141111</xdr:rowOff>
    </xdr:from>
    <xdr:to>
      <xdr:col>1</xdr:col>
      <xdr:colOff>1100197</xdr:colOff>
      <xdr:row>2</xdr:row>
      <xdr:rowOff>15057</xdr:rowOff>
    </xdr:to>
    <xdr:pic>
      <xdr:nvPicPr>
        <xdr:cNvPr id="12" name="Imagem 11"/>
        <xdr:cNvPicPr>
          <a:picLocks noChangeAspect="1"/>
        </xdr:cNvPicPr>
      </xdr:nvPicPr>
      <xdr:blipFill>
        <a:blip xmlns:r="http://schemas.openxmlformats.org/officeDocument/2006/relationships" r:embed="rId4"/>
        <a:stretch>
          <a:fillRect/>
        </a:stretch>
      </xdr:blipFill>
      <xdr:spPr>
        <a:xfrm>
          <a:off x="211666" y="141111"/>
          <a:ext cx="1041401" cy="22672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108858</xdr:rowOff>
    </xdr:from>
    <xdr:to>
      <xdr:col>21</xdr:col>
      <xdr:colOff>54429</xdr:colOff>
      <xdr:row>2</xdr:row>
      <xdr:rowOff>1</xdr:rowOff>
    </xdr:to>
    <xdr:sp macro="" textlink="">
      <xdr:nvSpPr>
        <xdr:cNvPr id="4" name="Text Box 1"/>
        <xdr:cNvSpPr txBox="1">
          <a:spLocks noChangeArrowheads="1"/>
        </xdr:cNvSpPr>
      </xdr:nvSpPr>
      <xdr:spPr bwMode="auto">
        <a:xfrm>
          <a:off x="0" y="108858"/>
          <a:ext cx="16107229" cy="348343"/>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EVOLUÇÃO DO REBANHO</a:t>
          </a:r>
        </a:p>
      </xdr:txBody>
    </xdr:sp>
    <xdr:clientData/>
  </xdr:twoCellAnchor>
  <xdr:twoCellAnchor>
    <xdr:from>
      <xdr:col>17</xdr:col>
      <xdr:colOff>637593</xdr:colOff>
      <xdr:row>44</xdr:row>
      <xdr:rowOff>125483</xdr:rowOff>
    </xdr:from>
    <xdr:to>
      <xdr:col>18</xdr:col>
      <xdr:colOff>769662</xdr:colOff>
      <xdr:row>46</xdr:row>
      <xdr:rowOff>5740</xdr:rowOff>
    </xdr:to>
    <xdr:sp macro="" textlink="">
      <xdr:nvSpPr>
        <xdr:cNvPr id="5" name="Arredondar Retângulo em um Canto Diagonal 4">
          <a:hlinkClick xmlns:r="http://schemas.openxmlformats.org/officeDocument/2006/relationships" r:id="rId1"/>
        </xdr:cNvPr>
        <xdr:cNvSpPr/>
      </xdr:nvSpPr>
      <xdr:spPr>
        <a:xfrm>
          <a:off x="15346914" y="10330840"/>
          <a:ext cx="907677" cy="342900"/>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19</xdr:col>
      <xdr:colOff>52916</xdr:colOff>
      <xdr:row>44</xdr:row>
      <xdr:rowOff>52916</xdr:rowOff>
    </xdr:from>
    <xdr:to>
      <xdr:col>20</xdr:col>
      <xdr:colOff>407331</xdr:colOff>
      <xdr:row>46</xdr:row>
      <xdr:rowOff>48140</xdr:rowOff>
    </xdr:to>
    <xdr:sp macro="" textlink="">
      <xdr:nvSpPr>
        <xdr:cNvPr id="6" name="Triângulo isósceles 5">
          <a:hlinkClick xmlns:r="http://schemas.openxmlformats.org/officeDocument/2006/relationships" r:id="rId2"/>
        </xdr:cNvPr>
        <xdr:cNvSpPr/>
      </xdr:nvSpPr>
      <xdr:spPr>
        <a:xfrm rot="5400000">
          <a:off x="15043887" y="9393029"/>
          <a:ext cx="460890" cy="999998"/>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16</xdr:col>
      <xdr:colOff>105837</xdr:colOff>
      <xdr:row>44</xdr:row>
      <xdr:rowOff>63504</xdr:rowOff>
    </xdr:from>
    <xdr:to>
      <xdr:col>17</xdr:col>
      <xdr:colOff>560919</xdr:colOff>
      <xdr:row>46</xdr:row>
      <xdr:rowOff>74088</xdr:rowOff>
    </xdr:to>
    <xdr:sp macro="" textlink="">
      <xdr:nvSpPr>
        <xdr:cNvPr id="7" name="Triângulo isósceles 6">
          <a:hlinkClick xmlns:r="http://schemas.openxmlformats.org/officeDocument/2006/relationships" r:id="rId3"/>
        </xdr:cNvPr>
        <xdr:cNvSpPr/>
      </xdr:nvSpPr>
      <xdr:spPr>
        <a:xfrm rot="5400000" flipV="1">
          <a:off x="13202712" y="9360963"/>
          <a:ext cx="476250" cy="1100665"/>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editAs="oneCell">
    <xdr:from>
      <xdr:col>19</xdr:col>
      <xdr:colOff>381001</xdr:colOff>
      <xdr:row>0</xdr:row>
      <xdr:rowOff>54428</xdr:rowOff>
    </xdr:from>
    <xdr:to>
      <xdr:col>21</xdr:col>
      <xdr:colOff>320095</xdr:colOff>
      <xdr:row>2</xdr:row>
      <xdr:rowOff>176892</xdr:rowOff>
    </xdr:to>
    <xdr:pic>
      <xdr:nvPicPr>
        <xdr:cNvPr id="10" name="Imagem 9"/>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641537" y="54428"/>
          <a:ext cx="1121098" cy="585107"/>
        </a:xfrm>
        <a:prstGeom prst="rect">
          <a:avLst/>
        </a:prstGeom>
      </xdr:spPr>
    </xdr:pic>
    <xdr:clientData/>
  </xdr:twoCellAnchor>
  <xdr:twoCellAnchor editAs="oneCell">
    <xdr:from>
      <xdr:col>1</xdr:col>
      <xdr:colOff>165100</xdr:colOff>
      <xdr:row>0</xdr:row>
      <xdr:rowOff>190500</xdr:rowOff>
    </xdr:from>
    <xdr:to>
      <xdr:col>1</xdr:col>
      <xdr:colOff>1206501</xdr:colOff>
      <xdr:row>1</xdr:row>
      <xdr:rowOff>188624</xdr:rowOff>
    </xdr:to>
    <xdr:pic>
      <xdr:nvPicPr>
        <xdr:cNvPr id="14" name="Imagem 13"/>
        <xdr:cNvPicPr>
          <a:picLocks noChangeAspect="1"/>
        </xdr:cNvPicPr>
      </xdr:nvPicPr>
      <xdr:blipFill>
        <a:blip xmlns:r="http://schemas.openxmlformats.org/officeDocument/2006/relationships" r:embed="rId5"/>
        <a:stretch>
          <a:fillRect/>
        </a:stretch>
      </xdr:blipFill>
      <xdr:spPr>
        <a:xfrm>
          <a:off x="317500" y="190500"/>
          <a:ext cx="1041401" cy="2267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136072</xdr:rowOff>
    </xdr:from>
    <xdr:to>
      <xdr:col>15</xdr:col>
      <xdr:colOff>381000</xdr:colOff>
      <xdr:row>2</xdr:row>
      <xdr:rowOff>27215</xdr:rowOff>
    </xdr:to>
    <xdr:sp macro="" textlink="">
      <xdr:nvSpPr>
        <xdr:cNvPr id="3" name="Text Box 1"/>
        <xdr:cNvSpPr txBox="1">
          <a:spLocks noChangeArrowheads="1"/>
        </xdr:cNvSpPr>
      </xdr:nvSpPr>
      <xdr:spPr bwMode="auto">
        <a:xfrm>
          <a:off x="0" y="136072"/>
          <a:ext cx="17866179" cy="353786"/>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ALIMENTAÇÃO 1º TRIMESTRE</a:t>
          </a:r>
        </a:p>
      </xdr:txBody>
    </xdr:sp>
    <xdr:clientData/>
  </xdr:twoCellAnchor>
  <xdr:twoCellAnchor>
    <xdr:from>
      <xdr:col>10</xdr:col>
      <xdr:colOff>408213</xdr:colOff>
      <xdr:row>22</xdr:row>
      <xdr:rowOff>149679</xdr:rowOff>
    </xdr:from>
    <xdr:to>
      <xdr:col>12</xdr:col>
      <xdr:colOff>966106</xdr:colOff>
      <xdr:row>26</xdr:row>
      <xdr:rowOff>149679</xdr:rowOff>
    </xdr:to>
    <xdr:sp macro="[0]!alimentacao" textlink="">
      <xdr:nvSpPr>
        <xdr:cNvPr id="4" name="Arredondar Retângulo em um Canto Diagonal 3"/>
        <xdr:cNvSpPr/>
      </xdr:nvSpPr>
      <xdr:spPr>
        <a:xfrm>
          <a:off x="12178392" y="5238750"/>
          <a:ext cx="2843893" cy="925286"/>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Clique para preencher a</a:t>
          </a:r>
          <a:r>
            <a:rPr lang="pt-BR" sz="1400" baseline="0"/>
            <a:t> a</a:t>
          </a:r>
          <a:r>
            <a:rPr lang="pt-BR" sz="1400"/>
            <a:t>limentação de todos os semestres com os</a:t>
          </a:r>
          <a:r>
            <a:rPr lang="pt-BR" sz="1400" baseline="0"/>
            <a:t> mesmos dados</a:t>
          </a:r>
          <a:endParaRPr lang="pt-BR" sz="1400"/>
        </a:p>
      </xdr:txBody>
    </xdr:sp>
    <xdr:clientData/>
  </xdr:twoCellAnchor>
  <xdr:twoCellAnchor>
    <xdr:from>
      <xdr:col>11</xdr:col>
      <xdr:colOff>433486</xdr:colOff>
      <xdr:row>28</xdr:row>
      <xdr:rowOff>84660</xdr:rowOff>
    </xdr:from>
    <xdr:to>
      <xdr:col>12</xdr:col>
      <xdr:colOff>198163</xdr:colOff>
      <xdr:row>29</xdr:row>
      <xdr:rowOff>196239</xdr:rowOff>
    </xdr:to>
    <xdr:sp macro="" textlink="">
      <xdr:nvSpPr>
        <xdr:cNvPr id="5" name="Arredondar Retângulo em um Canto Diagonal 4">
          <a:hlinkClick xmlns:r="http://schemas.openxmlformats.org/officeDocument/2006/relationships" r:id="rId1"/>
        </xdr:cNvPr>
        <xdr:cNvSpPr/>
      </xdr:nvSpPr>
      <xdr:spPr>
        <a:xfrm>
          <a:off x="13346665" y="6561660"/>
          <a:ext cx="907677" cy="342900"/>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12</xdr:col>
      <xdr:colOff>434778</xdr:colOff>
      <xdr:row>28</xdr:row>
      <xdr:rowOff>84957</xdr:rowOff>
    </xdr:from>
    <xdr:to>
      <xdr:col>13</xdr:col>
      <xdr:colOff>254630</xdr:colOff>
      <xdr:row>29</xdr:row>
      <xdr:rowOff>206889</xdr:rowOff>
    </xdr:to>
    <xdr:sp macro="" textlink="">
      <xdr:nvSpPr>
        <xdr:cNvPr id="6" name="Triângulo isósceles 5">
          <a:hlinkClick xmlns:r="http://schemas.openxmlformats.org/officeDocument/2006/relationships" r:id="rId2"/>
        </xdr:cNvPr>
        <xdr:cNvSpPr/>
      </xdr:nvSpPr>
      <xdr:spPr>
        <a:xfrm rot="5400000">
          <a:off x="14795756" y="6257158"/>
          <a:ext cx="353253" cy="96285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10</xdr:col>
      <xdr:colOff>394608</xdr:colOff>
      <xdr:row>28</xdr:row>
      <xdr:rowOff>81642</xdr:rowOff>
    </xdr:from>
    <xdr:to>
      <xdr:col>11</xdr:col>
      <xdr:colOff>214460</xdr:colOff>
      <xdr:row>29</xdr:row>
      <xdr:rowOff>206886</xdr:rowOff>
    </xdr:to>
    <xdr:sp macro="" textlink="">
      <xdr:nvSpPr>
        <xdr:cNvPr id="7" name="Triângulo isósceles 6">
          <a:hlinkClick xmlns:r="http://schemas.openxmlformats.org/officeDocument/2006/relationships" r:id="rId3"/>
        </xdr:cNvPr>
        <xdr:cNvSpPr/>
      </xdr:nvSpPr>
      <xdr:spPr>
        <a:xfrm rot="5400000" flipV="1">
          <a:off x="12467930" y="6255499"/>
          <a:ext cx="356565" cy="96285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editAs="oneCell">
    <xdr:from>
      <xdr:col>13</xdr:col>
      <xdr:colOff>517071</xdr:colOff>
      <xdr:row>22</xdr:row>
      <xdr:rowOff>27215</xdr:rowOff>
    </xdr:from>
    <xdr:to>
      <xdr:col>15</xdr:col>
      <xdr:colOff>5051</xdr:colOff>
      <xdr:row>26</xdr:row>
      <xdr:rowOff>27778</xdr:rowOff>
    </xdr:to>
    <xdr:pic>
      <xdr:nvPicPr>
        <xdr:cNvPr id="11" name="Imagem 10"/>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16250" y="5116286"/>
          <a:ext cx="1773980" cy="925849"/>
        </a:xfrm>
        <a:prstGeom prst="rect">
          <a:avLst/>
        </a:prstGeom>
      </xdr:spPr>
    </xdr:pic>
    <xdr:clientData/>
  </xdr:twoCellAnchor>
  <xdr:twoCellAnchor editAs="oneCell">
    <xdr:from>
      <xdr:col>1</xdr:col>
      <xdr:colOff>223426</xdr:colOff>
      <xdr:row>0</xdr:row>
      <xdr:rowOff>188148</xdr:rowOff>
    </xdr:from>
    <xdr:to>
      <xdr:col>1</xdr:col>
      <xdr:colOff>1264827</xdr:colOff>
      <xdr:row>1</xdr:row>
      <xdr:rowOff>191446</xdr:rowOff>
    </xdr:to>
    <xdr:pic>
      <xdr:nvPicPr>
        <xdr:cNvPr id="12" name="Imagem 11"/>
        <xdr:cNvPicPr>
          <a:picLocks noChangeAspect="1"/>
        </xdr:cNvPicPr>
      </xdr:nvPicPr>
      <xdr:blipFill>
        <a:blip xmlns:r="http://schemas.openxmlformats.org/officeDocument/2006/relationships" r:embed="rId5"/>
        <a:stretch>
          <a:fillRect/>
        </a:stretch>
      </xdr:blipFill>
      <xdr:spPr>
        <a:xfrm>
          <a:off x="388056" y="188148"/>
          <a:ext cx="1041401" cy="22672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122464</xdr:rowOff>
    </xdr:from>
    <xdr:to>
      <xdr:col>15</xdr:col>
      <xdr:colOff>381000</xdr:colOff>
      <xdr:row>2</xdr:row>
      <xdr:rowOff>13608</xdr:rowOff>
    </xdr:to>
    <xdr:sp macro="" textlink="">
      <xdr:nvSpPr>
        <xdr:cNvPr id="2" name="Text Box 1"/>
        <xdr:cNvSpPr txBox="1">
          <a:spLocks noChangeArrowheads="1"/>
        </xdr:cNvSpPr>
      </xdr:nvSpPr>
      <xdr:spPr bwMode="auto">
        <a:xfrm>
          <a:off x="0" y="122464"/>
          <a:ext cx="17866179" cy="353787"/>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ALIMENTAÇÃO 2º TRIMESTRE</a:t>
          </a:r>
        </a:p>
      </xdr:txBody>
    </xdr:sp>
    <xdr:clientData/>
  </xdr:twoCellAnchor>
  <xdr:twoCellAnchor>
    <xdr:from>
      <xdr:col>11</xdr:col>
      <xdr:colOff>528735</xdr:colOff>
      <xdr:row>28</xdr:row>
      <xdr:rowOff>43840</xdr:rowOff>
    </xdr:from>
    <xdr:to>
      <xdr:col>12</xdr:col>
      <xdr:colOff>293412</xdr:colOff>
      <xdr:row>29</xdr:row>
      <xdr:rowOff>155419</xdr:rowOff>
    </xdr:to>
    <xdr:sp macro="" textlink="">
      <xdr:nvSpPr>
        <xdr:cNvPr id="3" name="Arredondar Retângulo em um Canto Diagonal 2">
          <a:hlinkClick xmlns:r="http://schemas.openxmlformats.org/officeDocument/2006/relationships" r:id="rId1"/>
        </xdr:cNvPr>
        <xdr:cNvSpPr/>
      </xdr:nvSpPr>
      <xdr:spPr>
        <a:xfrm>
          <a:off x="13441914" y="6520840"/>
          <a:ext cx="907677" cy="342900"/>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12</xdr:col>
      <xdr:colOff>530027</xdr:colOff>
      <xdr:row>28</xdr:row>
      <xdr:rowOff>44137</xdr:rowOff>
    </xdr:from>
    <xdr:to>
      <xdr:col>13</xdr:col>
      <xdr:colOff>349879</xdr:colOff>
      <xdr:row>29</xdr:row>
      <xdr:rowOff>166069</xdr:rowOff>
    </xdr:to>
    <xdr:sp macro="" textlink="">
      <xdr:nvSpPr>
        <xdr:cNvPr id="4" name="Triângulo isósceles 3">
          <a:hlinkClick xmlns:r="http://schemas.openxmlformats.org/officeDocument/2006/relationships" r:id="rId2"/>
        </xdr:cNvPr>
        <xdr:cNvSpPr/>
      </xdr:nvSpPr>
      <xdr:spPr>
        <a:xfrm rot="5400000">
          <a:off x="14891005" y="6216338"/>
          <a:ext cx="353253" cy="96285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10</xdr:col>
      <xdr:colOff>489857</xdr:colOff>
      <xdr:row>28</xdr:row>
      <xdr:rowOff>40822</xdr:rowOff>
    </xdr:from>
    <xdr:to>
      <xdr:col>11</xdr:col>
      <xdr:colOff>309709</xdr:colOff>
      <xdr:row>29</xdr:row>
      <xdr:rowOff>166066</xdr:rowOff>
    </xdr:to>
    <xdr:sp macro="" textlink="">
      <xdr:nvSpPr>
        <xdr:cNvPr id="5" name="Triângulo isósceles 4">
          <a:hlinkClick xmlns:r="http://schemas.openxmlformats.org/officeDocument/2006/relationships" r:id="rId3"/>
        </xdr:cNvPr>
        <xdr:cNvSpPr/>
      </xdr:nvSpPr>
      <xdr:spPr>
        <a:xfrm rot="5400000" flipV="1">
          <a:off x="12563179" y="6214679"/>
          <a:ext cx="356565" cy="96285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editAs="oneCell">
    <xdr:from>
      <xdr:col>13</xdr:col>
      <xdr:colOff>517070</xdr:colOff>
      <xdr:row>22</xdr:row>
      <xdr:rowOff>40822</xdr:rowOff>
    </xdr:from>
    <xdr:to>
      <xdr:col>15</xdr:col>
      <xdr:colOff>5050</xdr:colOff>
      <xdr:row>26</xdr:row>
      <xdr:rowOff>41385</xdr:rowOff>
    </xdr:to>
    <xdr:pic>
      <xdr:nvPicPr>
        <xdr:cNvPr id="9" name="Imagem 8"/>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16249" y="5129893"/>
          <a:ext cx="1773980" cy="925849"/>
        </a:xfrm>
        <a:prstGeom prst="rect">
          <a:avLst/>
        </a:prstGeom>
      </xdr:spPr>
    </xdr:pic>
    <xdr:clientData/>
  </xdr:twoCellAnchor>
  <xdr:twoCellAnchor editAs="oneCell">
    <xdr:from>
      <xdr:col>1</xdr:col>
      <xdr:colOff>206375</xdr:colOff>
      <xdr:row>0</xdr:row>
      <xdr:rowOff>174625</xdr:rowOff>
    </xdr:from>
    <xdr:to>
      <xdr:col>1</xdr:col>
      <xdr:colOff>1247776</xdr:colOff>
      <xdr:row>1</xdr:row>
      <xdr:rowOff>179099</xdr:rowOff>
    </xdr:to>
    <xdr:pic>
      <xdr:nvPicPr>
        <xdr:cNvPr id="10" name="Imagem 9"/>
        <xdr:cNvPicPr>
          <a:picLocks noChangeAspect="1"/>
        </xdr:cNvPicPr>
      </xdr:nvPicPr>
      <xdr:blipFill>
        <a:blip xmlns:r="http://schemas.openxmlformats.org/officeDocument/2006/relationships" r:embed="rId5"/>
        <a:stretch>
          <a:fillRect/>
        </a:stretch>
      </xdr:blipFill>
      <xdr:spPr>
        <a:xfrm>
          <a:off x="365125" y="174625"/>
          <a:ext cx="1041401" cy="22672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122465</xdr:rowOff>
    </xdr:from>
    <xdr:to>
      <xdr:col>15</xdr:col>
      <xdr:colOff>381000</xdr:colOff>
      <xdr:row>2</xdr:row>
      <xdr:rowOff>13609</xdr:rowOff>
    </xdr:to>
    <xdr:sp macro="" textlink="">
      <xdr:nvSpPr>
        <xdr:cNvPr id="2" name="Text Box 1"/>
        <xdr:cNvSpPr txBox="1">
          <a:spLocks noChangeArrowheads="1"/>
        </xdr:cNvSpPr>
      </xdr:nvSpPr>
      <xdr:spPr bwMode="auto">
        <a:xfrm>
          <a:off x="0" y="122465"/>
          <a:ext cx="17866179" cy="353787"/>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ALIMENTAÇÃO 3º TRIMESTRE</a:t>
          </a:r>
        </a:p>
      </xdr:txBody>
    </xdr:sp>
    <xdr:clientData/>
  </xdr:twoCellAnchor>
  <xdr:twoCellAnchor>
    <xdr:from>
      <xdr:col>10</xdr:col>
      <xdr:colOff>428626</xdr:colOff>
      <xdr:row>27</xdr:row>
      <xdr:rowOff>206376</xdr:rowOff>
    </xdr:from>
    <xdr:to>
      <xdr:col>13</xdr:col>
      <xdr:colOff>225147</xdr:colOff>
      <xdr:row>30</xdr:row>
      <xdr:rowOff>47626</xdr:rowOff>
    </xdr:to>
    <xdr:grpSp>
      <xdr:nvGrpSpPr>
        <xdr:cNvPr id="10" name="Grupo 9"/>
        <xdr:cNvGrpSpPr/>
      </xdr:nvGrpSpPr>
      <xdr:grpSpPr>
        <a:xfrm>
          <a:off x="13827126" y="6207126"/>
          <a:ext cx="3701771" cy="508000"/>
          <a:chOff x="13827126" y="6207126"/>
          <a:chExt cx="3701771" cy="508000"/>
        </a:xfrm>
        <a:solidFill>
          <a:schemeClr val="accent5"/>
        </a:solidFill>
      </xdr:grpSpPr>
      <xdr:sp macro="" textlink="">
        <xdr:nvSpPr>
          <xdr:cNvPr id="3" name="Arredondar Retângulo em um Canto Diagonal 2">
            <a:hlinkClick xmlns:r="http://schemas.openxmlformats.org/officeDocument/2006/relationships" r:id="rId1"/>
          </xdr:cNvPr>
          <xdr:cNvSpPr/>
        </xdr:nvSpPr>
        <xdr:spPr>
          <a:xfrm>
            <a:off x="15215378" y="6307662"/>
            <a:ext cx="1066427" cy="333829"/>
          </a:xfrm>
          <a:prstGeom prst="round2DiagRect">
            <a:avLst>
              <a:gd name="adj1" fmla="val 16667"/>
              <a:gd name="adj2" fmla="val 12264"/>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4" name="Triângulo isósceles 3">
            <a:hlinkClick xmlns:r="http://schemas.openxmlformats.org/officeDocument/2006/relationships" r:id="rId2"/>
          </xdr:cNvPr>
          <xdr:cNvSpPr/>
        </xdr:nvSpPr>
        <xdr:spPr>
          <a:xfrm rot="5400000">
            <a:off x="16740700" y="5895179"/>
            <a:ext cx="454791" cy="1121602"/>
          </a:xfrm>
          <a:prstGeom prs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sp macro="" textlink="">
        <xdr:nvSpPr>
          <xdr:cNvPr id="5" name="Triângulo isósceles 4">
            <a:hlinkClick xmlns:r="http://schemas.openxmlformats.org/officeDocument/2006/relationships" r:id="rId3"/>
          </xdr:cNvPr>
          <xdr:cNvSpPr/>
        </xdr:nvSpPr>
        <xdr:spPr>
          <a:xfrm rot="5400000" flipV="1">
            <a:off x="14205365" y="5828887"/>
            <a:ext cx="508000" cy="1264477"/>
          </a:xfrm>
          <a:prstGeom prs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grpSp>
    <xdr:clientData/>
  </xdr:twoCellAnchor>
  <xdr:twoCellAnchor editAs="oneCell">
    <xdr:from>
      <xdr:col>13</xdr:col>
      <xdr:colOff>530678</xdr:colOff>
      <xdr:row>22</xdr:row>
      <xdr:rowOff>68036</xdr:rowOff>
    </xdr:from>
    <xdr:to>
      <xdr:col>15</xdr:col>
      <xdr:colOff>18658</xdr:colOff>
      <xdr:row>26</xdr:row>
      <xdr:rowOff>68599</xdr:rowOff>
    </xdr:to>
    <xdr:pic>
      <xdr:nvPicPr>
        <xdr:cNvPr id="9" name="Imagem 8"/>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29857" y="5157107"/>
          <a:ext cx="1773980" cy="925849"/>
        </a:xfrm>
        <a:prstGeom prst="rect">
          <a:avLst/>
        </a:prstGeom>
      </xdr:spPr>
    </xdr:pic>
    <xdr:clientData/>
  </xdr:twoCellAnchor>
  <xdr:twoCellAnchor editAs="oneCell">
    <xdr:from>
      <xdr:col>1</xdr:col>
      <xdr:colOff>158750</xdr:colOff>
      <xdr:row>0</xdr:row>
      <xdr:rowOff>174625</xdr:rowOff>
    </xdr:from>
    <xdr:to>
      <xdr:col>1</xdr:col>
      <xdr:colOff>1200151</xdr:colOff>
      <xdr:row>1</xdr:row>
      <xdr:rowOff>179099</xdr:rowOff>
    </xdr:to>
    <xdr:pic>
      <xdr:nvPicPr>
        <xdr:cNvPr id="11" name="Imagem 10"/>
        <xdr:cNvPicPr>
          <a:picLocks noChangeAspect="1"/>
        </xdr:cNvPicPr>
      </xdr:nvPicPr>
      <xdr:blipFill>
        <a:blip xmlns:r="http://schemas.openxmlformats.org/officeDocument/2006/relationships" r:embed="rId5"/>
        <a:stretch>
          <a:fillRect/>
        </a:stretch>
      </xdr:blipFill>
      <xdr:spPr>
        <a:xfrm>
          <a:off x="317500" y="174625"/>
          <a:ext cx="1041401" cy="22672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122464</xdr:rowOff>
    </xdr:from>
    <xdr:to>
      <xdr:col>15</xdr:col>
      <xdr:colOff>381000</xdr:colOff>
      <xdr:row>2</xdr:row>
      <xdr:rowOff>13608</xdr:rowOff>
    </xdr:to>
    <xdr:sp macro="" textlink="">
      <xdr:nvSpPr>
        <xdr:cNvPr id="2" name="Text Box 1"/>
        <xdr:cNvSpPr txBox="1">
          <a:spLocks noChangeArrowheads="1"/>
        </xdr:cNvSpPr>
      </xdr:nvSpPr>
      <xdr:spPr bwMode="auto">
        <a:xfrm>
          <a:off x="0" y="122464"/>
          <a:ext cx="17866179" cy="353787"/>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ALIMENTAÇÃO 4º TRIMESTRE</a:t>
          </a:r>
        </a:p>
      </xdr:txBody>
    </xdr:sp>
    <xdr:clientData/>
  </xdr:twoCellAnchor>
  <xdr:twoCellAnchor>
    <xdr:from>
      <xdr:col>11</xdr:col>
      <xdr:colOff>664810</xdr:colOff>
      <xdr:row>28</xdr:row>
      <xdr:rowOff>111879</xdr:rowOff>
    </xdr:from>
    <xdr:to>
      <xdr:col>12</xdr:col>
      <xdr:colOff>429487</xdr:colOff>
      <xdr:row>29</xdr:row>
      <xdr:rowOff>223458</xdr:rowOff>
    </xdr:to>
    <xdr:sp macro="" textlink="">
      <xdr:nvSpPr>
        <xdr:cNvPr id="3" name="Arredondar Retângulo em um Canto Diagonal 2">
          <a:hlinkClick xmlns:r="http://schemas.openxmlformats.org/officeDocument/2006/relationships" r:id="rId1"/>
        </xdr:cNvPr>
        <xdr:cNvSpPr/>
      </xdr:nvSpPr>
      <xdr:spPr>
        <a:xfrm>
          <a:off x="13577989" y="6588879"/>
          <a:ext cx="907677" cy="342900"/>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10</xdr:col>
      <xdr:colOff>737057</xdr:colOff>
      <xdr:row>28</xdr:row>
      <xdr:rowOff>29486</xdr:rowOff>
    </xdr:from>
    <xdr:to>
      <xdr:col>11</xdr:col>
      <xdr:colOff>556909</xdr:colOff>
      <xdr:row>30</xdr:row>
      <xdr:rowOff>63500</xdr:rowOff>
    </xdr:to>
    <xdr:sp macro="" textlink="">
      <xdr:nvSpPr>
        <xdr:cNvPr id="5" name="Triângulo isósceles 4">
          <a:hlinkClick xmlns:r="http://schemas.openxmlformats.org/officeDocument/2006/relationships" r:id="rId2"/>
        </xdr:cNvPr>
        <xdr:cNvSpPr/>
      </xdr:nvSpPr>
      <xdr:spPr>
        <a:xfrm rot="5400000" flipV="1">
          <a:off x="14457101" y="5930942"/>
          <a:ext cx="478514" cy="112160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editAs="oneCell">
    <xdr:from>
      <xdr:col>13</xdr:col>
      <xdr:colOff>517071</xdr:colOff>
      <xdr:row>22</xdr:row>
      <xdr:rowOff>68036</xdr:rowOff>
    </xdr:from>
    <xdr:to>
      <xdr:col>15</xdr:col>
      <xdr:colOff>5051</xdr:colOff>
      <xdr:row>26</xdr:row>
      <xdr:rowOff>68599</xdr:rowOff>
    </xdr:to>
    <xdr:pic>
      <xdr:nvPicPr>
        <xdr:cNvPr id="9" name="Imagem 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716250" y="5157107"/>
          <a:ext cx="1773980" cy="925849"/>
        </a:xfrm>
        <a:prstGeom prst="rect">
          <a:avLst/>
        </a:prstGeom>
      </xdr:spPr>
    </xdr:pic>
    <xdr:clientData/>
  </xdr:twoCellAnchor>
  <xdr:twoCellAnchor editAs="oneCell">
    <xdr:from>
      <xdr:col>1</xdr:col>
      <xdr:colOff>44956</xdr:colOff>
      <xdr:row>0</xdr:row>
      <xdr:rowOff>179823</xdr:rowOff>
    </xdr:from>
    <xdr:to>
      <xdr:col>1</xdr:col>
      <xdr:colOff>1086357</xdr:colOff>
      <xdr:row>1</xdr:row>
      <xdr:rowOff>181768</xdr:rowOff>
    </xdr:to>
    <xdr:pic>
      <xdr:nvPicPr>
        <xdr:cNvPr id="10" name="Imagem 9"/>
        <xdr:cNvPicPr>
          <a:picLocks noChangeAspect="1"/>
        </xdr:cNvPicPr>
      </xdr:nvPicPr>
      <xdr:blipFill>
        <a:blip xmlns:r="http://schemas.openxmlformats.org/officeDocument/2006/relationships" r:embed="rId4"/>
        <a:stretch>
          <a:fillRect/>
        </a:stretch>
      </xdr:blipFill>
      <xdr:spPr>
        <a:xfrm>
          <a:off x="213540" y="179823"/>
          <a:ext cx="1041401" cy="22672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149680</xdr:rowOff>
    </xdr:from>
    <xdr:to>
      <xdr:col>8</xdr:col>
      <xdr:colOff>95250</xdr:colOff>
      <xdr:row>2</xdr:row>
      <xdr:rowOff>95251</xdr:rowOff>
    </xdr:to>
    <xdr:sp macro="" textlink="">
      <xdr:nvSpPr>
        <xdr:cNvPr id="2" name="Text Box 1"/>
        <xdr:cNvSpPr txBox="1">
          <a:spLocks noChangeArrowheads="1"/>
        </xdr:cNvSpPr>
      </xdr:nvSpPr>
      <xdr:spPr bwMode="auto">
        <a:xfrm>
          <a:off x="0" y="149680"/>
          <a:ext cx="11511643" cy="40821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ESTATÍSTICAS ECONÔMICAS</a:t>
          </a:r>
        </a:p>
      </xdr:txBody>
    </xdr:sp>
    <xdr:clientData/>
  </xdr:twoCellAnchor>
  <xdr:twoCellAnchor>
    <xdr:from>
      <xdr:col>7</xdr:col>
      <xdr:colOff>272142</xdr:colOff>
      <xdr:row>35</xdr:row>
      <xdr:rowOff>176893</xdr:rowOff>
    </xdr:from>
    <xdr:to>
      <xdr:col>8</xdr:col>
      <xdr:colOff>5602</xdr:colOff>
      <xdr:row>37</xdr:row>
      <xdr:rowOff>196103</xdr:rowOff>
    </xdr:to>
    <xdr:sp macro="" textlink="">
      <xdr:nvSpPr>
        <xdr:cNvPr id="3" name="Arredondar Retângulo em um Canto Diagonal 2">
          <a:hlinkClick xmlns:r="http://schemas.openxmlformats.org/officeDocument/2006/relationships" r:id="rId1"/>
        </xdr:cNvPr>
        <xdr:cNvSpPr/>
      </xdr:nvSpPr>
      <xdr:spPr>
        <a:xfrm>
          <a:off x="10368642" y="9130393"/>
          <a:ext cx="1053353" cy="481853"/>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8</xdr:col>
      <xdr:colOff>76200</xdr:colOff>
      <xdr:row>35</xdr:row>
      <xdr:rowOff>165101</xdr:rowOff>
    </xdr:from>
    <xdr:to>
      <xdr:col>10</xdr:col>
      <xdr:colOff>80202</xdr:colOff>
      <xdr:row>37</xdr:row>
      <xdr:rowOff>162692</xdr:rowOff>
    </xdr:to>
    <xdr:sp macro="" textlink="">
      <xdr:nvSpPr>
        <xdr:cNvPr id="10" name="Triângulo isósceles 3">
          <a:hlinkClick xmlns:r="http://schemas.openxmlformats.org/officeDocument/2006/relationships" r:id="rId2"/>
        </xdr:cNvPr>
        <xdr:cNvSpPr/>
      </xdr:nvSpPr>
      <xdr:spPr>
        <a:xfrm rot="5400000">
          <a:off x="13477905" y="6689696"/>
          <a:ext cx="454791" cy="112160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1"/>
            <a:t>Proximo</a:t>
          </a:r>
        </a:p>
      </xdr:txBody>
    </xdr:sp>
    <xdr:clientData/>
  </xdr:twoCellAnchor>
  <xdr:twoCellAnchor editAs="oneCell">
    <xdr:from>
      <xdr:col>1</xdr:col>
      <xdr:colOff>59905</xdr:colOff>
      <xdr:row>1</xdr:row>
      <xdr:rowOff>0</xdr:rowOff>
    </xdr:from>
    <xdr:to>
      <xdr:col>1</xdr:col>
      <xdr:colOff>1101306</xdr:colOff>
      <xdr:row>1</xdr:row>
      <xdr:rowOff>226724</xdr:rowOff>
    </xdr:to>
    <xdr:pic>
      <xdr:nvPicPr>
        <xdr:cNvPr id="9" name="Imagem 8"/>
        <xdr:cNvPicPr>
          <a:picLocks noChangeAspect="1"/>
        </xdr:cNvPicPr>
      </xdr:nvPicPr>
      <xdr:blipFill>
        <a:blip xmlns:r="http://schemas.openxmlformats.org/officeDocument/2006/relationships" r:embed="rId3"/>
        <a:stretch>
          <a:fillRect/>
        </a:stretch>
      </xdr:blipFill>
      <xdr:spPr>
        <a:xfrm>
          <a:off x="611037" y="227642"/>
          <a:ext cx="1041401" cy="226724"/>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119062</xdr:rowOff>
    </xdr:from>
    <xdr:to>
      <xdr:col>15</xdr:col>
      <xdr:colOff>163711</xdr:colOff>
      <xdr:row>2</xdr:row>
      <xdr:rowOff>89297</xdr:rowOff>
    </xdr:to>
    <xdr:sp macro="" textlink="">
      <xdr:nvSpPr>
        <xdr:cNvPr id="2" name="Text Box 1"/>
        <xdr:cNvSpPr txBox="1">
          <a:spLocks noChangeArrowheads="1"/>
        </xdr:cNvSpPr>
      </xdr:nvSpPr>
      <xdr:spPr bwMode="auto">
        <a:xfrm>
          <a:off x="0" y="119062"/>
          <a:ext cx="19823906" cy="416719"/>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DEMONSTRATIVO DE RESULTADO ANUAL</a:t>
          </a:r>
        </a:p>
      </xdr:txBody>
    </xdr:sp>
    <xdr:clientData/>
  </xdr:twoCellAnchor>
  <xdr:twoCellAnchor>
    <xdr:from>
      <xdr:col>13</xdr:col>
      <xdr:colOff>10166</xdr:colOff>
      <xdr:row>36</xdr:row>
      <xdr:rowOff>1116</xdr:rowOff>
    </xdr:from>
    <xdr:to>
      <xdr:col>14</xdr:col>
      <xdr:colOff>144359</xdr:colOff>
      <xdr:row>38</xdr:row>
      <xdr:rowOff>65968</xdr:rowOff>
    </xdr:to>
    <xdr:sp macro="" textlink="">
      <xdr:nvSpPr>
        <xdr:cNvPr id="8" name="Arredondar Retângulo em um Canto Diagonal 2">
          <a:hlinkClick xmlns:r="http://schemas.openxmlformats.org/officeDocument/2006/relationships" r:id="rId1"/>
        </xdr:cNvPr>
        <xdr:cNvSpPr/>
      </xdr:nvSpPr>
      <xdr:spPr>
        <a:xfrm>
          <a:off x="14169315" y="7783244"/>
          <a:ext cx="1066427" cy="497192"/>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14</xdr:col>
      <xdr:colOff>269849</xdr:colOff>
      <xdr:row>35</xdr:row>
      <xdr:rowOff>99512</xdr:rowOff>
    </xdr:from>
    <xdr:to>
      <xdr:col>16</xdr:col>
      <xdr:colOff>26877</xdr:colOff>
      <xdr:row>38</xdr:row>
      <xdr:rowOff>128349</xdr:rowOff>
    </xdr:to>
    <xdr:sp macro="" textlink="">
      <xdr:nvSpPr>
        <xdr:cNvPr id="9" name="Triângulo isósceles 3">
          <a:hlinkClick xmlns:r="http://schemas.openxmlformats.org/officeDocument/2006/relationships" r:id="rId2"/>
        </xdr:cNvPr>
        <xdr:cNvSpPr/>
      </xdr:nvSpPr>
      <xdr:spPr>
        <a:xfrm rot="5400000">
          <a:off x="15583359" y="7443342"/>
          <a:ext cx="677348" cy="112160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11</xdr:col>
      <xdr:colOff>486383</xdr:colOff>
      <xdr:row>35</xdr:row>
      <xdr:rowOff>67552</xdr:rowOff>
    </xdr:from>
    <xdr:to>
      <xdr:col>12</xdr:col>
      <xdr:colOff>818626</xdr:colOff>
      <xdr:row>38</xdr:row>
      <xdr:rowOff>175636</xdr:rowOff>
    </xdr:to>
    <xdr:sp macro="" textlink="">
      <xdr:nvSpPr>
        <xdr:cNvPr id="10" name="Triângulo isósceles 4">
          <a:hlinkClick xmlns:r="http://schemas.openxmlformats.org/officeDocument/2006/relationships" r:id="rId3"/>
        </xdr:cNvPr>
        <xdr:cNvSpPr/>
      </xdr:nvSpPr>
      <xdr:spPr>
        <a:xfrm rot="5400000" flipV="1">
          <a:off x="13035005" y="7379568"/>
          <a:ext cx="756595" cy="1264477"/>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editAs="oneCell">
    <xdr:from>
      <xdr:col>1</xdr:col>
      <xdr:colOff>114300</xdr:colOff>
      <xdr:row>0</xdr:row>
      <xdr:rowOff>190500</xdr:rowOff>
    </xdr:from>
    <xdr:to>
      <xdr:col>1</xdr:col>
      <xdr:colOff>1155701</xdr:colOff>
      <xdr:row>1</xdr:row>
      <xdr:rowOff>201324</xdr:rowOff>
    </xdr:to>
    <xdr:pic>
      <xdr:nvPicPr>
        <xdr:cNvPr id="11" name="Imagem 10"/>
        <xdr:cNvPicPr>
          <a:picLocks noChangeAspect="1"/>
        </xdr:cNvPicPr>
      </xdr:nvPicPr>
      <xdr:blipFill>
        <a:blip xmlns:r="http://schemas.openxmlformats.org/officeDocument/2006/relationships" r:embed="rId4"/>
        <a:stretch>
          <a:fillRect/>
        </a:stretch>
      </xdr:blipFill>
      <xdr:spPr>
        <a:xfrm>
          <a:off x="165100" y="190500"/>
          <a:ext cx="1041401" cy="226724"/>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163285</xdr:rowOff>
    </xdr:from>
    <xdr:to>
      <xdr:col>20</xdr:col>
      <xdr:colOff>217715</xdr:colOff>
      <xdr:row>2</xdr:row>
      <xdr:rowOff>54429</xdr:rowOff>
    </xdr:to>
    <xdr:sp macro="" textlink="">
      <xdr:nvSpPr>
        <xdr:cNvPr id="2" name="Text Box 1"/>
        <xdr:cNvSpPr txBox="1">
          <a:spLocks noChangeArrowheads="1"/>
        </xdr:cNvSpPr>
      </xdr:nvSpPr>
      <xdr:spPr bwMode="auto">
        <a:xfrm>
          <a:off x="0" y="163285"/>
          <a:ext cx="21785036" cy="353787"/>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ORÇAMENTO</a:t>
          </a:r>
        </a:p>
      </xdr:txBody>
    </xdr:sp>
    <xdr:clientData/>
  </xdr:twoCellAnchor>
  <xdr:twoCellAnchor>
    <xdr:from>
      <xdr:col>18</xdr:col>
      <xdr:colOff>172294</xdr:colOff>
      <xdr:row>33</xdr:row>
      <xdr:rowOff>168090</xdr:rowOff>
    </xdr:from>
    <xdr:to>
      <xdr:col>19</xdr:col>
      <xdr:colOff>49785</xdr:colOff>
      <xdr:row>35</xdr:row>
      <xdr:rowOff>42557</xdr:rowOff>
    </xdr:to>
    <xdr:sp macro="" textlink="">
      <xdr:nvSpPr>
        <xdr:cNvPr id="9" name="Arredondar Retângulo em um Canto Diagonal 2">
          <a:hlinkClick xmlns:r="http://schemas.openxmlformats.org/officeDocument/2006/relationships" r:id="rId1"/>
        </xdr:cNvPr>
        <xdr:cNvSpPr/>
      </xdr:nvSpPr>
      <xdr:spPr>
        <a:xfrm>
          <a:off x="8021975" y="7747558"/>
          <a:ext cx="1066427" cy="333829"/>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19</xdr:col>
      <xdr:colOff>175275</xdr:colOff>
      <xdr:row>33</xdr:row>
      <xdr:rowOff>89012</xdr:rowOff>
    </xdr:from>
    <xdr:to>
      <xdr:col>20</xdr:col>
      <xdr:colOff>107941</xdr:colOff>
      <xdr:row>35</xdr:row>
      <xdr:rowOff>84441</xdr:rowOff>
    </xdr:to>
    <xdr:sp macro="" textlink="">
      <xdr:nvSpPr>
        <xdr:cNvPr id="10" name="Triângulo isósceles 3">
          <a:hlinkClick xmlns:r="http://schemas.openxmlformats.org/officeDocument/2006/relationships" r:id="rId2"/>
        </xdr:cNvPr>
        <xdr:cNvSpPr/>
      </xdr:nvSpPr>
      <xdr:spPr>
        <a:xfrm rot="5400000">
          <a:off x="9547297" y="7335075"/>
          <a:ext cx="454791" cy="1121602"/>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editAs="oneCell">
    <xdr:from>
      <xdr:col>1</xdr:col>
      <xdr:colOff>135467</xdr:colOff>
      <xdr:row>1</xdr:row>
      <xdr:rowOff>0</xdr:rowOff>
    </xdr:from>
    <xdr:to>
      <xdr:col>1</xdr:col>
      <xdr:colOff>1176868</xdr:colOff>
      <xdr:row>1</xdr:row>
      <xdr:rowOff>226724</xdr:rowOff>
    </xdr:to>
    <xdr:pic>
      <xdr:nvPicPr>
        <xdr:cNvPr id="8" name="Imagem 7"/>
        <xdr:cNvPicPr>
          <a:picLocks noChangeAspect="1"/>
        </xdr:cNvPicPr>
      </xdr:nvPicPr>
      <xdr:blipFill>
        <a:blip xmlns:r="http://schemas.openxmlformats.org/officeDocument/2006/relationships" r:embed="rId3"/>
        <a:stretch>
          <a:fillRect/>
        </a:stretch>
      </xdr:blipFill>
      <xdr:spPr>
        <a:xfrm>
          <a:off x="491067" y="237067"/>
          <a:ext cx="1041401" cy="22672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95250</xdr:rowOff>
    </xdr:from>
    <xdr:to>
      <xdr:col>29</xdr:col>
      <xdr:colOff>258536</xdr:colOff>
      <xdr:row>3</xdr:row>
      <xdr:rowOff>13607</xdr:rowOff>
    </xdr:to>
    <xdr:sp macro="" textlink="">
      <xdr:nvSpPr>
        <xdr:cNvPr id="2" name="Text Box 1"/>
        <xdr:cNvSpPr txBox="1">
          <a:spLocks noChangeArrowheads="1"/>
        </xdr:cNvSpPr>
      </xdr:nvSpPr>
      <xdr:spPr bwMode="auto">
        <a:xfrm>
          <a:off x="0" y="95250"/>
          <a:ext cx="25622250" cy="40821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ORÇADO X REALIZADO</a:t>
          </a:r>
        </a:p>
      </xdr:txBody>
    </xdr:sp>
    <xdr:clientData/>
  </xdr:twoCellAnchor>
  <xdr:twoCellAnchor>
    <xdr:from>
      <xdr:col>29</xdr:col>
      <xdr:colOff>133144</xdr:colOff>
      <xdr:row>27</xdr:row>
      <xdr:rowOff>61451</xdr:rowOff>
    </xdr:from>
    <xdr:to>
      <xdr:col>29</xdr:col>
      <xdr:colOff>1114059</xdr:colOff>
      <xdr:row>30</xdr:row>
      <xdr:rowOff>148042</xdr:rowOff>
    </xdr:to>
    <xdr:sp macro="" textlink="">
      <xdr:nvSpPr>
        <xdr:cNvPr id="3" name="Arredondar Retângulo em um Canto Diagonal 2">
          <a:hlinkClick xmlns:r="http://schemas.openxmlformats.org/officeDocument/2006/relationships" r:id="rId1"/>
        </xdr:cNvPr>
        <xdr:cNvSpPr/>
      </xdr:nvSpPr>
      <xdr:spPr>
        <a:xfrm>
          <a:off x="25143950" y="4322096"/>
          <a:ext cx="980915" cy="578204"/>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editAs="oneCell">
    <xdr:from>
      <xdr:col>0</xdr:col>
      <xdr:colOff>133349</xdr:colOff>
      <xdr:row>31</xdr:row>
      <xdr:rowOff>24094</xdr:rowOff>
    </xdr:from>
    <xdr:to>
      <xdr:col>1</xdr:col>
      <xdr:colOff>1307254</xdr:colOff>
      <xdr:row>35</xdr:row>
      <xdr:rowOff>68600</xdr:rowOff>
    </xdr:to>
    <xdr:pic>
      <xdr:nvPicPr>
        <xdr:cNvPr id="7" name="Imagem 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349" y="4881844"/>
          <a:ext cx="1326305" cy="692205"/>
        </a:xfrm>
        <a:prstGeom prst="rect">
          <a:avLst/>
        </a:prstGeom>
      </xdr:spPr>
    </xdr:pic>
    <xdr:clientData/>
  </xdr:twoCellAnchor>
  <xdr:twoCellAnchor editAs="oneCell">
    <xdr:from>
      <xdr:col>1</xdr:col>
      <xdr:colOff>211666</xdr:colOff>
      <xdr:row>1</xdr:row>
      <xdr:rowOff>14112</xdr:rowOff>
    </xdr:from>
    <xdr:to>
      <xdr:col>1</xdr:col>
      <xdr:colOff>1512329</xdr:colOff>
      <xdr:row>2</xdr:row>
      <xdr:rowOff>113835</xdr:rowOff>
    </xdr:to>
    <xdr:pic>
      <xdr:nvPicPr>
        <xdr:cNvPr id="8" name="Imagem 7"/>
        <xdr:cNvPicPr>
          <a:picLocks noChangeAspect="1"/>
        </xdr:cNvPicPr>
      </xdr:nvPicPr>
      <xdr:blipFill>
        <a:blip xmlns:r="http://schemas.openxmlformats.org/officeDocument/2006/relationships" r:embed="rId3"/>
        <a:stretch>
          <a:fillRect/>
        </a:stretch>
      </xdr:blipFill>
      <xdr:spPr>
        <a:xfrm>
          <a:off x="395110" y="197556"/>
          <a:ext cx="1300663" cy="28316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71289</xdr:colOff>
      <xdr:row>0</xdr:row>
      <xdr:rowOff>58259</xdr:rowOff>
    </xdr:from>
    <xdr:to>
      <xdr:col>14</xdr:col>
      <xdr:colOff>1292601</xdr:colOff>
      <xdr:row>4</xdr:row>
      <xdr:rowOff>0</xdr:rowOff>
    </xdr:to>
    <xdr:sp macro="" textlink="">
      <xdr:nvSpPr>
        <xdr:cNvPr id="2" name="Text Box 1"/>
        <xdr:cNvSpPr txBox="1">
          <a:spLocks noChangeArrowheads="1"/>
        </xdr:cNvSpPr>
      </xdr:nvSpPr>
      <xdr:spPr bwMode="auto">
        <a:xfrm>
          <a:off x="71289" y="58259"/>
          <a:ext cx="18582959" cy="658917"/>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accent5"/>
              </a:solidFill>
              <a:latin typeface="+mn-lt"/>
              <a:ea typeface="Tahoma"/>
              <a:cs typeface="Tahoma"/>
            </a:rPr>
            <a:t>Simulação Caixa Próximo Ano</a:t>
          </a:r>
        </a:p>
      </xdr:txBody>
    </xdr:sp>
    <xdr:clientData/>
  </xdr:twoCellAnchor>
  <xdr:twoCellAnchor>
    <xdr:from>
      <xdr:col>14</xdr:col>
      <xdr:colOff>408982</xdr:colOff>
      <xdr:row>0</xdr:row>
      <xdr:rowOff>123567</xdr:rowOff>
    </xdr:from>
    <xdr:to>
      <xdr:col>14</xdr:col>
      <xdr:colOff>1247494</xdr:colOff>
      <xdr:row>3</xdr:row>
      <xdr:rowOff>107626</xdr:rowOff>
    </xdr:to>
    <xdr:sp macro="" textlink="">
      <xdr:nvSpPr>
        <xdr:cNvPr id="3" name="Arredondar Retângulo em um Canto Diagonal 2">
          <a:hlinkClick xmlns:r="http://schemas.openxmlformats.org/officeDocument/2006/relationships" r:id="rId1"/>
        </xdr:cNvPr>
        <xdr:cNvSpPr/>
      </xdr:nvSpPr>
      <xdr:spPr>
        <a:xfrm>
          <a:off x="19136101" y="123567"/>
          <a:ext cx="838512" cy="500669"/>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editAs="oneCell">
    <xdr:from>
      <xdr:col>12</xdr:col>
      <xdr:colOff>898293</xdr:colOff>
      <xdr:row>33</xdr:row>
      <xdr:rowOff>154878</xdr:rowOff>
    </xdr:from>
    <xdr:to>
      <xdr:col>14</xdr:col>
      <xdr:colOff>387822</xdr:colOff>
      <xdr:row>37</xdr:row>
      <xdr:rowOff>270051</xdr:rowOff>
    </xdr:to>
    <xdr:pic>
      <xdr:nvPicPr>
        <xdr:cNvPr id="8" name="Imagem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91830" y="9401098"/>
          <a:ext cx="2091480" cy="889563"/>
        </a:xfrm>
        <a:prstGeom prst="rect">
          <a:avLst/>
        </a:prstGeom>
      </xdr:spPr>
    </xdr:pic>
    <xdr:clientData/>
  </xdr:twoCellAnchor>
  <xdr:twoCellAnchor editAs="oneCell">
    <xdr:from>
      <xdr:col>1</xdr:col>
      <xdr:colOff>89646</xdr:colOff>
      <xdr:row>0</xdr:row>
      <xdr:rowOff>149411</xdr:rowOff>
    </xdr:from>
    <xdr:to>
      <xdr:col>2</xdr:col>
      <xdr:colOff>35720</xdr:colOff>
      <xdr:row>3</xdr:row>
      <xdr:rowOff>74705</xdr:rowOff>
    </xdr:to>
    <xdr:pic>
      <xdr:nvPicPr>
        <xdr:cNvPr id="9" name="Imagem 8"/>
        <xdr:cNvPicPr>
          <a:picLocks noChangeAspect="1"/>
        </xdr:cNvPicPr>
      </xdr:nvPicPr>
      <xdr:blipFill>
        <a:blip xmlns:r="http://schemas.openxmlformats.org/officeDocument/2006/relationships" r:embed="rId3"/>
        <a:stretch>
          <a:fillRect/>
        </a:stretch>
      </xdr:blipFill>
      <xdr:spPr>
        <a:xfrm>
          <a:off x="388470" y="149411"/>
          <a:ext cx="2127485" cy="463176"/>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1</xdr:row>
      <xdr:rowOff>13606</xdr:rowOff>
    </xdr:from>
    <xdr:to>
      <xdr:col>14</xdr:col>
      <xdr:colOff>981074</xdr:colOff>
      <xdr:row>3</xdr:row>
      <xdr:rowOff>91440</xdr:rowOff>
    </xdr:to>
    <xdr:sp macro="" textlink="">
      <xdr:nvSpPr>
        <xdr:cNvPr id="2" name="Text Box 1"/>
        <xdr:cNvSpPr txBox="1">
          <a:spLocks noChangeArrowheads="1"/>
        </xdr:cNvSpPr>
      </xdr:nvSpPr>
      <xdr:spPr bwMode="auto">
        <a:xfrm>
          <a:off x="0" y="213631"/>
          <a:ext cx="12658724" cy="477884"/>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000" b="1" i="0" u="none" strike="noStrike" baseline="0">
              <a:solidFill>
                <a:schemeClr val="accent5"/>
              </a:solidFill>
              <a:latin typeface="+mn-lt"/>
              <a:ea typeface="Tahoma"/>
              <a:cs typeface="Tahoma"/>
            </a:rPr>
            <a:t>Relatório do Agenda: CAIXA</a:t>
          </a:r>
        </a:p>
      </xdr:txBody>
    </xdr:sp>
    <xdr:clientData/>
  </xdr:twoCellAnchor>
  <xdr:twoCellAnchor>
    <xdr:from>
      <xdr:col>13</xdr:col>
      <xdr:colOff>589279</xdr:colOff>
      <xdr:row>1</xdr:row>
      <xdr:rowOff>72945</xdr:rowOff>
    </xdr:from>
    <xdr:to>
      <xdr:col>14</xdr:col>
      <xdr:colOff>760342</xdr:colOff>
      <xdr:row>3</xdr:row>
      <xdr:rowOff>25401</xdr:rowOff>
    </xdr:to>
    <xdr:sp macro="" textlink="">
      <xdr:nvSpPr>
        <xdr:cNvPr id="3" name="Arredondar Retângulo em um Canto Diagonal 10">
          <a:hlinkClick xmlns:r="http://schemas.openxmlformats.org/officeDocument/2006/relationships" r:id="rId1"/>
        </xdr:cNvPr>
        <xdr:cNvSpPr/>
      </xdr:nvSpPr>
      <xdr:spPr>
        <a:xfrm>
          <a:off x="12971779" y="276145"/>
          <a:ext cx="1136263" cy="358856"/>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editAs="oneCell">
    <xdr:from>
      <xdr:col>1</xdr:col>
      <xdr:colOff>50800</xdr:colOff>
      <xdr:row>1</xdr:row>
      <xdr:rowOff>101600</xdr:rowOff>
    </xdr:from>
    <xdr:to>
      <xdr:col>1</xdr:col>
      <xdr:colOff>1450824</xdr:colOff>
      <xdr:row>3</xdr:row>
      <xdr:rowOff>0</xdr:rowOff>
    </xdr:to>
    <xdr:pic>
      <xdr:nvPicPr>
        <xdr:cNvPr id="7" name="Imagem 6"/>
        <xdr:cNvPicPr>
          <a:picLocks noChangeAspect="1"/>
        </xdr:cNvPicPr>
      </xdr:nvPicPr>
      <xdr:blipFill>
        <a:blip xmlns:r="http://schemas.openxmlformats.org/officeDocument/2006/relationships" r:embed="rId2"/>
        <a:stretch>
          <a:fillRect/>
        </a:stretch>
      </xdr:blipFill>
      <xdr:spPr>
        <a:xfrm>
          <a:off x="533400" y="304800"/>
          <a:ext cx="1400024" cy="3048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1</xdr:row>
      <xdr:rowOff>13606</xdr:rowOff>
    </xdr:from>
    <xdr:to>
      <xdr:col>16</xdr:col>
      <xdr:colOff>465668</xdr:colOff>
      <xdr:row>4</xdr:row>
      <xdr:rowOff>95250</xdr:rowOff>
    </xdr:to>
    <xdr:sp macro="" textlink="">
      <xdr:nvSpPr>
        <xdr:cNvPr id="2" name="Text Box 1"/>
        <xdr:cNvSpPr txBox="1">
          <a:spLocks noChangeArrowheads="1"/>
        </xdr:cNvSpPr>
      </xdr:nvSpPr>
      <xdr:spPr bwMode="auto">
        <a:xfrm>
          <a:off x="1" y="225273"/>
          <a:ext cx="14922500" cy="737810"/>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Visão para</a:t>
          </a:r>
        </a:p>
      </xdr:txBody>
    </xdr:sp>
    <xdr:clientData/>
  </xdr:twoCellAnchor>
  <xdr:twoCellAnchor>
    <xdr:from>
      <xdr:col>14</xdr:col>
      <xdr:colOff>1016000</xdr:colOff>
      <xdr:row>1</xdr:row>
      <xdr:rowOff>98344</xdr:rowOff>
    </xdr:from>
    <xdr:to>
      <xdr:col>16</xdr:col>
      <xdr:colOff>328563</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13377333" y="310011"/>
          <a:ext cx="1408063" cy="605447"/>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258535</xdr:colOff>
      <xdr:row>1</xdr:row>
      <xdr:rowOff>13605</xdr:rowOff>
    </xdr:from>
    <xdr:to>
      <xdr:col>4</xdr:col>
      <xdr:colOff>174624</xdr:colOff>
      <xdr:row>4</xdr:row>
      <xdr:rowOff>95249</xdr:rowOff>
    </xdr:to>
    <xdr:grpSp>
      <xdr:nvGrpSpPr>
        <xdr:cNvPr id="4" name="Grupo 3"/>
        <xdr:cNvGrpSpPr/>
      </xdr:nvGrpSpPr>
      <xdr:grpSpPr>
        <a:xfrm>
          <a:off x="736357" y="214793"/>
          <a:ext cx="2506386" cy="722931"/>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2</xdr:col>
      <xdr:colOff>15416</xdr:colOff>
      <xdr:row>7</xdr:row>
      <xdr:rowOff>169332</xdr:rowOff>
    </xdr:from>
    <xdr:to>
      <xdr:col>15</xdr:col>
      <xdr:colOff>186267</xdr:colOff>
      <xdr:row>28</xdr:row>
      <xdr:rowOff>101600</xdr:rowOff>
    </xdr:to>
    <xdr:grpSp>
      <xdr:nvGrpSpPr>
        <xdr:cNvPr id="32" name="Grupo 31"/>
        <xdr:cNvGrpSpPr/>
      </xdr:nvGrpSpPr>
      <xdr:grpSpPr>
        <a:xfrm>
          <a:off x="1524327" y="1615372"/>
          <a:ext cx="12569069" cy="4496723"/>
          <a:chOff x="2311399" y="1371599"/>
          <a:chExt cx="12488334" cy="4538134"/>
        </a:xfrm>
      </xdr:grpSpPr>
      <xdr:sp macro="" textlink="">
        <xdr:nvSpPr>
          <xdr:cNvPr id="9" name="Retângulo 8"/>
          <xdr:cNvSpPr/>
        </xdr:nvSpPr>
        <xdr:spPr>
          <a:xfrm>
            <a:off x="4758266" y="1371600"/>
            <a:ext cx="5469467" cy="453813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1" name="Grupo 30"/>
          <xdr:cNvGrpSpPr/>
        </xdr:nvGrpSpPr>
        <xdr:grpSpPr>
          <a:xfrm>
            <a:off x="2311399" y="1371602"/>
            <a:ext cx="2446869" cy="4538130"/>
            <a:chOff x="2311399" y="1371602"/>
            <a:chExt cx="2446869" cy="4538130"/>
          </a:xfrm>
        </xdr:grpSpPr>
        <xdr:sp macro="" textlink="">
          <xdr:nvSpPr>
            <xdr:cNvPr id="8" name="Retângulo 7"/>
            <xdr:cNvSpPr/>
          </xdr:nvSpPr>
          <xdr:spPr>
            <a:xfrm rot="16200000">
              <a:off x="2645834" y="1037167"/>
              <a:ext cx="1777997" cy="2446868"/>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b" anchorCtr="1"/>
            <a:lstStyle/>
            <a:p>
              <a:pPr algn="ctr"/>
              <a:r>
                <a:rPr lang="en-US" sz="3600">
                  <a:solidFill>
                    <a:schemeClr val="bg1"/>
                  </a:solidFill>
                </a:rPr>
                <a:t> Volume diário:</a:t>
              </a:r>
            </a:p>
          </xdr:txBody>
        </xdr:sp>
        <xdr:sp macro="" textlink="">
          <xdr:nvSpPr>
            <xdr:cNvPr id="15" name="Retângulo 14"/>
            <xdr:cNvSpPr/>
          </xdr:nvSpPr>
          <xdr:spPr>
            <a:xfrm rot="16200000">
              <a:off x="2535767" y="3687233"/>
              <a:ext cx="1998131" cy="2446868"/>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nchorCtr="1"/>
            <a:lstStyle/>
            <a:p>
              <a:pPr algn="ctr"/>
              <a:r>
                <a:rPr lang="en-US" sz="3600">
                  <a:solidFill>
                    <a:schemeClr val="bg1"/>
                  </a:solidFill>
                </a:rPr>
                <a:t>litros por </a:t>
              </a:r>
            </a:p>
            <a:p>
              <a:pPr algn="ctr"/>
              <a:r>
                <a:rPr lang="en-US" sz="3600">
                  <a:solidFill>
                    <a:schemeClr val="bg1"/>
                  </a:solidFill>
                </a:rPr>
                <a:t>dia</a:t>
              </a:r>
            </a:p>
          </xdr:txBody>
        </xdr:sp>
        <xdr:sp macro="" textlink="$E$32">
          <xdr:nvSpPr>
            <xdr:cNvPr id="16" name="Retângulo 15"/>
            <xdr:cNvSpPr/>
          </xdr:nvSpPr>
          <xdr:spPr>
            <a:xfrm rot="16200000">
              <a:off x="3104989" y="2359921"/>
              <a:ext cx="863598" cy="2442960"/>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1"/>
            <a:lstStyle/>
            <a:p>
              <a:pPr algn="ctr"/>
              <a:fld id="{66858111-7C38-8B4A-ACA7-DF3258BC64A9}" type="TxLink">
                <a:rPr lang="en-US" sz="4000" b="1" i="0" u="none" strike="noStrike">
                  <a:solidFill>
                    <a:schemeClr val="bg1"/>
                  </a:solidFill>
                  <a:latin typeface="Arial"/>
                  <a:ea typeface="Arial"/>
                  <a:cs typeface="Arial"/>
                </a:rPr>
                <a:pPr algn="ctr"/>
                <a:t>#DIV/0!</a:t>
              </a:fld>
              <a:endParaRPr lang="en-US" sz="8800" b="1">
                <a:solidFill>
                  <a:schemeClr val="bg1"/>
                </a:solidFill>
              </a:endParaRPr>
            </a:p>
          </xdr:txBody>
        </xdr:sp>
      </xdr:grpSp>
      <xdr:grpSp>
        <xdr:nvGrpSpPr>
          <xdr:cNvPr id="19" name="Grupo 18"/>
          <xdr:cNvGrpSpPr/>
        </xdr:nvGrpSpPr>
        <xdr:grpSpPr>
          <a:xfrm>
            <a:off x="10227734" y="1371602"/>
            <a:ext cx="2286000" cy="2285997"/>
            <a:chOff x="10058401" y="1371602"/>
            <a:chExt cx="2285999" cy="2285997"/>
          </a:xfrm>
        </xdr:grpSpPr>
        <xdr:sp macro="" textlink="$E$33">
          <xdr:nvSpPr>
            <xdr:cNvPr id="10" name="Retângulo 9"/>
            <xdr:cNvSpPr/>
          </xdr:nvSpPr>
          <xdr:spPr>
            <a:xfrm>
              <a:off x="10058401" y="1744132"/>
              <a:ext cx="2285999" cy="1913467"/>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9BC2D9E-4377-D14F-87AB-3E73FCD6BA08}" type="TxLink">
                <a:rPr lang="en-US" sz="4000" b="1" i="0" u="none" strike="noStrike">
                  <a:solidFill>
                    <a:schemeClr val="bg1"/>
                  </a:solidFill>
                  <a:latin typeface="Arial"/>
                  <a:ea typeface="Arial"/>
                  <a:cs typeface="Arial"/>
                </a:rPr>
                <a:pPr algn="ctr"/>
                <a:t>#DIV/0!</a:t>
              </a:fld>
              <a:endParaRPr lang="pt-BR" sz="3600" b="1">
                <a:solidFill>
                  <a:schemeClr val="bg1"/>
                </a:solidFill>
              </a:endParaRPr>
            </a:p>
          </xdr:txBody>
        </xdr:sp>
        <xdr:sp macro="" textlink="">
          <xdr:nvSpPr>
            <xdr:cNvPr id="17" name="Retângulo 16"/>
            <xdr:cNvSpPr/>
          </xdr:nvSpPr>
          <xdr:spPr>
            <a:xfrm>
              <a:off x="10058401" y="2455334"/>
              <a:ext cx="2285999" cy="982133"/>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3600"/>
                <a:t>matrizes </a:t>
              </a:r>
            </a:p>
          </xdr:txBody>
        </xdr:sp>
        <xdr:sp macro="" textlink="">
          <xdr:nvSpPr>
            <xdr:cNvPr id="18" name="Retângulo 17"/>
            <xdr:cNvSpPr/>
          </xdr:nvSpPr>
          <xdr:spPr>
            <a:xfrm>
              <a:off x="10058401" y="1371602"/>
              <a:ext cx="2285999" cy="491066"/>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grpSp>
      <xdr:grpSp>
        <xdr:nvGrpSpPr>
          <xdr:cNvPr id="20" name="Grupo 19"/>
          <xdr:cNvGrpSpPr/>
        </xdr:nvGrpSpPr>
        <xdr:grpSpPr>
          <a:xfrm>
            <a:off x="12513735" y="1371599"/>
            <a:ext cx="2285998" cy="2252134"/>
            <a:chOff x="10058401" y="1371599"/>
            <a:chExt cx="2285999" cy="2065868"/>
          </a:xfrm>
          <a:solidFill>
            <a:srgbClr val="8AC305"/>
          </a:solidFill>
        </xdr:grpSpPr>
        <xdr:sp macro="" textlink="$E$36">
          <xdr:nvSpPr>
            <xdr:cNvPr id="21" name="Retângulo 20"/>
            <xdr:cNvSpPr/>
          </xdr:nvSpPr>
          <xdr:spPr>
            <a:xfrm>
              <a:off x="10058401" y="1371599"/>
              <a:ext cx="2285999" cy="191346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0F89CAB0-C113-7B46-98D2-851E65FB20F5}" type="TxLink">
                <a:rPr lang="en-US" sz="8000" b="1" i="0" u="none" strike="noStrike">
                  <a:solidFill>
                    <a:schemeClr val="bg1"/>
                  </a:solidFill>
                  <a:latin typeface="Arial"/>
                  <a:ea typeface="Arial"/>
                  <a:cs typeface="Arial"/>
                </a:rPr>
                <a:pPr algn="r"/>
                <a:t>0</a:t>
              </a:fld>
              <a:endParaRPr lang="pt-BR" sz="28700" b="1">
                <a:solidFill>
                  <a:schemeClr val="bg1"/>
                </a:solidFill>
              </a:endParaRPr>
            </a:p>
          </xdr:txBody>
        </xdr:sp>
        <xdr:sp macro="" textlink="">
          <xdr:nvSpPr>
            <xdr:cNvPr id="22" name="Retângulo 21"/>
            <xdr:cNvSpPr/>
          </xdr:nvSpPr>
          <xdr:spPr>
            <a:xfrm>
              <a:off x="10058401" y="2455334"/>
              <a:ext cx="2285999" cy="982133"/>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pt-BR" sz="3600"/>
                <a:t>litros/VL</a:t>
              </a:r>
            </a:p>
          </xdr:txBody>
        </xdr:sp>
      </xdr:grpSp>
      <xdr:grpSp>
        <xdr:nvGrpSpPr>
          <xdr:cNvPr id="24" name="Grupo 23"/>
          <xdr:cNvGrpSpPr/>
        </xdr:nvGrpSpPr>
        <xdr:grpSpPr>
          <a:xfrm>
            <a:off x="12513735" y="3623736"/>
            <a:ext cx="2285998" cy="2285997"/>
            <a:chOff x="10058401" y="1371602"/>
            <a:chExt cx="2285999" cy="2285997"/>
          </a:xfrm>
        </xdr:grpSpPr>
        <xdr:sp macro="" textlink="$E$38">
          <xdr:nvSpPr>
            <xdr:cNvPr id="25" name="Retângulo 24"/>
            <xdr:cNvSpPr/>
          </xdr:nvSpPr>
          <xdr:spPr>
            <a:xfrm>
              <a:off x="10058401" y="1744132"/>
              <a:ext cx="2285999" cy="1913467"/>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4381221-8664-574A-860C-8BCBFFA8B09E}" type="TxLink">
                <a:rPr lang="en-US" sz="5400" b="0" i="0" u="none" strike="noStrike">
                  <a:solidFill>
                    <a:schemeClr val="bg1"/>
                  </a:solidFill>
                  <a:latin typeface="Arial"/>
                  <a:ea typeface="Arial"/>
                  <a:cs typeface="Arial"/>
                </a:rPr>
                <a:pPr algn="l"/>
                <a:t>#DIV/0!</a:t>
              </a:fld>
              <a:endParaRPr lang="pt-BR" sz="13800" b="1">
                <a:solidFill>
                  <a:schemeClr val="bg1"/>
                </a:solidFill>
              </a:endParaRPr>
            </a:p>
          </xdr:txBody>
        </xdr:sp>
        <xdr:sp macro="" textlink="">
          <xdr:nvSpPr>
            <xdr:cNvPr id="26" name="Retângulo 25"/>
            <xdr:cNvSpPr/>
          </xdr:nvSpPr>
          <xdr:spPr>
            <a:xfrm>
              <a:off x="10058401" y="1744134"/>
              <a:ext cx="2285999" cy="457200"/>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2400"/>
                <a:t>Rentabilidade</a:t>
              </a:r>
            </a:p>
          </xdr:txBody>
        </xdr:sp>
        <xdr:sp macro="" textlink="">
          <xdr:nvSpPr>
            <xdr:cNvPr id="27" name="Retângulo 26"/>
            <xdr:cNvSpPr/>
          </xdr:nvSpPr>
          <xdr:spPr>
            <a:xfrm>
              <a:off x="10058401" y="1371602"/>
              <a:ext cx="2285999" cy="491066"/>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grpSp>
      <xdr:grpSp>
        <xdr:nvGrpSpPr>
          <xdr:cNvPr id="28" name="Grupo 27"/>
          <xdr:cNvGrpSpPr/>
        </xdr:nvGrpSpPr>
        <xdr:grpSpPr>
          <a:xfrm>
            <a:off x="10227734" y="3657599"/>
            <a:ext cx="2286000" cy="2252134"/>
            <a:chOff x="10058401" y="1371599"/>
            <a:chExt cx="2285999" cy="1913467"/>
          </a:xfrm>
          <a:solidFill>
            <a:srgbClr val="8AC305"/>
          </a:solidFill>
        </xdr:grpSpPr>
        <xdr:sp macro="" textlink="$E$37">
          <xdr:nvSpPr>
            <xdr:cNvPr id="29" name="Retângulo 28"/>
            <xdr:cNvSpPr/>
          </xdr:nvSpPr>
          <xdr:spPr>
            <a:xfrm>
              <a:off x="10058401" y="1371599"/>
              <a:ext cx="2285999" cy="191346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892A86DA-3CB7-6C46-BFAD-91C315FC790A}" type="TxLink">
                <a:rPr lang="en-US" sz="2000" b="1" i="0" u="none" strike="noStrike">
                  <a:solidFill>
                    <a:schemeClr val="bg1"/>
                  </a:solidFill>
                  <a:latin typeface="Arial"/>
                  <a:ea typeface="Arial"/>
                  <a:cs typeface="Arial"/>
                </a:rPr>
                <a:pPr algn="l"/>
                <a:t>#DIV/0!</a:t>
              </a:fld>
              <a:endParaRPr lang="pt-BR" sz="59500" b="1">
                <a:solidFill>
                  <a:schemeClr val="bg1"/>
                </a:solidFill>
              </a:endParaRPr>
            </a:p>
          </xdr:txBody>
        </xdr:sp>
        <xdr:sp macro="" textlink="">
          <xdr:nvSpPr>
            <xdr:cNvPr id="30" name="Retângulo 29"/>
            <xdr:cNvSpPr/>
          </xdr:nvSpPr>
          <xdr:spPr>
            <a:xfrm>
              <a:off x="10058401" y="1387132"/>
              <a:ext cx="2285999" cy="1421772"/>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pt-BR" sz="2800"/>
                <a:t>Lucro operacional Mensal</a:t>
              </a:r>
            </a:p>
          </xdr:txBody>
        </xdr:sp>
      </xdr:grpSp>
    </xdr:grpSp>
    <xdr:clientData/>
  </xdr:twoCellAnchor>
  <xdr:twoCellAnchor>
    <xdr:from>
      <xdr:col>4</xdr:col>
      <xdr:colOff>829733</xdr:colOff>
      <xdr:row>8</xdr:row>
      <xdr:rowOff>118533</xdr:rowOff>
    </xdr:from>
    <xdr:to>
      <xdr:col>10</xdr:col>
      <xdr:colOff>457200</xdr:colOff>
      <xdr:row>27</xdr:row>
      <xdr:rowOff>135466</xdr:rowOff>
    </xdr:to>
    <xdr:graphicFrame macro="">
      <xdr:nvGraphicFramePr>
        <xdr:cNvPr id="34" name="Gráfico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541867</xdr:colOff>
      <xdr:row>1</xdr:row>
      <xdr:rowOff>135467</xdr:rowOff>
    </xdr:from>
    <xdr:to>
      <xdr:col>11</xdr:col>
      <xdr:colOff>347135</xdr:colOff>
      <xdr:row>3</xdr:row>
      <xdr:rowOff>186266</xdr:rowOff>
    </xdr:to>
    <xdr:sp macro="" textlink="$I$34">
      <xdr:nvSpPr>
        <xdr:cNvPr id="35" name="Retângulo 34"/>
        <xdr:cNvSpPr/>
      </xdr:nvSpPr>
      <xdr:spPr>
        <a:xfrm>
          <a:off x="8365067" y="338667"/>
          <a:ext cx="1634068" cy="491066"/>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0A6D125-A97F-8148-ACCF-87B64AEE9CCC}" type="TxLink">
            <a:rPr lang="en-US" sz="2800" b="1" i="0" u="none" strike="noStrike">
              <a:solidFill>
                <a:schemeClr val="bg1"/>
              </a:solidFill>
              <a:latin typeface="Arial"/>
              <a:ea typeface="Arial"/>
              <a:cs typeface="Arial"/>
            </a:rPr>
            <a:pPr algn="l"/>
            <a:t>2021</a:t>
          </a:fld>
          <a:endParaRPr lang="pt-BR" sz="6600" b="1">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201777</xdr:colOff>
      <xdr:row>5</xdr:row>
      <xdr:rowOff>169310</xdr:rowOff>
    </xdr:from>
    <xdr:to>
      <xdr:col>14</xdr:col>
      <xdr:colOff>588633</xdr:colOff>
      <xdr:row>26</xdr:row>
      <xdr:rowOff>137874</xdr:rowOff>
    </xdr:to>
    <xdr:grpSp>
      <xdr:nvGrpSpPr>
        <xdr:cNvPr id="30" name="Grupo 29"/>
        <xdr:cNvGrpSpPr/>
      </xdr:nvGrpSpPr>
      <xdr:grpSpPr>
        <a:xfrm>
          <a:off x="686946" y="1210995"/>
          <a:ext cx="12630226" cy="4477778"/>
          <a:chOff x="629301" y="458542"/>
          <a:chExt cx="12571322" cy="4496722"/>
        </a:xfrm>
      </xdr:grpSpPr>
      <xdr:sp macro="" textlink="">
        <xdr:nvSpPr>
          <xdr:cNvPr id="8" name="Retângulo 7"/>
          <xdr:cNvSpPr/>
        </xdr:nvSpPr>
        <xdr:spPr>
          <a:xfrm>
            <a:off x="3095966" y="458542"/>
            <a:ext cx="5503886" cy="4496722"/>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4" name="Retângulo 23"/>
          <xdr:cNvSpPr/>
        </xdr:nvSpPr>
        <xdr:spPr>
          <a:xfrm rot="16200000">
            <a:off x="983947" y="108298"/>
            <a:ext cx="1761773" cy="2462265"/>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1"/>
          <a:lstStyle/>
          <a:p>
            <a:pPr algn="ctr"/>
            <a:r>
              <a:rPr lang="en-US" sz="3200">
                <a:solidFill>
                  <a:schemeClr val="bg1"/>
                </a:solidFill>
              </a:rPr>
              <a:t> Volume médio diário vendido:</a:t>
            </a:r>
          </a:p>
        </xdr:txBody>
      </xdr:sp>
      <xdr:sp macro="" textlink="">
        <xdr:nvSpPr>
          <xdr:cNvPr id="25" name="Retângulo 24"/>
          <xdr:cNvSpPr/>
        </xdr:nvSpPr>
        <xdr:spPr>
          <a:xfrm rot="16200000">
            <a:off x="874885" y="2734182"/>
            <a:ext cx="1979898" cy="2462265"/>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nchorCtr="1"/>
          <a:lstStyle/>
          <a:p>
            <a:pPr algn="ctr"/>
            <a:r>
              <a:rPr lang="en-US" sz="3600">
                <a:solidFill>
                  <a:schemeClr val="bg1"/>
                </a:solidFill>
              </a:rPr>
              <a:t>litros por </a:t>
            </a:r>
          </a:p>
          <a:p>
            <a:pPr algn="ctr"/>
            <a:r>
              <a:rPr lang="en-US" sz="3600">
                <a:solidFill>
                  <a:schemeClr val="bg1"/>
                </a:solidFill>
              </a:rPr>
              <a:t>dia</a:t>
            </a:r>
          </a:p>
        </xdr:txBody>
      </xdr:sp>
      <xdr:sp macro="" textlink="$E$41">
        <xdr:nvSpPr>
          <xdr:cNvPr id="26" name="Retângulo 25"/>
          <xdr:cNvSpPr/>
        </xdr:nvSpPr>
        <xdr:spPr>
          <a:xfrm rot="16200000">
            <a:off x="1443218" y="1406402"/>
            <a:ext cx="855718" cy="2483551"/>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1"/>
          <a:lstStyle/>
          <a:p>
            <a:pPr algn="ctr"/>
            <a:fld id="{35196BC9-087A-8543-B9DA-77E0224B8445}" type="TxLink">
              <a:rPr lang="is-IS" sz="4400" b="1" i="0" u="none" strike="noStrike">
                <a:solidFill>
                  <a:schemeClr val="bg1"/>
                </a:solidFill>
                <a:latin typeface="Calibri" charset="0"/>
                <a:ea typeface="Calibri" charset="0"/>
                <a:cs typeface="Calibri" charset="0"/>
              </a:rPr>
              <a:pPr algn="ctr"/>
              <a:t>#DIV/0!</a:t>
            </a:fld>
            <a:endParaRPr lang="en-US" sz="49600" b="1">
              <a:solidFill>
                <a:schemeClr val="bg1"/>
              </a:solidFill>
              <a:latin typeface="Calibri" charset="0"/>
              <a:ea typeface="Calibri" charset="0"/>
              <a:cs typeface="Calibri" charset="0"/>
            </a:endParaRPr>
          </a:p>
        </xdr:txBody>
      </xdr:sp>
      <xdr:sp macro="" textlink="$E$42">
        <xdr:nvSpPr>
          <xdr:cNvPr id="21" name="Retângulo 20"/>
          <xdr:cNvSpPr/>
        </xdr:nvSpPr>
        <xdr:spPr>
          <a:xfrm>
            <a:off x="8599852" y="1018516"/>
            <a:ext cx="2300386" cy="1038730"/>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5A07247F-5E99-EB4D-A645-6615F0AD3633}" type="TxLink">
              <a:rPr lang="is-IS" sz="4400" b="0" i="0" u="none" strike="noStrike">
                <a:solidFill>
                  <a:schemeClr val="bg1"/>
                </a:solidFill>
                <a:latin typeface="Calibri" charset="0"/>
                <a:ea typeface="Calibri" charset="0"/>
                <a:cs typeface="Calibri" charset="0"/>
              </a:rPr>
              <a:pPr algn="ctr"/>
              <a:t>#DIV/0!</a:t>
            </a:fld>
            <a:endParaRPr lang="pt-BR" sz="9600" b="1">
              <a:solidFill>
                <a:schemeClr val="bg1"/>
              </a:solidFill>
              <a:latin typeface="Calibri" charset="0"/>
              <a:ea typeface="Calibri" charset="0"/>
              <a:cs typeface="Calibri" charset="0"/>
            </a:endParaRPr>
          </a:p>
        </xdr:txBody>
      </xdr:sp>
      <xdr:sp macro="" textlink="">
        <xdr:nvSpPr>
          <xdr:cNvPr id="22" name="Retângulo 21"/>
          <xdr:cNvSpPr/>
        </xdr:nvSpPr>
        <xdr:spPr>
          <a:xfrm>
            <a:off x="8599916" y="1810693"/>
            <a:ext cx="2300386" cy="845756"/>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3600"/>
              <a:t>matrizes </a:t>
            </a:r>
          </a:p>
        </xdr:txBody>
      </xdr:sp>
      <xdr:sp macro="" textlink="">
        <xdr:nvSpPr>
          <xdr:cNvPr id="23" name="Retângulo 22"/>
          <xdr:cNvSpPr/>
        </xdr:nvSpPr>
        <xdr:spPr>
          <a:xfrm>
            <a:off x="8599853" y="458544"/>
            <a:ext cx="2300386" cy="585120"/>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sp macro="" textlink="$E$48">
        <xdr:nvSpPr>
          <xdr:cNvPr id="16" name="Retângulo 15"/>
          <xdr:cNvSpPr/>
        </xdr:nvSpPr>
        <xdr:spPr>
          <a:xfrm>
            <a:off x="10900239" y="467004"/>
            <a:ext cx="2300383" cy="1370593"/>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BB894491-2A6E-1347-BDB4-93F315E7D807}" type="TxLink">
              <a:rPr lang="en-US" sz="5400" b="0" i="0" u="none" strike="noStrike">
                <a:solidFill>
                  <a:schemeClr val="bg1"/>
                </a:solidFill>
                <a:latin typeface="Calibri" charset="0"/>
                <a:ea typeface="Calibri" charset="0"/>
                <a:cs typeface="Calibri" charset="0"/>
              </a:rPr>
              <a:pPr algn="ctr"/>
              <a:t>#DIV/0!</a:t>
            </a:fld>
            <a:endParaRPr lang="pt-BR" sz="123400" b="0">
              <a:solidFill>
                <a:schemeClr val="bg1"/>
              </a:solidFill>
              <a:latin typeface="Calibri" charset="0"/>
              <a:ea typeface="Calibri" charset="0"/>
              <a:cs typeface="Calibri" charset="0"/>
            </a:endParaRPr>
          </a:p>
        </xdr:txBody>
      </xdr:sp>
      <xdr:sp macro="" textlink="">
        <xdr:nvSpPr>
          <xdr:cNvPr id="18" name="Retângulo 17"/>
          <xdr:cNvSpPr/>
        </xdr:nvSpPr>
        <xdr:spPr>
          <a:xfrm>
            <a:off x="10900240" y="1772970"/>
            <a:ext cx="2300383" cy="3156138"/>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sp macro="" textlink="$E$47">
        <xdr:nvSpPr>
          <xdr:cNvPr id="14" name="Retângulo 13"/>
          <xdr:cNvSpPr/>
        </xdr:nvSpPr>
        <xdr:spPr>
          <a:xfrm>
            <a:off x="8599853" y="2723682"/>
            <a:ext cx="2300386" cy="2218002"/>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884811BF-8D0E-C946-93DB-38D1A1F36ACB}" type="TxLink">
              <a:rPr lang="en-US" sz="2400" b="0" i="0" u="none" strike="noStrike">
                <a:solidFill>
                  <a:schemeClr val="bg1"/>
                </a:solidFill>
                <a:latin typeface="Calibri" charset="0"/>
                <a:ea typeface="Calibri" charset="0"/>
                <a:cs typeface="Calibri" charset="0"/>
              </a:rPr>
              <a:pPr algn="l"/>
              <a:t>#DIV/0!</a:t>
            </a:fld>
            <a:endParaRPr lang="pt-BR" sz="177700" b="0">
              <a:solidFill>
                <a:schemeClr val="bg1"/>
              </a:solidFill>
              <a:latin typeface="Calibri" charset="0"/>
              <a:ea typeface="Calibri" charset="0"/>
              <a:cs typeface="Calibri" charset="0"/>
            </a:endParaRPr>
          </a:p>
        </xdr:txBody>
      </xdr:sp>
      <xdr:sp macro="" textlink="">
        <xdr:nvSpPr>
          <xdr:cNvPr id="15" name="Retângulo 14"/>
          <xdr:cNvSpPr/>
        </xdr:nvSpPr>
        <xdr:spPr>
          <a:xfrm>
            <a:off x="8599853" y="2615446"/>
            <a:ext cx="2300386" cy="1458613"/>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pt-BR" sz="2800"/>
              <a:t>Lucro operacional anual</a:t>
            </a:r>
          </a:p>
        </xdr:txBody>
      </xdr:sp>
      <xdr:graphicFrame macro="">
        <xdr:nvGraphicFramePr>
          <xdr:cNvPr id="27" name="Gráfico 26"/>
          <xdr:cNvGraphicFramePr>
            <a:graphicFrameLocks/>
          </xdr:cNvGraphicFramePr>
        </xdr:nvGraphicFramePr>
        <xdr:xfrm>
          <a:off x="3143397" y="709522"/>
          <a:ext cx="5361328" cy="417901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1</xdr:colOff>
      <xdr:row>1</xdr:row>
      <xdr:rowOff>13606</xdr:rowOff>
    </xdr:from>
    <xdr:to>
      <xdr:col>14</xdr:col>
      <xdr:colOff>892023</xdr:colOff>
      <xdr:row>4</xdr:row>
      <xdr:rowOff>95250</xdr:rowOff>
    </xdr:to>
    <xdr:sp macro="" textlink="">
      <xdr:nvSpPr>
        <xdr:cNvPr id="2" name="Text Box 1"/>
        <xdr:cNvSpPr txBox="1">
          <a:spLocks noChangeArrowheads="1"/>
        </xdr:cNvSpPr>
      </xdr:nvSpPr>
      <xdr:spPr bwMode="auto">
        <a:xfrm>
          <a:off x="1" y="210154"/>
          <a:ext cx="13486189" cy="716644"/>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accent5"/>
              </a:solidFill>
              <a:latin typeface="+mn-lt"/>
              <a:ea typeface="Tahoma"/>
              <a:cs typeface="Tahoma"/>
            </a:rPr>
            <a:t>Visão para</a:t>
          </a:r>
        </a:p>
      </xdr:txBody>
    </xdr:sp>
    <xdr:clientData/>
  </xdr:twoCellAnchor>
  <xdr:twoCellAnchor>
    <xdr:from>
      <xdr:col>1</xdr:col>
      <xdr:colOff>237268</xdr:colOff>
      <xdr:row>26</xdr:row>
      <xdr:rowOff>176038</xdr:rowOff>
    </xdr:from>
    <xdr:to>
      <xdr:col>4</xdr:col>
      <xdr:colOff>62871</xdr:colOff>
      <xdr:row>35</xdr:row>
      <xdr:rowOff>176039</xdr:rowOff>
    </xdr:to>
    <xdr:sp macro="" textlink="$E$46">
      <xdr:nvSpPr>
        <xdr:cNvPr id="19" name="Retângulo 18"/>
        <xdr:cNvSpPr/>
      </xdr:nvSpPr>
      <xdr:spPr>
        <a:xfrm>
          <a:off x="715090" y="5746434"/>
          <a:ext cx="2415900" cy="1848417"/>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042DCB70-8D9C-7942-BF8D-3B1D0FAA0117}" type="TxLink">
            <a:rPr lang="en-US" sz="6000" b="0" i="0" u="none" strike="noStrike">
              <a:solidFill>
                <a:schemeClr val="bg1"/>
              </a:solidFill>
              <a:latin typeface="Calibri" charset="0"/>
              <a:ea typeface="Calibri" charset="0"/>
              <a:cs typeface="Calibri" charset="0"/>
            </a:rPr>
            <a:pPr algn="r"/>
            <a:t>#DIV/0!</a:t>
          </a:fld>
          <a:endParaRPr lang="pt-BR" sz="307000" b="0">
            <a:solidFill>
              <a:schemeClr val="bg1"/>
            </a:solidFill>
            <a:latin typeface="Calibri" charset="0"/>
            <a:ea typeface="Calibri" charset="0"/>
            <a:cs typeface="Calibri" charset="0"/>
          </a:endParaRPr>
        </a:p>
      </xdr:txBody>
    </xdr:sp>
    <xdr:clientData/>
  </xdr:twoCellAnchor>
  <xdr:twoCellAnchor>
    <xdr:from>
      <xdr:col>12</xdr:col>
      <xdr:colOff>388161</xdr:colOff>
      <xdr:row>6</xdr:row>
      <xdr:rowOff>41438</xdr:rowOff>
    </xdr:from>
    <xdr:to>
      <xdr:col>14</xdr:col>
      <xdr:colOff>502971</xdr:colOff>
      <xdr:row>8</xdr:row>
      <xdr:rowOff>92089</xdr:rowOff>
    </xdr:to>
    <xdr:sp macro="" textlink="">
      <xdr:nvSpPr>
        <xdr:cNvPr id="17" name="Retângulo 16"/>
        <xdr:cNvSpPr/>
      </xdr:nvSpPr>
      <xdr:spPr>
        <a:xfrm>
          <a:off x="11088854" y="1286289"/>
          <a:ext cx="2076394" cy="453028"/>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2400"/>
            <a:t>Rentabilidade</a:t>
          </a:r>
        </a:p>
      </xdr:txBody>
    </xdr:sp>
    <xdr:clientData/>
  </xdr:twoCellAnchor>
  <xdr:twoCellAnchor>
    <xdr:from>
      <xdr:col>8</xdr:col>
      <xdr:colOff>527597</xdr:colOff>
      <xdr:row>1</xdr:row>
      <xdr:rowOff>135467</xdr:rowOff>
    </xdr:from>
    <xdr:to>
      <xdr:col>10</xdr:col>
      <xdr:colOff>332865</xdr:colOff>
      <xdr:row>3</xdr:row>
      <xdr:rowOff>186266</xdr:rowOff>
    </xdr:to>
    <xdr:sp macro="" textlink="$I$43">
      <xdr:nvSpPr>
        <xdr:cNvPr id="28" name="Retângulo 27"/>
        <xdr:cNvSpPr/>
      </xdr:nvSpPr>
      <xdr:spPr>
        <a:xfrm>
          <a:off x="7605350" y="335242"/>
          <a:ext cx="1631785" cy="493159"/>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44BA35F-C7D0-EF4E-A6E3-5E479E5AD87F}" type="TxLink">
            <a:rPr lang="is-IS" sz="2800" b="1" i="0" u="none" strike="noStrike">
              <a:solidFill>
                <a:schemeClr val="accent5"/>
              </a:solidFill>
              <a:latin typeface="Calibri" charset="0"/>
              <a:ea typeface="Calibri" charset="0"/>
              <a:cs typeface="Calibri" charset="0"/>
            </a:rPr>
            <a:pPr algn="l"/>
            <a:t>2017</a:t>
          </a:fld>
          <a:endParaRPr lang="pt-BR" sz="13800" b="1">
            <a:solidFill>
              <a:schemeClr val="accent5"/>
            </a:solidFill>
            <a:latin typeface="Calibri" charset="0"/>
            <a:ea typeface="Calibri" charset="0"/>
            <a:cs typeface="Calibri" charset="0"/>
          </a:endParaRPr>
        </a:p>
      </xdr:txBody>
    </xdr:sp>
    <xdr:clientData/>
  </xdr:twoCellAnchor>
  <xdr:twoCellAnchor>
    <xdr:from>
      <xdr:col>1</xdr:col>
      <xdr:colOff>238910</xdr:colOff>
      <xdr:row>31</xdr:row>
      <xdr:rowOff>32279</xdr:rowOff>
    </xdr:from>
    <xdr:to>
      <xdr:col>4</xdr:col>
      <xdr:colOff>62870</xdr:colOff>
      <xdr:row>36</xdr:row>
      <xdr:rowOff>87254</xdr:rowOff>
    </xdr:to>
    <xdr:sp macro="" textlink="">
      <xdr:nvSpPr>
        <xdr:cNvPr id="20" name="Retângulo 19"/>
        <xdr:cNvSpPr/>
      </xdr:nvSpPr>
      <xdr:spPr>
        <a:xfrm>
          <a:off x="716732" y="6646338"/>
          <a:ext cx="2414257" cy="1060916"/>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pt-BR" sz="3600"/>
            <a:t>litros/VL</a:t>
          </a:r>
        </a:p>
      </xdr:txBody>
    </xdr:sp>
    <xdr:clientData/>
  </xdr:twoCellAnchor>
  <xdr:twoCellAnchor>
    <xdr:from>
      <xdr:col>12</xdr:col>
      <xdr:colOff>364521</xdr:colOff>
      <xdr:row>12</xdr:row>
      <xdr:rowOff>168689</xdr:rowOff>
    </xdr:from>
    <xdr:to>
      <xdr:col>14</xdr:col>
      <xdr:colOff>479331</xdr:colOff>
      <xdr:row>15</xdr:row>
      <xdr:rowOff>18152</xdr:rowOff>
    </xdr:to>
    <xdr:sp macro="" textlink="">
      <xdr:nvSpPr>
        <xdr:cNvPr id="31" name="Retângulo 30"/>
        <xdr:cNvSpPr/>
      </xdr:nvSpPr>
      <xdr:spPr>
        <a:xfrm>
          <a:off x="11065214" y="2620669"/>
          <a:ext cx="2076394" cy="453028"/>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2400"/>
            <a:t>Margem op.</a:t>
          </a:r>
        </a:p>
      </xdr:txBody>
    </xdr:sp>
    <xdr:clientData/>
  </xdr:twoCellAnchor>
  <xdr:twoCellAnchor>
    <xdr:from>
      <xdr:col>12</xdr:col>
      <xdr:colOff>415542</xdr:colOff>
      <xdr:row>15</xdr:row>
      <xdr:rowOff>138315</xdr:rowOff>
    </xdr:from>
    <xdr:to>
      <xdr:col>14</xdr:col>
      <xdr:colOff>402378</xdr:colOff>
      <xdr:row>19</xdr:row>
      <xdr:rowOff>188614</xdr:rowOff>
    </xdr:to>
    <xdr:sp macro="" textlink="$E$45">
      <xdr:nvSpPr>
        <xdr:cNvPr id="32" name="Retângulo 31"/>
        <xdr:cNvSpPr/>
      </xdr:nvSpPr>
      <xdr:spPr>
        <a:xfrm>
          <a:off x="11116235" y="3193860"/>
          <a:ext cx="1948420" cy="855051"/>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39B7F63-48B1-0D4B-B704-1E41DB1A217D}" type="TxLink">
            <a:rPr lang="is-IS" sz="5400" b="0" i="0" u="none" strike="noStrike">
              <a:solidFill>
                <a:schemeClr val="bg1"/>
              </a:solidFill>
              <a:latin typeface="Calibri" charset="0"/>
              <a:ea typeface="Calibri" charset="0"/>
              <a:cs typeface="Calibri" charset="0"/>
            </a:rPr>
            <a:pPr algn="ctr"/>
            <a:t>#DIV/0!</a:t>
          </a:fld>
          <a:endParaRPr lang="pt-BR" sz="400000" b="0">
            <a:solidFill>
              <a:schemeClr val="bg1"/>
            </a:solidFill>
            <a:latin typeface="Calibri" charset="0"/>
            <a:ea typeface="Calibri" charset="0"/>
            <a:cs typeface="Calibri" charset="0"/>
          </a:endParaRPr>
        </a:p>
      </xdr:txBody>
    </xdr:sp>
    <xdr:clientData/>
  </xdr:twoCellAnchor>
  <xdr:twoCellAnchor>
    <xdr:from>
      <xdr:col>4</xdr:col>
      <xdr:colOff>30240</xdr:colOff>
      <xdr:row>26</xdr:row>
      <xdr:rowOff>181430</xdr:rowOff>
    </xdr:from>
    <xdr:to>
      <xdr:col>6</xdr:col>
      <xdr:colOff>628714</xdr:colOff>
      <xdr:row>31</xdr:row>
      <xdr:rowOff>4793</xdr:rowOff>
    </xdr:to>
    <xdr:sp macro="" textlink="">
      <xdr:nvSpPr>
        <xdr:cNvPr id="33" name="Retângulo 32"/>
        <xdr:cNvSpPr/>
      </xdr:nvSpPr>
      <xdr:spPr>
        <a:xfrm>
          <a:off x="3084288" y="5654525"/>
          <a:ext cx="2654664" cy="851458"/>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Taxa</a:t>
          </a:r>
          <a:r>
            <a:rPr lang="pt-BR" sz="2000" baseline="0"/>
            <a:t> de Obs Cio</a:t>
          </a:r>
          <a:endParaRPr lang="pt-BR" sz="2000"/>
        </a:p>
      </xdr:txBody>
    </xdr:sp>
    <xdr:clientData/>
  </xdr:twoCellAnchor>
  <xdr:twoCellAnchor>
    <xdr:from>
      <xdr:col>6</xdr:col>
      <xdr:colOff>529167</xdr:colOff>
      <xdr:row>26</xdr:row>
      <xdr:rowOff>181429</xdr:rowOff>
    </xdr:from>
    <xdr:to>
      <xdr:col>9</xdr:col>
      <xdr:colOff>341013</xdr:colOff>
      <xdr:row>30</xdr:row>
      <xdr:rowOff>127252</xdr:rowOff>
    </xdr:to>
    <xdr:sp macro="" textlink="">
      <xdr:nvSpPr>
        <xdr:cNvPr id="34" name="Retângulo 33"/>
        <xdr:cNvSpPr/>
      </xdr:nvSpPr>
      <xdr:spPr>
        <a:xfrm>
          <a:off x="5639405" y="5654524"/>
          <a:ext cx="2533275" cy="777371"/>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Taxa</a:t>
          </a:r>
          <a:r>
            <a:rPr lang="pt-BR" sz="2000" baseline="0"/>
            <a:t> de Concepção</a:t>
          </a:r>
          <a:endParaRPr lang="pt-BR" sz="2000"/>
        </a:p>
      </xdr:txBody>
    </xdr:sp>
    <xdr:clientData/>
  </xdr:twoCellAnchor>
  <xdr:twoCellAnchor>
    <xdr:from>
      <xdr:col>9</xdr:col>
      <xdr:colOff>302381</xdr:colOff>
      <xdr:row>26</xdr:row>
      <xdr:rowOff>181430</xdr:rowOff>
    </xdr:from>
    <xdr:to>
      <xdr:col>11</xdr:col>
      <xdr:colOff>971235</xdr:colOff>
      <xdr:row>30</xdr:row>
      <xdr:rowOff>128762</xdr:rowOff>
    </xdr:to>
    <xdr:sp macro="" textlink="">
      <xdr:nvSpPr>
        <xdr:cNvPr id="35" name="Retângulo 34"/>
        <xdr:cNvSpPr/>
      </xdr:nvSpPr>
      <xdr:spPr>
        <a:xfrm>
          <a:off x="8134048" y="5654525"/>
          <a:ext cx="2483139" cy="778880"/>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DPP</a:t>
          </a:r>
          <a:r>
            <a:rPr lang="pt-BR" sz="2000" baseline="0"/>
            <a:t> Médio</a:t>
          </a:r>
          <a:endParaRPr lang="pt-BR" sz="2000"/>
        </a:p>
      </xdr:txBody>
    </xdr:sp>
    <xdr:clientData/>
  </xdr:twoCellAnchor>
  <xdr:twoCellAnchor>
    <xdr:from>
      <xdr:col>11</xdr:col>
      <xdr:colOff>831548</xdr:colOff>
      <xdr:row>26</xdr:row>
      <xdr:rowOff>181430</xdr:rowOff>
    </xdr:from>
    <xdr:to>
      <xdr:col>14</xdr:col>
      <xdr:colOff>529166</xdr:colOff>
      <xdr:row>30</xdr:row>
      <xdr:rowOff>117698</xdr:rowOff>
    </xdr:to>
    <xdr:sp macro="" textlink="">
      <xdr:nvSpPr>
        <xdr:cNvPr id="36" name="Retângulo 35"/>
        <xdr:cNvSpPr/>
      </xdr:nvSpPr>
      <xdr:spPr>
        <a:xfrm>
          <a:off x="10477500" y="5654525"/>
          <a:ext cx="2645833" cy="767816"/>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Taxa de descarte</a:t>
          </a:r>
        </a:p>
      </xdr:txBody>
    </xdr:sp>
    <xdr:clientData/>
  </xdr:twoCellAnchor>
  <xdr:twoCellAnchor>
    <xdr:from>
      <xdr:col>12</xdr:col>
      <xdr:colOff>340882</xdr:colOff>
      <xdr:row>20</xdr:row>
      <xdr:rowOff>119901</xdr:rowOff>
    </xdr:from>
    <xdr:to>
      <xdr:col>14</xdr:col>
      <xdr:colOff>455692</xdr:colOff>
      <xdr:row>22</xdr:row>
      <xdr:rowOff>69959</xdr:rowOff>
    </xdr:to>
    <xdr:sp macro="" textlink="">
      <xdr:nvSpPr>
        <xdr:cNvPr id="37" name="Retângulo 36"/>
        <xdr:cNvSpPr/>
      </xdr:nvSpPr>
      <xdr:spPr>
        <a:xfrm>
          <a:off x="11041575" y="4181386"/>
          <a:ext cx="2076394" cy="453028"/>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2400"/>
            <a:t>R$ do leite</a:t>
          </a:r>
        </a:p>
      </xdr:txBody>
    </xdr:sp>
    <xdr:clientData/>
  </xdr:twoCellAnchor>
  <xdr:twoCellAnchor>
    <xdr:from>
      <xdr:col>12</xdr:col>
      <xdr:colOff>479923</xdr:colOff>
      <xdr:row>22</xdr:row>
      <xdr:rowOff>89528</xdr:rowOff>
    </xdr:from>
    <xdr:to>
      <xdr:col>14</xdr:col>
      <xdr:colOff>466759</xdr:colOff>
      <xdr:row>25</xdr:row>
      <xdr:rowOff>177549</xdr:rowOff>
    </xdr:to>
    <xdr:sp macro="" textlink="$E$57">
      <xdr:nvSpPr>
        <xdr:cNvPr id="38" name="Retângulo 37"/>
        <xdr:cNvSpPr/>
      </xdr:nvSpPr>
      <xdr:spPr>
        <a:xfrm>
          <a:off x="11180616" y="4653983"/>
          <a:ext cx="1948420" cy="855051"/>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1D6BAF1E-9049-DF4D-9BC3-0EC96153EFF9}" type="TxLink">
            <a:rPr lang="en-US" sz="5400" b="0" i="0" u="none" strike="noStrike">
              <a:solidFill>
                <a:schemeClr val="bg1"/>
              </a:solidFill>
              <a:latin typeface="Calibri" charset="0"/>
              <a:ea typeface="Calibri" charset="0"/>
              <a:cs typeface="Calibri" charset="0"/>
            </a:rPr>
            <a:pPr algn="ctr"/>
            <a:t>0,00</a:t>
          </a:fld>
          <a:endParaRPr lang="pt-BR" sz="400000" b="0">
            <a:solidFill>
              <a:schemeClr val="bg1"/>
            </a:solidFill>
            <a:latin typeface="Calibri" charset="0"/>
            <a:ea typeface="Calibri" charset="0"/>
            <a:cs typeface="Calibri" charset="0"/>
          </a:endParaRPr>
        </a:p>
      </xdr:txBody>
    </xdr:sp>
    <xdr:clientData/>
  </xdr:twoCellAnchor>
  <xdr:twoCellAnchor>
    <xdr:from>
      <xdr:col>4</xdr:col>
      <xdr:colOff>45358</xdr:colOff>
      <xdr:row>30</xdr:row>
      <xdr:rowOff>125743</xdr:rowOff>
    </xdr:from>
    <xdr:to>
      <xdr:col>6</xdr:col>
      <xdr:colOff>629348</xdr:colOff>
      <xdr:row>36</xdr:row>
      <xdr:rowOff>88020</xdr:rowOff>
    </xdr:to>
    <xdr:sp macro="" textlink="$E$53">
      <xdr:nvSpPr>
        <xdr:cNvPr id="39" name="Retângulo 38"/>
        <xdr:cNvSpPr/>
      </xdr:nvSpPr>
      <xdr:spPr>
        <a:xfrm>
          <a:off x="3099406" y="6430386"/>
          <a:ext cx="2640180" cy="1141563"/>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E42CD5E8-034E-B549-A905-C6865E216D95}" type="TxLink">
            <a:rPr lang="en-US" sz="6000" b="0" i="0" u="none" strike="noStrike">
              <a:solidFill>
                <a:schemeClr val="bg1"/>
              </a:solidFill>
              <a:latin typeface="Calibri" charset="0"/>
              <a:ea typeface="Calibri" charset="0"/>
              <a:cs typeface="Calibri" charset="0"/>
            </a:rPr>
            <a:pPr algn="r"/>
            <a:t>#DIV/0!</a:t>
          </a:fld>
          <a:endParaRPr lang="pt-BR" sz="333300" b="0">
            <a:solidFill>
              <a:schemeClr val="bg1"/>
            </a:solidFill>
            <a:latin typeface="Calibri" charset="0"/>
            <a:ea typeface="Calibri" charset="0"/>
            <a:cs typeface="Calibri" charset="0"/>
          </a:endParaRPr>
        </a:p>
      </xdr:txBody>
    </xdr:sp>
    <xdr:clientData/>
  </xdr:twoCellAnchor>
  <xdr:twoCellAnchor>
    <xdr:from>
      <xdr:col>6</xdr:col>
      <xdr:colOff>589643</xdr:colOff>
      <xdr:row>30</xdr:row>
      <xdr:rowOff>125340</xdr:rowOff>
    </xdr:from>
    <xdr:to>
      <xdr:col>9</xdr:col>
      <xdr:colOff>347739</xdr:colOff>
      <xdr:row>36</xdr:row>
      <xdr:rowOff>87617</xdr:rowOff>
    </xdr:to>
    <xdr:sp macro="" textlink="$E$54">
      <xdr:nvSpPr>
        <xdr:cNvPr id="40" name="Retângulo 39"/>
        <xdr:cNvSpPr/>
      </xdr:nvSpPr>
      <xdr:spPr>
        <a:xfrm>
          <a:off x="5699881" y="6429983"/>
          <a:ext cx="2479525" cy="1141563"/>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2C719709-D52C-2542-86D1-6E9F86E9EC32}" type="TxLink">
            <a:rPr lang="en-US" sz="6000" b="0" i="0" u="none" strike="noStrike">
              <a:solidFill>
                <a:schemeClr val="bg1"/>
              </a:solidFill>
              <a:latin typeface="Calibri" charset="0"/>
              <a:ea typeface="Calibri" charset="0"/>
              <a:cs typeface="Calibri" charset="0"/>
            </a:rPr>
            <a:pPr algn="r"/>
            <a:t>#DIV/0!</a:t>
          </a:fld>
          <a:endParaRPr lang="pt-BR" sz="333300" b="0">
            <a:solidFill>
              <a:schemeClr val="bg1"/>
            </a:solidFill>
            <a:latin typeface="Calibri" charset="0"/>
            <a:ea typeface="Calibri" charset="0"/>
            <a:cs typeface="Calibri" charset="0"/>
          </a:endParaRPr>
        </a:p>
      </xdr:txBody>
    </xdr:sp>
    <xdr:clientData/>
  </xdr:twoCellAnchor>
  <xdr:twoCellAnchor>
    <xdr:from>
      <xdr:col>9</xdr:col>
      <xdr:colOff>302381</xdr:colOff>
      <xdr:row>30</xdr:row>
      <xdr:rowOff>113245</xdr:rowOff>
    </xdr:from>
    <xdr:to>
      <xdr:col>12</xdr:col>
      <xdr:colOff>151</xdr:colOff>
      <xdr:row>36</xdr:row>
      <xdr:rowOff>75522</xdr:rowOff>
    </xdr:to>
    <xdr:sp macro="" textlink="$E$55">
      <xdr:nvSpPr>
        <xdr:cNvPr id="41" name="Retângulo 40"/>
        <xdr:cNvSpPr/>
      </xdr:nvSpPr>
      <xdr:spPr>
        <a:xfrm>
          <a:off x="7201202" y="6576638"/>
          <a:ext cx="2147056" cy="1105277"/>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C3BDD516-B0E1-8A40-9495-DB4F8752AFC1}" type="TxLink">
            <a:rPr lang="en-US" sz="6000" b="0" i="0" u="none" strike="noStrike">
              <a:solidFill>
                <a:schemeClr val="bg1"/>
              </a:solidFill>
              <a:latin typeface="Calibri" charset="0"/>
              <a:ea typeface="Calibri" charset="0"/>
              <a:cs typeface="Calibri" charset="0"/>
            </a:rPr>
            <a:pPr algn="r"/>
            <a:t>#DIV/0!</a:t>
          </a:fld>
          <a:endParaRPr lang="pt-BR" sz="400000" b="0">
            <a:solidFill>
              <a:schemeClr val="bg1"/>
            </a:solidFill>
            <a:latin typeface="Calibri" charset="0"/>
            <a:ea typeface="Calibri" charset="0"/>
            <a:cs typeface="Calibri" charset="0"/>
          </a:endParaRPr>
        </a:p>
      </xdr:txBody>
    </xdr:sp>
    <xdr:clientData/>
  </xdr:twoCellAnchor>
  <xdr:twoCellAnchor>
    <xdr:from>
      <xdr:col>11</xdr:col>
      <xdr:colOff>922262</xdr:colOff>
      <xdr:row>30</xdr:row>
      <xdr:rowOff>111070</xdr:rowOff>
    </xdr:from>
    <xdr:to>
      <xdr:col>14</xdr:col>
      <xdr:colOff>529166</xdr:colOff>
      <xdr:row>36</xdr:row>
      <xdr:rowOff>73347</xdr:rowOff>
    </xdr:to>
    <xdr:sp macro="" textlink="$E$56">
      <xdr:nvSpPr>
        <xdr:cNvPr id="42" name="Retângulo 41"/>
        <xdr:cNvSpPr/>
      </xdr:nvSpPr>
      <xdr:spPr>
        <a:xfrm>
          <a:off x="10611363" y="6503879"/>
          <a:ext cx="2517915" cy="1160929"/>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FAEB97F4-E001-6C4C-B0C4-EFF808B82A78}" type="TxLink">
            <a:rPr lang="is-IS" sz="6000" b="0" i="0" u="none" strike="noStrike">
              <a:solidFill>
                <a:schemeClr val="bg1"/>
              </a:solidFill>
              <a:latin typeface="Calibri" charset="0"/>
              <a:ea typeface="Calibri" charset="0"/>
              <a:cs typeface="Calibri" charset="0"/>
            </a:rPr>
            <a:pPr algn="r"/>
            <a:t>#DIV/0!</a:t>
          </a:fld>
          <a:endParaRPr lang="pt-BR" sz="400000" b="0">
            <a:solidFill>
              <a:schemeClr val="bg1"/>
            </a:solidFill>
            <a:latin typeface="Calibri" charset="0"/>
            <a:ea typeface="Calibri" charset="0"/>
            <a:cs typeface="Calibri" charset="0"/>
          </a:endParaRPr>
        </a:p>
      </xdr:txBody>
    </xdr:sp>
    <xdr:clientData/>
  </xdr:twoCellAnchor>
  <xdr:twoCellAnchor>
    <xdr:from>
      <xdr:col>13</xdr:col>
      <xdr:colOff>320524</xdr:colOff>
      <xdr:row>1</xdr:row>
      <xdr:rowOff>68106</xdr:rowOff>
    </xdr:from>
    <xdr:to>
      <xdr:col>14</xdr:col>
      <xdr:colOff>751896</xdr:colOff>
      <xdr:row>4</xdr:row>
      <xdr:rowOff>17387</xdr:rowOff>
    </xdr:to>
    <xdr:sp macro="" textlink="">
      <xdr:nvSpPr>
        <xdr:cNvPr id="43" name="Arredondar Retângulo em um Canto Diagonal 10">
          <a:hlinkClick xmlns:r="http://schemas.openxmlformats.org/officeDocument/2006/relationships" r:id="rId2"/>
        </xdr:cNvPr>
        <xdr:cNvSpPr/>
      </xdr:nvSpPr>
      <xdr:spPr>
        <a:xfrm>
          <a:off x="11931953" y="264654"/>
          <a:ext cx="1414110" cy="584281"/>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editAs="oneCell">
    <xdr:from>
      <xdr:col>1</xdr:col>
      <xdr:colOff>228315</xdr:colOff>
      <xdr:row>1</xdr:row>
      <xdr:rowOff>114157</xdr:rowOff>
    </xdr:from>
    <xdr:to>
      <xdr:col>3</xdr:col>
      <xdr:colOff>852810</xdr:colOff>
      <xdr:row>3</xdr:row>
      <xdr:rowOff>171234</xdr:rowOff>
    </xdr:to>
    <xdr:pic>
      <xdr:nvPicPr>
        <xdr:cNvPr id="44" name="Imagem 43"/>
        <xdr:cNvPicPr>
          <a:picLocks noChangeAspect="1"/>
        </xdr:cNvPicPr>
      </xdr:nvPicPr>
      <xdr:blipFill>
        <a:blip xmlns:r="http://schemas.openxmlformats.org/officeDocument/2006/relationships" r:embed="rId3"/>
        <a:stretch>
          <a:fillRect/>
        </a:stretch>
      </xdr:blipFill>
      <xdr:spPr>
        <a:xfrm>
          <a:off x="713484" y="313932"/>
          <a:ext cx="2294045" cy="499437"/>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1</xdr:row>
      <xdr:rowOff>13606</xdr:rowOff>
    </xdr:from>
    <xdr:to>
      <xdr:col>26</xdr:col>
      <xdr:colOff>34635</xdr:colOff>
      <xdr:row>4</xdr:row>
      <xdr:rowOff>95250</xdr:rowOff>
    </xdr:to>
    <xdr:sp macro="" textlink="">
      <xdr:nvSpPr>
        <xdr:cNvPr id="2" name="Text Box 1"/>
        <xdr:cNvSpPr txBox="1">
          <a:spLocks noChangeArrowheads="1"/>
        </xdr:cNvSpPr>
      </xdr:nvSpPr>
      <xdr:spPr bwMode="auto">
        <a:xfrm>
          <a:off x="0" y="204106"/>
          <a:ext cx="22158035" cy="65314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800" b="1" i="0" u="none" strike="noStrike" baseline="0">
              <a:solidFill>
                <a:schemeClr val="bg1"/>
              </a:solidFill>
              <a:latin typeface="+mn-lt"/>
              <a:ea typeface="Tahoma"/>
              <a:cs typeface="Tahoma"/>
            </a:rPr>
            <a:t>MDA SandBox</a:t>
          </a:r>
        </a:p>
      </xdr:txBody>
    </xdr:sp>
    <xdr:clientData/>
  </xdr:twoCellAnchor>
  <xdr:twoCellAnchor>
    <xdr:from>
      <xdr:col>24</xdr:col>
      <xdr:colOff>63500</xdr:colOff>
      <xdr:row>1</xdr:row>
      <xdr:rowOff>98344</xdr:rowOff>
    </xdr:from>
    <xdr:to>
      <xdr:col>25</xdr:col>
      <xdr:colOff>497897</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20485100" y="288844"/>
          <a:ext cx="1285297" cy="520781"/>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258535</xdr:colOff>
      <xdr:row>1</xdr:row>
      <xdr:rowOff>13605</xdr:rowOff>
    </xdr:from>
    <xdr:to>
      <xdr:col>4</xdr:col>
      <xdr:colOff>174624</xdr:colOff>
      <xdr:row>4</xdr:row>
      <xdr:rowOff>95249</xdr:rowOff>
    </xdr:to>
    <xdr:grpSp>
      <xdr:nvGrpSpPr>
        <xdr:cNvPr id="4" name="Grupo 3"/>
        <xdr:cNvGrpSpPr/>
      </xdr:nvGrpSpPr>
      <xdr:grpSpPr>
        <a:xfrm>
          <a:off x="745368" y="225272"/>
          <a:ext cx="2498423" cy="737810"/>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oneCellAnchor>
    <xdr:from>
      <xdr:col>10</xdr:col>
      <xdr:colOff>698500</xdr:colOff>
      <xdr:row>2</xdr:row>
      <xdr:rowOff>174625</xdr:rowOff>
    </xdr:from>
    <xdr:ext cx="4950458" cy="311496"/>
    <xdr:sp macro="" textlink="">
      <xdr:nvSpPr>
        <xdr:cNvPr id="7" name="CaixaDeTexto 6"/>
        <xdr:cNvSpPr txBox="1"/>
      </xdr:nvSpPr>
      <xdr:spPr>
        <a:xfrm>
          <a:off x="9207500" y="555625"/>
          <a:ext cx="495045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400">
              <a:solidFill>
                <a:schemeClr val="bg1"/>
              </a:solidFill>
            </a:rPr>
            <a:t>Use esse espaço para personalizar a sua planilha e fazer cálculos .</a:t>
          </a:r>
        </a:p>
      </xdr:txBody>
    </xdr:sp>
    <xdr:clientData/>
  </xdr:oneCellAnchor>
</xdr:wsDr>
</file>

<file path=xl/drawings/drawing28.xml><?xml version="1.0" encoding="utf-8"?>
<xdr:wsDr xmlns:xdr="http://schemas.openxmlformats.org/drawingml/2006/spreadsheetDrawing" xmlns:a="http://schemas.openxmlformats.org/drawingml/2006/main">
  <xdr:twoCellAnchor>
    <xdr:from>
      <xdr:col>0</xdr:col>
      <xdr:colOff>1</xdr:colOff>
      <xdr:row>1</xdr:row>
      <xdr:rowOff>13606</xdr:rowOff>
    </xdr:from>
    <xdr:to>
      <xdr:col>11</xdr:col>
      <xdr:colOff>101601</xdr:colOff>
      <xdr:row>4</xdr:row>
      <xdr:rowOff>95250</xdr:rowOff>
    </xdr:to>
    <xdr:sp macro="" textlink="">
      <xdr:nvSpPr>
        <xdr:cNvPr id="2" name="Text Box 1"/>
        <xdr:cNvSpPr txBox="1">
          <a:spLocks noChangeArrowheads="1"/>
        </xdr:cNvSpPr>
      </xdr:nvSpPr>
      <xdr:spPr bwMode="auto">
        <a:xfrm>
          <a:off x="1" y="216806"/>
          <a:ext cx="9575800" cy="69124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800" b="1" i="0" u="none" strike="noStrike" baseline="0">
              <a:solidFill>
                <a:schemeClr val="bg1"/>
              </a:solidFill>
              <a:latin typeface="+mn-lt"/>
              <a:ea typeface="Tahoma"/>
              <a:cs typeface="Tahoma"/>
            </a:rPr>
            <a:t>Versões e Créditos</a:t>
          </a:r>
        </a:p>
      </xdr:txBody>
    </xdr:sp>
    <xdr:clientData/>
  </xdr:twoCellAnchor>
  <xdr:twoCellAnchor>
    <xdr:from>
      <xdr:col>9</xdr:col>
      <xdr:colOff>423313</xdr:colOff>
      <xdr:row>1</xdr:row>
      <xdr:rowOff>98344</xdr:rowOff>
    </xdr:from>
    <xdr:to>
      <xdr:col>11</xdr:col>
      <xdr:colOff>11043</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8043313" y="310011"/>
          <a:ext cx="1408063" cy="584281"/>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0</xdr:col>
      <xdr:colOff>126455</xdr:colOff>
      <xdr:row>1</xdr:row>
      <xdr:rowOff>91440</xdr:rowOff>
    </xdr:from>
    <xdr:to>
      <xdr:col>1</xdr:col>
      <xdr:colOff>990600</xdr:colOff>
      <xdr:row>3</xdr:row>
      <xdr:rowOff>193040</xdr:rowOff>
    </xdr:to>
    <xdr:grpSp>
      <xdr:nvGrpSpPr>
        <xdr:cNvPr id="4" name="Grupo 3"/>
        <xdr:cNvGrpSpPr/>
      </xdr:nvGrpSpPr>
      <xdr:grpSpPr>
        <a:xfrm>
          <a:off x="126455" y="294640"/>
          <a:ext cx="1351825" cy="508000"/>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ugusto%20Lima/Dropbox/PSO/6.%20SUPORTE%20A%20PROJETOS/INTERNOS/SI%20e%20Ferramentas%20Gest&#227;o/1%20Precifica&#231;&#227;o/C:/Applications/Microsoft%20Excel.app/C:/E/A/Clinica/Gerencial/Gerencial/Fazendas/Iguacu/2010/MDA/Organiza&#231;&#227;o/Procedimentos/P.O.%20Cio.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lanejamento_Estrategico_MDA_v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ugusto%20Lima/Dropbox/PSO/6.%20SUPORTE%20A%20PROJETOS/INTERNOS/SI%20e%20Ferramentas%20Gest&#227;o/1%20Precifica&#231;&#227;o/C:/Applications/Microsoft%20Excel.app/C:/A/Esalq/Ensino/FisLacta&#231;&#227;o/2014/Material%20did&#225;tico/M&amp;B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 Cio"/>
      <sheetName val="P.O. Cio.xlsx"/>
    </sheetNames>
    <definedNames>
      <definedName name="DoMPrediction"/>
      <definedName name="DoPrediction"/>
    </defined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onograma"/>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abolicproblemsmonitor"/>
    </sheetNames>
    <sheetDataSet>
      <sheetData sheetId="0" refreshError="1"/>
    </sheetDataSet>
  </externalBook>
</externalLink>
</file>

<file path=xl/theme/theme1.xml><?xml version="1.0" encoding="utf-8"?>
<a:theme xmlns:a="http://schemas.openxmlformats.org/drawingml/2006/main" name="Tema do Office">
  <a:themeElements>
    <a:clrScheme name="Personalizar 2">
      <a:dk1>
        <a:srgbClr val="525252"/>
      </a:dk1>
      <a:lt1>
        <a:srgbClr val="FFFFFF"/>
      </a:lt1>
      <a:dk2>
        <a:srgbClr val="002E4A"/>
      </a:dk2>
      <a:lt2>
        <a:srgbClr val="E7E6E6"/>
      </a:lt2>
      <a:accent1>
        <a:srgbClr val="002E4A"/>
      </a:accent1>
      <a:accent2>
        <a:srgbClr val="F57E24"/>
      </a:accent2>
      <a:accent3>
        <a:srgbClr val="677990"/>
      </a:accent3>
      <a:accent4>
        <a:srgbClr val="6E9A2E"/>
      </a:accent4>
      <a:accent5>
        <a:srgbClr val="008192"/>
      </a:accent5>
      <a:accent6>
        <a:srgbClr val="B2B79C"/>
      </a:accent6>
      <a:hlink>
        <a:srgbClr val="F57E24"/>
      </a:hlink>
      <a:folHlink>
        <a:srgbClr val="FEFFFF"/>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 Id="rId2" Type="http://schemas.openxmlformats.org/officeDocument/2006/relationships/vmlDrawing" Target="../drawings/vmlDrawing7.v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 Id="rId2" Type="http://schemas.openxmlformats.org/officeDocument/2006/relationships/vmlDrawing" Target="../drawings/vmlDrawing8.v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 Id="rId2" Type="http://schemas.openxmlformats.org/officeDocument/2006/relationships/vmlDrawing" Target="../drawings/vmlDrawing9.vml"/><Relationship Id="rId3"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 Id="rId2" Type="http://schemas.openxmlformats.org/officeDocument/2006/relationships/vmlDrawing" Target="../drawings/vmlDrawing10.vml"/><Relationship Id="rId3"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 Id="rId2" Type="http://schemas.openxmlformats.org/officeDocument/2006/relationships/vmlDrawing" Target="../drawings/vmlDrawing11.vml"/><Relationship Id="rId3"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 Id="rId2" Type="http://schemas.openxmlformats.org/officeDocument/2006/relationships/vmlDrawing" Target="../drawings/vmlDrawing12.vml"/><Relationship Id="rId3" Type="http://schemas.openxmlformats.org/officeDocument/2006/relationships/comments" Target="../comments1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enableFormatConditionsCalculation="0">
    <tabColor theme="6" tint="0.39997558519241921"/>
  </sheetPr>
  <dimension ref="A1:BL326"/>
  <sheetViews>
    <sheetView tabSelected="1" zoomScale="80" zoomScaleNormal="80" zoomScalePageLayoutView="80" workbookViewId="0">
      <selection activeCell="V3" sqref="V3"/>
    </sheetView>
  </sheetViews>
  <sheetFormatPr baseColWidth="10" defaultColWidth="8.6640625" defaultRowHeight="15" x14ac:dyDescent="0.2"/>
  <cols>
    <col min="1" max="1" width="2.33203125" style="136" customWidth="1"/>
    <col min="2" max="2" width="3.5" style="136" customWidth="1"/>
    <col min="3" max="3" width="2.5" style="136" customWidth="1"/>
    <col min="4" max="4" width="3.6640625" style="136" customWidth="1"/>
    <col min="5" max="5" width="5" style="136" customWidth="1"/>
    <col min="6" max="6" width="9.33203125" style="136" customWidth="1"/>
    <col min="7" max="7" width="9.5" style="136" customWidth="1"/>
    <col min="8" max="8" width="8.6640625" style="136"/>
    <col min="9" max="9" width="13.33203125" style="136" customWidth="1"/>
    <col min="10" max="10" width="8.6640625" style="136"/>
    <col min="11" max="11" width="12.5" style="136" customWidth="1"/>
    <col min="12" max="12" width="8.6640625" style="136"/>
    <col min="13" max="13" width="11.1640625" style="136" customWidth="1"/>
    <col min="14" max="14" width="8.6640625" style="136"/>
    <col min="15" max="15" width="13.1640625" style="136" customWidth="1"/>
    <col min="16" max="16" width="13.5" style="136" customWidth="1"/>
    <col min="17" max="18" width="8.6640625" style="136"/>
    <col min="19" max="19" width="12.5" style="136" customWidth="1"/>
    <col min="20" max="21" width="8.6640625" style="136"/>
    <col min="22" max="22" width="21.6640625" style="136" bestFit="1" customWidth="1"/>
    <col min="23" max="23" width="19" style="136" customWidth="1"/>
    <col min="24" max="24" width="12.6640625" style="136" customWidth="1"/>
    <col min="25" max="16384" width="8.6640625" style="136"/>
  </cols>
  <sheetData>
    <row r="1" spans="1:64" ht="16" customHeight="1" x14ac:dyDescent="0.2"/>
    <row r="2" spans="1:64" ht="13.5" customHeight="1" x14ac:dyDescent="0.2">
      <c r="A2" s="430"/>
      <c r="B2" s="430"/>
      <c r="C2" s="430"/>
      <c r="D2" s="430"/>
      <c r="E2" s="430"/>
      <c r="F2" s="430"/>
      <c r="G2" s="430"/>
      <c r="H2" s="430"/>
      <c r="I2" s="430"/>
      <c r="J2" s="430"/>
      <c r="K2" s="430"/>
      <c r="L2" s="430"/>
      <c r="M2" s="430"/>
      <c r="N2" s="430"/>
      <c r="O2" s="430"/>
      <c r="P2" s="430"/>
      <c r="Q2" s="430"/>
      <c r="R2" s="430"/>
      <c r="S2" s="430"/>
      <c r="T2" s="430"/>
      <c r="U2" s="430"/>
      <c r="V2" s="430"/>
      <c r="W2" s="430"/>
      <c r="X2" s="430"/>
      <c r="Y2" s="430"/>
      <c r="Z2" s="430"/>
      <c r="AA2" s="430"/>
      <c r="AB2" s="430"/>
      <c r="AC2" s="430"/>
      <c r="AD2" s="430"/>
      <c r="AE2" s="430"/>
      <c r="AF2" s="430"/>
      <c r="AG2" s="430"/>
      <c r="AH2" s="430"/>
    </row>
    <row r="3" spans="1:64" ht="23" customHeight="1" x14ac:dyDescent="0.2">
      <c r="A3" s="430"/>
      <c r="B3" s="430"/>
      <c r="C3" s="430"/>
      <c r="D3" s="430"/>
      <c r="E3" s="430"/>
      <c r="F3" s="430"/>
      <c r="G3" s="430"/>
      <c r="H3" s="430"/>
      <c r="I3" s="430"/>
      <c r="J3" s="1054" t="s">
        <v>597</v>
      </c>
      <c r="K3" s="1054"/>
      <c r="L3" s="1054"/>
      <c r="M3" s="1239"/>
      <c r="N3" s="1239"/>
      <c r="O3" s="1239"/>
      <c r="P3" s="1239"/>
      <c r="Q3" s="1239"/>
      <c r="R3" s="1239"/>
      <c r="S3" s="430"/>
      <c r="T3" s="1053" t="s">
        <v>552</v>
      </c>
      <c r="U3" s="1053"/>
      <c r="V3" s="1236">
        <v>2016</v>
      </c>
      <c r="W3" s="430"/>
      <c r="X3" s="430"/>
      <c r="Y3" s="430"/>
      <c r="Z3" s="430"/>
      <c r="AA3" s="430"/>
      <c r="AB3" s="430"/>
      <c r="AC3" s="430"/>
      <c r="AD3" s="430"/>
      <c r="AE3" s="430"/>
      <c r="AF3" s="430"/>
      <c r="AG3" s="430"/>
      <c r="AH3" s="430"/>
    </row>
    <row r="4" spans="1:64" ht="5.25" customHeight="1" x14ac:dyDescent="0.2">
      <c r="A4" s="430"/>
      <c r="B4" s="430"/>
      <c r="C4" s="430"/>
      <c r="D4" s="430"/>
      <c r="E4" s="430"/>
      <c r="F4" s="430"/>
      <c r="G4" s="430"/>
      <c r="H4" s="430"/>
      <c r="I4" s="430"/>
      <c r="J4" s="1054"/>
      <c r="K4" s="1054"/>
      <c r="L4" s="1054"/>
      <c r="M4" s="430"/>
      <c r="N4" s="430"/>
      <c r="O4" s="430"/>
      <c r="P4" s="430"/>
      <c r="Q4" s="430"/>
      <c r="R4" s="430"/>
      <c r="S4" s="430"/>
      <c r="T4" s="430"/>
      <c r="U4" s="430"/>
      <c r="V4" s="430"/>
      <c r="W4" s="430"/>
      <c r="X4" s="430"/>
      <c r="Y4" s="430"/>
      <c r="Z4" s="430"/>
      <c r="AA4" s="430"/>
      <c r="AB4" s="430"/>
      <c r="AC4" s="430"/>
      <c r="AD4" s="430"/>
      <c r="AE4" s="430"/>
      <c r="AF4" s="430"/>
      <c r="AG4" s="430"/>
      <c r="AH4" s="430"/>
    </row>
    <row r="5" spans="1:64" ht="20" customHeight="1" x14ac:dyDescent="0.2">
      <c r="A5" s="430"/>
      <c r="B5" s="430"/>
      <c r="C5" s="430"/>
      <c r="D5" s="430"/>
      <c r="E5" s="430"/>
      <c r="F5" s="430"/>
      <c r="G5" s="430"/>
      <c r="H5" s="430"/>
      <c r="I5" s="430"/>
      <c r="J5" s="1054" t="s">
        <v>550</v>
      </c>
      <c r="K5" s="1054"/>
      <c r="L5" s="1054"/>
      <c r="M5" s="1237"/>
      <c r="N5" s="1237"/>
      <c r="O5" s="1054" t="s">
        <v>551</v>
      </c>
      <c r="P5" s="1054"/>
      <c r="Q5" s="1238"/>
      <c r="R5" s="1238"/>
      <c r="S5" s="1054" t="s">
        <v>549</v>
      </c>
      <c r="T5" s="1054"/>
      <c r="U5" s="1054"/>
      <c r="V5" s="1235"/>
      <c r="W5" s="833" t="s">
        <v>434</v>
      </c>
      <c r="X5" s="430"/>
      <c r="Y5" s="430"/>
      <c r="Z5" s="430"/>
      <c r="AA5" s="430"/>
      <c r="AB5" s="430"/>
      <c r="AC5" s="430"/>
      <c r="AD5" s="430"/>
      <c r="AE5" s="430"/>
      <c r="AF5" s="430"/>
      <c r="AG5" s="430"/>
      <c r="AH5" s="430"/>
    </row>
    <row r="6" spans="1:64" ht="15" customHeight="1" x14ac:dyDescent="0.2">
      <c r="A6" s="430"/>
      <c r="B6" s="430"/>
      <c r="C6" s="430"/>
      <c r="D6" s="430"/>
      <c r="E6" s="430"/>
      <c r="F6" s="430"/>
      <c r="G6" s="430"/>
      <c r="H6" s="430"/>
      <c r="I6" s="430"/>
      <c r="J6" s="430"/>
      <c r="K6" s="430"/>
      <c r="L6" s="430"/>
      <c r="M6" s="430"/>
      <c r="N6" s="430"/>
      <c r="O6" s="430"/>
      <c r="P6" s="430"/>
      <c r="Q6" s="430"/>
      <c r="R6" s="430"/>
      <c r="S6" s="430"/>
      <c r="T6" s="430"/>
      <c r="U6" s="430"/>
      <c r="V6" s="430"/>
      <c r="W6" s="430"/>
      <c r="X6" s="430"/>
      <c r="Y6" s="430"/>
      <c r="Z6" s="430"/>
      <c r="AA6" s="430"/>
      <c r="AB6" s="430"/>
      <c r="AC6" s="430"/>
      <c r="AD6" s="430"/>
      <c r="AE6" s="430"/>
      <c r="AF6" s="430"/>
      <c r="AG6" s="1055" t="s">
        <v>511</v>
      </c>
      <c r="AH6" s="1055"/>
    </row>
    <row r="7" spans="1:64" ht="20" customHeight="1" x14ac:dyDescent="0.2"/>
    <row r="9" spans="1:64" x14ac:dyDescent="0.2">
      <c r="F9" s="446"/>
      <c r="G9" s="446"/>
      <c r="H9" s="446"/>
      <c r="I9" s="446"/>
      <c r="J9" s="446"/>
      <c r="P9" s="446"/>
      <c r="Q9" s="446"/>
      <c r="R9" s="446"/>
      <c r="S9" s="446"/>
      <c r="T9" s="446"/>
      <c r="U9" s="446"/>
      <c r="V9" s="446"/>
      <c r="W9" s="446"/>
      <c r="X9" s="446"/>
      <c r="Y9" s="446"/>
      <c r="Z9" s="446"/>
      <c r="AA9" s="446"/>
      <c r="AB9" s="446"/>
      <c r="AC9" s="446"/>
      <c r="AD9" s="446"/>
      <c r="AE9" s="446"/>
      <c r="AF9" s="446"/>
      <c r="AG9" s="446"/>
      <c r="AH9" s="446"/>
      <c r="AI9" s="446"/>
      <c r="AJ9" s="446"/>
      <c r="AK9" s="446"/>
      <c r="AL9" s="446"/>
      <c r="AM9" s="446"/>
      <c r="AN9" s="446"/>
      <c r="AO9" s="446"/>
      <c r="AP9" s="446"/>
      <c r="AQ9" s="446"/>
      <c r="AR9" s="446"/>
      <c r="AS9" s="446"/>
      <c r="AT9" s="446"/>
      <c r="AU9" s="446"/>
      <c r="AV9" s="446"/>
      <c r="AW9" s="446"/>
      <c r="AX9" s="446"/>
      <c r="AY9" s="446"/>
      <c r="AZ9" s="446"/>
      <c r="BA9" s="446"/>
      <c r="BB9" s="446"/>
      <c r="BC9" s="446"/>
      <c r="BD9" s="446"/>
      <c r="BE9" s="446"/>
      <c r="BF9" s="446"/>
      <c r="BG9" s="446"/>
      <c r="BH9" s="446"/>
      <c r="BI9" s="446"/>
      <c r="BJ9" s="446"/>
      <c r="BK9" s="446"/>
      <c r="BL9" s="446"/>
    </row>
    <row r="10" spans="1:64" x14ac:dyDescent="0.2">
      <c r="F10" s="447"/>
      <c r="G10" s="447"/>
      <c r="H10" s="447"/>
      <c r="I10" s="447"/>
      <c r="J10" s="447"/>
      <c r="K10" s="447"/>
      <c r="L10" s="447"/>
      <c r="M10" s="447"/>
      <c r="N10" s="447"/>
      <c r="O10" s="447"/>
      <c r="P10" s="447"/>
      <c r="Q10" s="447"/>
      <c r="R10" s="447"/>
      <c r="S10" s="447"/>
      <c r="T10" s="446"/>
      <c r="U10" s="446"/>
      <c r="V10" s="446"/>
      <c r="W10" s="446"/>
      <c r="X10" s="446"/>
      <c r="Y10" s="446"/>
      <c r="Z10" s="446"/>
      <c r="AA10" s="446"/>
      <c r="AB10" s="446"/>
      <c r="AC10" s="446"/>
      <c r="AD10" s="446"/>
      <c r="AE10" s="446"/>
      <c r="AF10" s="446"/>
      <c r="AG10" s="446"/>
      <c r="AH10" s="446"/>
      <c r="AI10" s="446"/>
      <c r="AJ10" s="446"/>
      <c r="AK10" s="446"/>
      <c r="AL10" s="446"/>
      <c r="AM10" s="446"/>
      <c r="AN10" s="446"/>
      <c r="AO10" s="446"/>
      <c r="AP10" s="446"/>
      <c r="AQ10" s="446"/>
      <c r="AR10" s="446"/>
      <c r="AS10" s="446"/>
      <c r="AT10" s="446"/>
      <c r="AU10" s="446"/>
      <c r="AV10" s="446"/>
      <c r="AW10" s="446"/>
      <c r="AX10" s="446"/>
      <c r="AY10" s="446"/>
      <c r="AZ10" s="446"/>
      <c r="BA10" s="446"/>
      <c r="BB10" s="446"/>
      <c r="BC10" s="446"/>
      <c r="BD10" s="446"/>
      <c r="BE10" s="446"/>
      <c r="BF10" s="446"/>
      <c r="BG10" s="446"/>
      <c r="BH10" s="446"/>
      <c r="BI10" s="446"/>
      <c r="BJ10" s="446"/>
      <c r="BK10" s="446"/>
      <c r="BL10" s="446"/>
    </row>
    <row r="11" spans="1:64" ht="24" x14ac:dyDescent="0.3">
      <c r="F11" s="1056"/>
      <c r="G11" s="1056"/>
      <c r="H11" s="1056"/>
      <c r="I11" s="1056"/>
      <c r="J11" s="1056"/>
      <c r="K11" s="1056"/>
      <c r="L11" s="447"/>
      <c r="M11" s="447"/>
      <c r="N11" s="447"/>
      <c r="O11" s="497"/>
      <c r="P11" s="497"/>
      <c r="Q11" s="497"/>
      <c r="R11" s="497"/>
      <c r="S11" s="497"/>
      <c r="T11" s="446"/>
      <c r="U11" s="446"/>
      <c r="V11" s="446"/>
      <c r="W11" s="446"/>
      <c r="X11" s="446"/>
      <c r="Y11" s="446"/>
      <c r="Z11" s="446"/>
      <c r="AA11" s="446"/>
      <c r="AB11" s="446"/>
      <c r="AC11" s="446"/>
      <c r="AD11" s="446"/>
      <c r="AE11" s="446"/>
      <c r="AF11" s="446"/>
      <c r="AG11" s="446"/>
      <c r="AH11" s="446"/>
      <c r="AI11" s="446"/>
      <c r="AJ11" s="446"/>
      <c r="AK11" s="446"/>
      <c r="AL11" s="446"/>
      <c r="AM11" s="446"/>
      <c r="AN11" s="446"/>
      <c r="AO11" s="446"/>
      <c r="AP11" s="446"/>
      <c r="AQ11" s="446"/>
      <c r="AR11" s="446"/>
      <c r="AS11" s="446"/>
      <c r="AT11" s="446"/>
      <c r="AU11" s="446"/>
      <c r="AV11" s="446"/>
      <c r="AW11" s="446"/>
      <c r="AX11" s="446"/>
      <c r="AY11" s="446"/>
      <c r="AZ11" s="446"/>
      <c r="BA11" s="446"/>
      <c r="BB11" s="446"/>
      <c r="BC11" s="446"/>
      <c r="BD11" s="446"/>
      <c r="BE11" s="446"/>
      <c r="BF11" s="446"/>
      <c r="BG11" s="446"/>
      <c r="BH11" s="446"/>
      <c r="BI11" s="446"/>
      <c r="BJ11" s="446"/>
      <c r="BK11" s="446"/>
      <c r="BL11" s="446"/>
    </row>
    <row r="12" spans="1:64" x14ac:dyDescent="0.2">
      <c r="F12" s="447"/>
      <c r="G12" s="447"/>
      <c r="H12" s="447"/>
      <c r="I12" s="447"/>
      <c r="J12" s="447"/>
      <c r="K12" s="447"/>
      <c r="L12" s="447"/>
      <c r="M12" s="447"/>
      <c r="N12" s="447"/>
      <c r="O12" s="447"/>
      <c r="P12" s="447"/>
      <c r="Q12" s="447"/>
      <c r="R12" s="447"/>
      <c r="S12" s="447"/>
      <c r="T12" s="446"/>
      <c r="U12" s="446"/>
      <c r="V12" s="446"/>
      <c r="W12" s="446"/>
      <c r="X12" s="446"/>
      <c r="Y12" s="446"/>
      <c r="Z12" s="446"/>
      <c r="AA12" s="446"/>
      <c r="AB12" s="446"/>
      <c r="AC12" s="446"/>
      <c r="AD12" s="446"/>
      <c r="AE12" s="446"/>
      <c r="AF12" s="446"/>
      <c r="AG12" s="446"/>
      <c r="AH12" s="446"/>
      <c r="AI12" s="446"/>
      <c r="AJ12" s="446"/>
      <c r="AK12" s="446"/>
      <c r="AL12" s="446"/>
      <c r="AM12" s="446"/>
      <c r="AN12" s="446"/>
      <c r="AO12" s="446"/>
      <c r="AP12" s="446"/>
      <c r="AQ12" s="446"/>
      <c r="AR12" s="446"/>
      <c r="AS12" s="446"/>
      <c r="AT12" s="446"/>
      <c r="AU12" s="446"/>
      <c r="AV12" s="446"/>
      <c r="AW12" s="446"/>
      <c r="AX12" s="446"/>
      <c r="AY12" s="446"/>
      <c r="AZ12" s="446"/>
      <c r="BA12" s="446"/>
      <c r="BB12" s="446"/>
      <c r="BC12" s="446"/>
      <c r="BD12" s="446"/>
      <c r="BE12" s="446"/>
      <c r="BF12" s="446"/>
      <c r="BG12" s="446"/>
      <c r="BH12" s="446"/>
      <c r="BI12" s="446"/>
      <c r="BJ12" s="446"/>
      <c r="BK12" s="446"/>
      <c r="BL12" s="446"/>
    </row>
    <row r="13" spans="1:64" x14ac:dyDescent="0.2">
      <c r="F13" s="447"/>
      <c r="G13" s="447"/>
      <c r="H13" s="447"/>
      <c r="I13" s="447"/>
      <c r="J13" s="447"/>
      <c r="K13" s="447"/>
      <c r="L13" s="447"/>
      <c r="M13" s="447"/>
      <c r="N13" s="447"/>
      <c r="O13" s="447"/>
      <c r="P13" s="447"/>
      <c r="Q13" s="447"/>
      <c r="R13" s="447"/>
      <c r="S13" s="447"/>
      <c r="T13" s="446"/>
      <c r="U13" s="446"/>
      <c r="V13" s="446"/>
      <c r="W13" s="446"/>
      <c r="X13" s="446"/>
      <c r="Y13" s="446"/>
      <c r="Z13" s="446"/>
      <c r="AA13" s="446"/>
      <c r="AB13" s="446"/>
      <c r="AC13" s="446"/>
      <c r="AD13" s="446"/>
      <c r="AE13" s="446"/>
      <c r="AF13" s="446"/>
      <c r="AG13" s="446"/>
      <c r="AH13" s="446"/>
      <c r="AI13" s="446"/>
      <c r="AJ13" s="446"/>
      <c r="AK13" s="446"/>
      <c r="AL13" s="446"/>
      <c r="AM13" s="446"/>
      <c r="AN13" s="446"/>
      <c r="AO13" s="446"/>
      <c r="AP13" s="446"/>
      <c r="AQ13" s="446"/>
      <c r="AR13" s="446"/>
      <c r="AS13" s="446"/>
      <c r="AT13" s="446"/>
      <c r="AU13" s="446"/>
      <c r="AV13" s="446"/>
      <c r="AW13" s="446"/>
      <c r="AX13" s="446"/>
      <c r="AY13" s="446"/>
      <c r="AZ13" s="446"/>
      <c r="BA13" s="446"/>
      <c r="BB13" s="446"/>
      <c r="BC13" s="446"/>
      <c r="BD13" s="446"/>
      <c r="BE13" s="446"/>
      <c r="BF13" s="446"/>
      <c r="BG13" s="446"/>
      <c r="BH13" s="446"/>
      <c r="BI13" s="446"/>
      <c r="BJ13" s="446"/>
      <c r="BK13" s="446"/>
      <c r="BL13" s="446"/>
    </row>
    <row r="14" spans="1:64" x14ac:dyDescent="0.2">
      <c r="F14" s="447"/>
      <c r="G14" s="447"/>
      <c r="H14" s="447"/>
      <c r="I14" s="447"/>
      <c r="J14" s="447"/>
      <c r="K14" s="447"/>
      <c r="L14" s="447"/>
      <c r="M14" s="447"/>
      <c r="N14" s="447"/>
      <c r="O14" s="447"/>
      <c r="P14" s="447"/>
      <c r="Q14" s="447"/>
      <c r="R14" s="447"/>
      <c r="S14" s="447"/>
      <c r="T14" s="446"/>
      <c r="U14" s="446"/>
      <c r="V14" s="446"/>
      <c r="W14" s="446"/>
      <c r="X14" s="446"/>
      <c r="Y14" s="446"/>
      <c r="Z14" s="446"/>
      <c r="AA14" s="446"/>
      <c r="AB14" s="446"/>
      <c r="AC14" s="446"/>
      <c r="AD14" s="446"/>
      <c r="AE14" s="446"/>
      <c r="AF14" s="446"/>
      <c r="AG14" s="446"/>
      <c r="AH14" s="446"/>
      <c r="AI14" s="446"/>
      <c r="AJ14" s="446"/>
      <c r="AK14" s="446"/>
      <c r="AL14" s="446"/>
      <c r="AM14" s="446"/>
      <c r="AN14" s="446"/>
      <c r="AO14" s="446"/>
      <c r="AP14" s="446"/>
      <c r="AQ14" s="446"/>
      <c r="AR14" s="446"/>
      <c r="AS14" s="446"/>
      <c r="AT14" s="446"/>
      <c r="AU14" s="446"/>
      <c r="AV14" s="446"/>
      <c r="AW14" s="446"/>
      <c r="AX14" s="446"/>
      <c r="AY14" s="446"/>
      <c r="AZ14" s="446"/>
      <c r="BA14" s="446"/>
      <c r="BB14" s="446"/>
      <c r="BC14" s="446"/>
      <c r="BD14" s="446"/>
      <c r="BE14" s="446"/>
      <c r="BF14" s="446"/>
      <c r="BG14" s="446"/>
      <c r="BH14" s="446"/>
      <c r="BI14" s="446"/>
      <c r="BJ14" s="446"/>
      <c r="BK14" s="446"/>
      <c r="BL14" s="446"/>
    </row>
    <row r="15" spans="1:64" x14ac:dyDescent="0.2">
      <c r="F15" s="447"/>
      <c r="G15" s="447"/>
      <c r="H15" s="447"/>
      <c r="I15" s="447"/>
      <c r="J15" s="447"/>
      <c r="K15" s="447"/>
      <c r="L15" s="447"/>
      <c r="M15" s="447"/>
      <c r="N15" s="447"/>
      <c r="O15" s="447"/>
      <c r="P15" s="447"/>
      <c r="Q15" s="447"/>
      <c r="R15" s="447"/>
      <c r="S15" s="447"/>
      <c r="T15" s="446"/>
      <c r="U15" s="446"/>
      <c r="V15" s="446"/>
      <c r="W15" s="446"/>
      <c r="X15" s="446"/>
      <c r="Y15" s="446"/>
      <c r="Z15" s="446"/>
      <c r="AA15" s="446"/>
      <c r="AB15" s="446"/>
      <c r="AC15" s="446"/>
      <c r="AD15" s="446"/>
      <c r="AE15" s="446"/>
      <c r="AF15" s="446"/>
      <c r="AG15" s="446"/>
      <c r="AH15" s="446"/>
      <c r="AI15" s="446"/>
      <c r="AJ15" s="446"/>
      <c r="AK15" s="446"/>
      <c r="AL15" s="446"/>
      <c r="AM15" s="446"/>
      <c r="AN15" s="446"/>
      <c r="AO15" s="446"/>
      <c r="AP15" s="446"/>
      <c r="AQ15" s="446"/>
      <c r="AR15" s="446"/>
      <c r="AS15" s="446"/>
      <c r="AT15" s="446"/>
      <c r="AU15" s="446"/>
      <c r="AV15" s="446"/>
      <c r="AW15" s="446"/>
      <c r="AX15" s="446"/>
      <c r="AY15" s="446"/>
      <c r="AZ15" s="446"/>
      <c r="BA15" s="446"/>
      <c r="BB15" s="446"/>
      <c r="BC15" s="446"/>
      <c r="BD15" s="446"/>
      <c r="BE15" s="446"/>
      <c r="BF15" s="446"/>
      <c r="BG15" s="446"/>
      <c r="BH15" s="446"/>
      <c r="BI15" s="446"/>
      <c r="BJ15" s="446"/>
      <c r="BK15" s="446"/>
      <c r="BL15" s="446"/>
    </row>
    <row r="16" spans="1:64" x14ac:dyDescent="0.2">
      <c r="F16" s="447"/>
      <c r="G16" s="447"/>
      <c r="H16" s="447"/>
      <c r="I16" s="447"/>
      <c r="J16" s="447"/>
      <c r="K16" s="447"/>
      <c r="L16" s="447"/>
      <c r="M16" s="447"/>
      <c r="N16" s="447"/>
      <c r="O16" s="447"/>
      <c r="P16" s="447"/>
      <c r="Q16" s="447"/>
      <c r="R16" s="447"/>
      <c r="S16" s="447"/>
      <c r="T16" s="446"/>
      <c r="U16" s="446"/>
      <c r="V16" s="446"/>
      <c r="W16" s="446"/>
      <c r="X16" s="446"/>
      <c r="Y16" s="446"/>
      <c r="Z16" s="446"/>
      <c r="AA16" s="446"/>
      <c r="AB16" s="446"/>
      <c r="AC16" s="446"/>
      <c r="AD16" s="446"/>
      <c r="AE16" s="446"/>
      <c r="AF16" s="446"/>
      <c r="AG16" s="446"/>
      <c r="AH16" s="446"/>
      <c r="AI16" s="446"/>
      <c r="AJ16" s="446"/>
      <c r="AK16" s="446"/>
      <c r="AL16" s="446"/>
      <c r="AM16" s="446"/>
      <c r="AN16" s="446"/>
      <c r="AO16" s="446"/>
      <c r="AP16" s="446"/>
      <c r="AQ16" s="446"/>
      <c r="AR16" s="446"/>
      <c r="AS16" s="446"/>
      <c r="AT16" s="446"/>
      <c r="AU16" s="446"/>
      <c r="AV16" s="446"/>
      <c r="AW16" s="446"/>
      <c r="AX16" s="446"/>
      <c r="AY16" s="446"/>
      <c r="AZ16" s="446"/>
      <c r="BA16" s="446"/>
      <c r="BB16" s="446"/>
      <c r="BC16" s="446"/>
      <c r="BD16" s="446"/>
      <c r="BE16" s="446"/>
      <c r="BF16" s="446"/>
      <c r="BG16" s="446"/>
      <c r="BH16" s="446"/>
      <c r="BI16" s="446"/>
      <c r="BJ16" s="446"/>
      <c r="BK16" s="446"/>
      <c r="BL16" s="446"/>
    </row>
    <row r="17" spans="6:64" x14ac:dyDescent="0.2">
      <c r="F17" s="447"/>
      <c r="G17" s="447"/>
      <c r="H17" s="447"/>
      <c r="I17" s="447"/>
      <c r="J17" s="447"/>
      <c r="K17" s="447"/>
      <c r="L17" s="447"/>
      <c r="M17" s="447"/>
      <c r="N17" s="447"/>
      <c r="O17" s="447"/>
      <c r="P17" s="447"/>
      <c r="Q17" s="447"/>
      <c r="R17" s="447"/>
      <c r="S17" s="447"/>
      <c r="T17" s="446"/>
      <c r="U17" s="446"/>
      <c r="V17" s="446"/>
      <c r="W17" s="446"/>
      <c r="X17" s="446"/>
      <c r="Y17" s="446"/>
      <c r="Z17" s="446"/>
      <c r="AA17" s="446"/>
      <c r="AB17" s="446"/>
      <c r="AC17" s="446"/>
      <c r="AD17" s="446"/>
      <c r="AE17" s="446"/>
      <c r="AF17" s="446"/>
      <c r="AG17" s="446"/>
      <c r="AH17" s="446"/>
      <c r="AI17" s="446"/>
      <c r="AJ17" s="446"/>
      <c r="AK17" s="446"/>
      <c r="AL17" s="446"/>
      <c r="AM17" s="446"/>
      <c r="AN17" s="446"/>
      <c r="AO17" s="446"/>
      <c r="AP17" s="446"/>
      <c r="AQ17" s="446"/>
      <c r="AR17" s="446"/>
      <c r="AS17" s="446"/>
      <c r="AT17" s="446"/>
      <c r="AU17" s="446"/>
      <c r="AV17" s="446"/>
      <c r="AW17" s="446"/>
      <c r="AX17" s="446"/>
      <c r="AY17" s="446"/>
      <c r="AZ17" s="446"/>
      <c r="BA17" s="446"/>
      <c r="BB17" s="446"/>
      <c r="BC17" s="446"/>
      <c r="BD17" s="446"/>
      <c r="BE17" s="446"/>
      <c r="BF17" s="446"/>
      <c r="BG17" s="446"/>
      <c r="BH17" s="446"/>
      <c r="BI17" s="446"/>
      <c r="BJ17" s="446"/>
      <c r="BK17" s="446"/>
      <c r="BL17" s="446"/>
    </row>
    <row r="18" spans="6:64" x14ac:dyDescent="0.2">
      <c r="F18" s="447"/>
      <c r="G18" s="447"/>
      <c r="H18" s="447"/>
      <c r="I18" s="447"/>
      <c r="J18" s="447"/>
      <c r="K18" s="447"/>
      <c r="L18" s="447"/>
      <c r="M18" s="447"/>
      <c r="N18" s="447"/>
      <c r="O18" s="447"/>
      <c r="P18" s="447"/>
      <c r="Q18" s="447"/>
      <c r="R18" s="447"/>
      <c r="S18" s="447"/>
      <c r="T18" s="446"/>
      <c r="U18" s="446"/>
      <c r="V18" s="446"/>
      <c r="W18" s="446"/>
      <c r="X18" s="446"/>
      <c r="Y18" s="446"/>
      <c r="Z18" s="446"/>
      <c r="AA18" s="446"/>
      <c r="AB18" s="446"/>
      <c r="AC18" s="446"/>
      <c r="AD18" s="446"/>
      <c r="AE18" s="446"/>
      <c r="AF18" s="446"/>
      <c r="AG18" s="446"/>
      <c r="AH18" s="446"/>
      <c r="AI18" s="446"/>
      <c r="AJ18" s="446"/>
      <c r="AK18" s="446"/>
      <c r="AL18" s="446"/>
      <c r="AM18" s="446"/>
      <c r="AN18" s="446"/>
      <c r="AO18" s="446"/>
      <c r="AP18" s="446"/>
      <c r="AQ18" s="446"/>
      <c r="AR18" s="446"/>
      <c r="AS18" s="446"/>
      <c r="AT18" s="446"/>
      <c r="AU18" s="446"/>
      <c r="AV18" s="446"/>
      <c r="AW18" s="446"/>
      <c r="AX18" s="446"/>
      <c r="AY18" s="446"/>
      <c r="AZ18" s="446"/>
      <c r="BA18" s="446"/>
      <c r="BB18" s="446"/>
      <c r="BC18" s="446"/>
      <c r="BD18" s="446"/>
      <c r="BE18" s="446"/>
      <c r="BF18" s="446"/>
      <c r="BG18" s="446"/>
      <c r="BH18" s="446"/>
      <c r="BI18" s="446"/>
      <c r="BJ18" s="446"/>
      <c r="BK18" s="446"/>
      <c r="BL18" s="446"/>
    </row>
    <row r="19" spans="6:64" x14ac:dyDescent="0.2">
      <c r="F19" s="447"/>
      <c r="G19" s="447"/>
      <c r="H19" s="447"/>
      <c r="I19" s="447"/>
      <c r="J19" s="447"/>
      <c r="K19" s="447"/>
      <c r="L19" s="447"/>
      <c r="M19" s="447"/>
      <c r="N19" s="447"/>
      <c r="O19" s="447"/>
      <c r="P19" s="447"/>
      <c r="Q19" s="447"/>
      <c r="R19" s="447"/>
      <c r="S19" s="447"/>
      <c r="T19" s="446"/>
      <c r="U19" s="446"/>
      <c r="V19" s="446"/>
      <c r="W19" s="446"/>
      <c r="X19" s="446"/>
      <c r="Y19" s="446"/>
      <c r="Z19" s="446"/>
      <c r="AA19" s="446"/>
      <c r="AB19" s="446"/>
      <c r="AC19" s="446"/>
      <c r="AD19" s="446"/>
      <c r="AE19" s="446"/>
      <c r="AF19" s="446"/>
      <c r="AG19" s="446"/>
      <c r="AH19" s="446"/>
      <c r="AI19" s="446"/>
      <c r="AJ19" s="446"/>
      <c r="AK19" s="446"/>
      <c r="AL19" s="446"/>
      <c r="AM19" s="446"/>
      <c r="AN19" s="446"/>
      <c r="AO19" s="446"/>
      <c r="AP19" s="446"/>
      <c r="AQ19" s="446"/>
      <c r="AR19" s="446"/>
      <c r="AS19" s="446"/>
      <c r="AT19" s="446"/>
      <c r="AU19" s="446"/>
      <c r="AV19" s="446"/>
      <c r="AW19" s="446"/>
      <c r="AX19" s="446"/>
      <c r="AY19" s="446"/>
      <c r="AZ19" s="446"/>
      <c r="BA19" s="446"/>
      <c r="BB19" s="446"/>
      <c r="BC19" s="446"/>
      <c r="BD19" s="446"/>
      <c r="BE19" s="446"/>
      <c r="BF19" s="446"/>
      <c r="BG19" s="446"/>
      <c r="BH19" s="446"/>
      <c r="BI19" s="446"/>
      <c r="BJ19" s="446"/>
      <c r="BK19" s="446"/>
      <c r="BL19" s="446"/>
    </row>
    <row r="20" spans="6:64" x14ac:dyDescent="0.2">
      <c r="F20" s="447"/>
      <c r="G20" s="447"/>
      <c r="H20" s="447"/>
      <c r="I20" s="447"/>
      <c r="J20" s="447"/>
      <c r="K20" s="447"/>
      <c r="L20" s="447"/>
      <c r="M20" s="447"/>
      <c r="N20" s="447"/>
      <c r="O20" s="447"/>
      <c r="P20" s="447"/>
      <c r="Q20" s="447"/>
      <c r="R20" s="447"/>
      <c r="S20" s="447"/>
      <c r="T20" s="446"/>
      <c r="U20" s="446"/>
      <c r="V20" s="446"/>
      <c r="W20" s="446"/>
      <c r="X20" s="446"/>
      <c r="Y20" s="446"/>
      <c r="Z20" s="446"/>
      <c r="AA20" s="446"/>
      <c r="AB20" s="446"/>
      <c r="AC20" s="446"/>
      <c r="AD20" s="446"/>
      <c r="AE20" s="446"/>
      <c r="AF20" s="446"/>
      <c r="AG20" s="446"/>
      <c r="AH20" s="446"/>
      <c r="AI20" s="446"/>
      <c r="AJ20" s="446"/>
      <c r="AK20" s="446"/>
      <c r="AL20" s="446"/>
      <c r="AM20" s="446"/>
      <c r="AN20" s="446"/>
      <c r="AO20" s="446"/>
      <c r="AP20" s="446"/>
      <c r="AQ20" s="446"/>
      <c r="AR20" s="446"/>
      <c r="AS20" s="446"/>
      <c r="AT20" s="446"/>
      <c r="AU20" s="446"/>
      <c r="AV20" s="446"/>
      <c r="AW20" s="446"/>
      <c r="AX20" s="446"/>
      <c r="AY20" s="446"/>
      <c r="AZ20" s="446"/>
      <c r="BA20" s="446"/>
      <c r="BB20" s="446"/>
      <c r="BC20" s="446"/>
      <c r="BD20" s="446"/>
      <c r="BE20" s="446"/>
      <c r="BF20" s="446"/>
      <c r="BG20" s="446"/>
      <c r="BH20" s="446"/>
      <c r="BI20" s="446"/>
      <c r="BJ20" s="446"/>
      <c r="BK20" s="446"/>
      <c r="BL20" s="446"/>
    </row>
    <row r="21" spans="6:64" x14ac:dyDescent="0.2">
      <c r="F21" s="447"/>
      <c r="G21" s="447"/>
      <c r="H21" s="447"/>
      <c r="I21" s="447"/>
      <c r="J21" s="447"/>
      <c r="K21" s="447"/>
      <c r="L21" s="447"/>
      <c r="M21" s="447"/>
      <c r="N21" s="447"/>
      <c r="O21" s="447"/>
      <c r="P21" s="447"/>
      <c r="Q21" s="447"/>
      <c r="R21" s="447"/>
      <c r="S21" s="447"/>
      <c r="T21" s="446"/>
      <c r="U21" s="446"/>
      <c r="V21" s="446"/>
      <c r="W21" s="446"/>
      <c r="X21" s="446"/>
      <c r="Y21" s="446"/>
      <c r="Z21" s="446"/>
      <c r="AA21" s="446"/>
      <c r="AB21" s="446"/>
      <c r="AC21" s="446"/>
      <c r="AD21" s="446"/>
      <c r="AE21" s="446"/>
      <c r="AF21" s="446"/>
      <c r="AG21" s="446"/>
      <c r="AH21" s="446"/>
      <c r="AI21" s="446"/>
      <c r="AJ21" s="446"/>
      <c r="AK21" s="446"/>
      <c r="AL21" s="446"/>
      <c r="AM21" s="446"/>
      <c r="AN21" s="446"/>
      <c r="AO21" s="446"/>
      <c r="AP21" s="446"/>
      <c r="AQ21" s="446"/>
      <c r="AR21" s="446"/>
      <c r="AS21" s="446"/>
      <c r="AT21" s="446"/>
      <c r="AU21" s="446"/>
      <c r="AV21" s="446"/>
      <c r="AW21" s="446"/>
      <c r="AX21" s="446"/>
      <c r="AY21" s="446"/>
      <c r="AZ21" s="446"/>
      <c r="BA21" s="446"/>
      <c r="BB21" s="446"/>
      <c r="BC21" s="446"/>
      <c r="BD21" s="446"/>
      <c r="BE21" s="446"/>
      <c r="BF21" s="446"/>
      <c r="BG21" s="446"/>
      <c r="BH21" s="446"/>
      <c r="BI21" s="446"/>
      <c r="BJ21" s="446"/>
      <c r="BK21" s="446"/>
      <c r="BL21" s="446"/>
    </row>
    <row r="22" spans="6:64" x14ac:dyDescent="0.2">
      <c r="F22" s="447"/>
      <c r="G22" s="447"/>
      <c r="H22" s="447"/>
      <c r="I22" s="447"/>
      <c r="J22" s="447"/>
      <c r="K22" s="447"/>
      <c r="L22" s="447"/>
      <c r="M22" s="447"/>
      <c r="N22" s="447"/>
      <c r="O22" s="447"/>
      <c r="P22" s="447"/>
      <c r="Q22" s="447"/>
      <c r="R22" s="447"/>
      <c r="S22" s="447"/>
      <c r="T22" s="446"/>
      <c r="U22" s="446"/>
      <c r="V22" s="446"/>
      <c r="W22" s="446"/>
      <c r="X22" s="446"/>
      <c r="Y22" s="446"/>
      <c r="Z22" s="446"/>
      <c r="AA22" s="446"/>
      <c r="AB22" s="446"/>
      <c r="AC22" s="446"/>
      <c r="AD22" s="446"/>
      <c r="AE22" s="446"/>
      <c r="AF22" s="446"/>
      <c r="AG22" s="446"/>
      <c r="AH22" s="446"/>
      <c r="AI22" s="446"/>
      <c r="AJ22" s="446"/>
      <c r="AK22" s="446"/>
      <c r="AL22" s="446"/>
      <c r="AM22" s="446"/>
      <c r="AN22" s="446"/>
      <c r="AO22" s="446"/>
      <c r="AP22" s="446"/>
      <c r="AQ22" s="446"/>
      <c r="AR22" s="446"/>
      <c r="AS22" s="446"/>
      <c r="AT22" s="446"/>
      <c r="AU22" s="446"/>
      <c r="AV22" s="446"/>
      <c r="AW22" s="446"/>
      <c r="AX22" s="446"/>
      <c r="AY22" s="446"/>
      <c r="AZ22" s="446"/>
      <c r="BA22" s="446"/>
      <c r="BB22" s="446"/>
      <c r="BC22" s="446"/>
      <c r="BD22" s="446"/>
      <c r="BE22" s="446"/>
      <c r="BF22" s="446"/>
      <c r="BG22" s="446"/>
      <c r="BH22" s="446"/>
      <c r="BI22" s="446"/>
      <c r="BJ22" s="446"/>
      <c r="BK22" s="446"/>
      <c r="BL22" s="446"/>
    </row>
    <row r="23" spans="6:64" x14ac:dyDescent="0.2">
      <c r="F23" s="447"/>
      <c r="G23" s="447"/>
      <c r="H23" s="447"/>
      <c r="I23" s="447"/>
      <c r="J23" s="447"/>
      <c r="K23" s="447"/>
      <c r="L23" s="447"/>
      <c r="M23" s="447"/>
      <c r="N23" s="447"/>
      <c r="O23" s="447"/>
      <c r="P23" s="447"/>
      <c r="Q23" s="447"/>
      <c r="R23" s="447"/>
      <c r="S23" s="447"/>
      <c r="T23" s="446"/>
      <c r="U23" s="446"/>
      <c r="V23" s="446"/>
      <c r="W23" s="446"/>
      <c r="X23" s="446"/>
      <c r="Y23" s="446"/>
      <c r="Z23" s="446"/>
      <c r="AA23" s="446"/>
      <c r="AB23" s="446"/>
      <c r="AC23" s="446"/>
      <c r="AD23" s="446"/>
      <c r="AE23" s="446"/>
      <c r="AF23" s="446"/>
      <c r="AG23" s="446"/>
      <c r="AH23" s="446"/>
      <c r="AI23" s="446"/>
      <c r="AJ23" s="446"/>
      <c r="AK23" s="446"/>
      <c r="AL23" s="446"/>
      <c r="AM23" s="446"/>
      <c r="AN23" s="446"/>
      <c r="AO23" s="446"/>
      <c r="AP23" s="446"/>
      <c r="AQ23" s="446"/>
      <c r="AR23" s="446"/>
      <c r="AS23" s="446"/>
      <c r="AT23" s="446"/>
      <c r="AU23" s="446"/>
      <c r="AV23" s="446"/>
      <c r="AW23" s="446"/>
      <c r="AX23" s="446"/>
      <c r="AY23" s="446"/>
      <c r="AZ23" s="446"/>
      <c r="BA23" s="446"/>
      <c r="BB23" s="446"/>
      <c r="BC23" s="446"/>
      <c r="BD23" s="446"/>
      <c r="BE23" s="446"/>
      <c r="BF23" s="446"/>
      <c r="BG23" s="446"/>
      <c r="BH23" s="446"/>
      <c r="BI23" s="446"/>
      <c r="BJ23" s="446"/>
      <c r="BK23" s="446"/>
      <c r="BL23" s="446"/>
    </row>
    <row r="24" spans="6:64" x14ac:dyDescent="0.2">
      <c r="F24" s="447"/>
      <c r="G24" s="447"/>
      <c r="H24" s="447"/>
      <c r="I24" s="447"/>
      <c r="J24" s="447"/>
      <c r="K24" s="447"/>
      <c r="L24" s="447"/>
      <c r="M24" s="447"/>
      <c r="N24" s="447"/>
      <c r="O24" s="447"/>
      <c r="P24" s="447"/>
      <c r="Q24" s="447"/>
      <c r="R24" s="447"/>
      <c r="S24" s="447"/>
      <c r="T24" s="446"/>
      <c r="U24" s="446"/>
      <c r="V24" s="446"/>
      <c r="W24" s="446"/>
      <c r="X24" s="446"/>
      <c r="Y24" s="446"/>
      <c r="Z24" s="446"/>
      <c r="AA24" s="446"/>
      <c r="AB24" s="446"/>
      <c r="AC24" s="446"/>
      <c r="AD24" s="446"/>
      <c r="AE24" s="446"/>
      <c r="AF24" s="446"/>
      <c r="AG24" s="446"/>
      <c r="AH24" s="446"/>
      <c r="AI24" s="446"/>
      <c r="AJ24" s="446"/>
      <c r="AK24" s="446"/>
      <c r="AL24" s="446"/>
      <c r="AM24" s="446"/>
      <c r="AN24" s="446"/>
      <c r="AO24" s="446"/>
      <c r="AP24" s="446"/>
      <c r="AQ24" s="446"/>
      <c r="AR24" s="446"/>
      <c r="AS24" s="446"/>
      <c r="AT24" s="446"/>
      <c r="AU24" s="446"/>
      <c r="AV24" s="446"/>
      <c r="AW24" s="446"/>
      <c r="AX24" s="446"/>
      <c r="AY24" s="446"/>
      <c r="AZ24" s="446"/>
      <c r="BA24" s="446"/>
      <c r="BB24" s="446"/>
      <c r="BC24" s="446"/>
      <c r="BD24" s="446"/>
      <c r="BE24" s="446"/>
      <c r="BF24" s="446"/>
      <c r="BG24" s="446"/>
      <c r="BH24" s="446"/>
      <c r="BI24" s="446"/>
      <c r="BJ24" s="446"/>
      <c r="BK24" s="446"/>
      <c r="BL24" s="446"/>
    </row>
    <row r="25" spans="6:64" x14ac:dyDescent="0.2">
      <c r="F25" s="447"/>
      <c r="G25" s="447"/>
      <c r="H25" s="447"/>
      <c r="I25" s="447"/>
      <c r="J25" s="447"/>
      <c r="K25" s="447"/>
      <c r="L25" s="447"/>
      <c r="M25" s="447"/>
      <c r="N25" s="447"/>
      <c r="O25" s="447"/>
      <c r="P25" s="447"/>
      <c r="Q25" s="447"/>
      <c r="R25" s="447"/>
      <c r="S25" s="447"/>
      <c r="T25" s="446"/>
      <c r="U25" s="446"/>
      <c r="V25" s="446"/>
      <c r="W25" s="446"/>
      <c r="X25" s="446"/>
      <c r="Y25" s="446"/>
      <c r="Z25" s="446"/>
      <c r="AA25" s="446"/>
      <c r="AB25" s="446"/>
      <c r="AC25" s="446"/>
      <c r="AD25" s="446"/>
      <c r="AE25" s="446"/>
      <c r="AF25" s="446"/>
      <c r="AG25" s="446"/>
      <c r="AH25" s="446"/>
      <c r="AI25" s="446"/>
      <c r="AJ25" s="446"/>
      <c r="AK25" s="446"/>
      <c r="AL25" s="446"/>
      <c r="AM25" s="446"/>
      <c r="AN25" s="446"/>
      <c r="AO25" s="446"/>
      <c r="AP25" s="446"/>
      <c r="AQ25" s="446"/>
      <c r="AR25" s="446"/>
      <c r="AS25" s="446"/>
      <c r="AT25" s="446"/>
      <c r="AU25" s="446"/>
      <c r="AV25" s="446"/>
      <c r="AW25" s="446"/>
      <c r="AX25" s="446"/>
      <c r="AY25" s="446"/>
      <c r="AZ25" s="446"/>
      <c r="BA25" s="446"/>
      <c r="BB25" s="446"/>
      <c r="BC25" s="446"/>
      <c r="BD25" s="446"/>
      <c r="BE25" s="446"/>
      <c r="BF25" s="446"/>
      <c r="BG25" s="446"/>
      <c r="BH25" s="446"/>
      <c r="BI25" s="446"/>
      <c r="BJ25" s="446"/>
      <c r="BK25" s="446"/>
      <c r="BL25" s="446"/>
    </row>
    <row r="26" spans="6:64" x14ac:dyDescent="0.2">
      <c r="F26" s="447"/>
      <c r="G26" s="447"/>
      <c r="H26" s="447"/>
      <c r="I26" s="447"/>
      <c r="J26" s="447"/>
      <c r="K26" s="447"/>
      <c r="L26" s="447"/>
      <c r="M26" s="447"/>
      <c r="N26" s="447"/>
      <c r="O26" s="447"/>
      <c r="P26" s="447"/>
      <c r="Q26" s="447"/>
      <c r="R26" s="447"/>
      <c r="S26" s="447"/>
      <c r="T26" s="446"/>
      <c r="U26" s="446"/>
      <c r="V26" s="446"/>
      <c r="W26" s="446"/>
      <c r="X26" s="446"/>
      <c r="Y26" s="446"/>
      <c r="Z26" s="446"/>
      <c r="AA26" s="446"/>
      <c r="AB26" s="446"/>
      <c r="AC26" s="446"/>
      <c r="AD26" s="446"/>
      <c r="AE26" s="446"/>
      <c r="AF26" s="446"/>
      <c r="AG26" s="446"/>
      <c r="AH26" s="446"/>
      <c r="AI26" s="446"/>
      <c r="AJ26" s="446"/>
      <c r="AK26" s="446"/>
      <c r="AL26" s="446"/>
      <c r="AM26" s="446"/>
      <c r="AN26" s="446"/>
      <c r="AO26" s="446"/>
      <c r="AP26" s="446"/>
      <c r="AQ26" s="446"/>
      <c r="AR26" s="446"/>
      <c r="AS26" s="446"/>
      <c r="AT26" s="446"/>
      <c r="AU26" s="446"/>
      <c r="AV26" s="446"/>
      <c r="AW26" s="446"/>
      <c r="AX26" s="446"/>
      <c r="AY26" s="446"/>
      <c r="AZ26" s="446"/>
      <c r="BA26" s="446"/>
      <c r="BB26" s="446"/>
      <c r="BC26" s="446"/>
      <c r="BD26" s="446"/>
      <c r="BE26" s="446"/>
      <c r="BF26" s="446"/>
      <c r="BG26" s="446"/>
      <c r="BH26" s="446"/>
      <c r="BI26" s="446"/>
      <c r="BJ26" s="446"/>
      <c r="BK26" s="446"/>
      <c r="BL26" s="446"/>
    </row>
    <row r="27" spans="6:64" x14ac:dyDescent="0.2">
      <c r="F27" s="447"/>
      <c r="G27" s="447"/>
      <c r="H27" s="447"/>
      <c r="I27" s="447"/>
      <c r="J27" s="447"/>
      <c r="K27" s="447"/>
      <c r="L27" s="447"/>
      <c r="M27" s="447"/>
      <c r="N27" s="447"/>
      <c r="O27" s="447"/>
      <c r="P27" s="447"/>
      <c r="Q27" s="447"/>
      <c r="R27" s="447"/>
      <c r="S27" s="447"/>
      <c r="T27" s="446"/>
      <c r="U27" s="446"/>
      <c r="V27" s="446"/>
      <c r="W27" s="446"/>
      <c r="X27" s="446"/>
      <c r="Y27" s="446"/>
      <c r="Z27" s="446"/>
      <c r="AA27" s="446"/>
      <c r="AB27" s="446"/>
      <c r="AC27" s="446"/>
      <c r="AD27" s="446"/>
      <c r="AE27" s="446"/>
      <c r="AF27" s="446"/>
      <c r="AG27" s="446"/>
      <c r="AH27" s="446"/>
      <c r="AI27" s="446"/>
      <c r="AJ27" s="446"/>
      <c r="AK27" s="446"/>
      <c r="AL27" s="446"/>
      <c r="AM27" s="446"/>
      <c r="AN27" s="446"/>
      <c r="AO27" s="446"/>
      <c r="AP27" s="446"/>
      <c r="AQ27" s="446"/>
      <c r="AR27" s="446"/>
      <c r="AS27" s="446"/>
      <c r="AT27" s="446"/>
      <c r="AU27" s="446"/>
      <c r="AV27" s="446"/>
      <c r="AW27" s="446"/>
      <c r="AX27" s="446"/>
      <c r="AY27" s="446"/>
      <c r="AZ27" s="446"/>
      <c r="BA27" s="446"/>
      <c r="BB27" s="446"/>
      <c r="BC27" s="446"/>
      <c r="BD27" s="446"/>
      <c r="BE27" s="446"/>
      <c r="BF27" s="446"/>
      <c r="BG27" s="446"/>
      <c r="BH27" s="446"/>
      <c r="BI27" s="446"/>
      <c r="BJ27" s="446"/>
      <c r="BK27" s="446"/>
      <c r="BL27" s="446"/>
    </row>
    <row r="28" spans="6:64" x14ac:dyDescent="0.2">
      <c r="F28" s="447"/>
      <c r="G28" s="447"/>
      <c r="H28" s="447"/>
      <c r="I28" s="447"/>
      <c r="J28" s="447"/>
      <c r="K28" s="447"/>
      <c r="L28" s="447"/>
      <c r="M28" s="447"/>
      <c r="N28" s="447"/>
      <c r="O28" s="447"/>
      <c r="P28" s="447"/>
      <c r="Q28" s="447"/>
      <c r="R28" s="447"/>
      <c r="S28" s="447"/>
      <c r="T28" s="446"/>
      <c r="U28" s="446"/>
      <c r="V28" s="446"/>
      <c r="W28" s="446"/>
      <c r="X28" s="446"/>
      <c r="Y28" s="446"/>
      <c r="Z28" s="446"/>
      <c r="AA28" s="446"/>
      <c r="AB28" s="446"/>
      <c r="AC28" s="446"/>
      <c r="AD28" s="446"/>
      <c r="AE28" s="446"/>
      <c r="AF28" s="446"/>
      <c r="AG28" s="446"/>
      <c r="AH28" s="446"/>
      <c r="AI28" s="446"/>
      <c r="AJ28" s="446"/>
      <c r="AK28" s="446"/>
      <c r="AL28" s="446"/>
      <c r="AM28" s="446"/>
      <c r="AN28" s="446"/>
      <c r="AO28" s="446"/>
      <c r="AP28" s="446"/>
      <c r="AQ28" s="446"/>
      <c r="AR28" s="446"/>
      <c r="AS28" s="446"/>
      <c r="AT28" s="446"/>
      <c r="AU28" s="446"/>
      <c r="AV28" s="446"/>
      <c r="AW28" s="446"/>
      <c r="AX28" s="446"/>
      <c r="AY28" s="446"/>
      <c r="AZ28" s="446"/>
      <c r="BA28" s="446"/>
      <c r="BB28" s="446"/>
      <c r="BC28" s="446"/>
      <c r="BD28" s="446"/>
      <c r="BE28" s="446"/>
      <c r="BF28" s="446"/>
      <c r="BG28" s="446"/>
      <c r="BH28" s="446"/>
      <c r="BI28" s="446"/>
      <c r="BJ28" s="446"/>
      <c r="BK28" s="446"/>
      <c r="BL28" s="446"/>
    </row>
    <row r="29" spans="6:64" x14ac:dyDescent="0.2">
      <c r="F29" s="447"/>
      <c r="G29" s="447"/>
      <c r="H29" s="447"/>
      <c r="I29" s="447"/>
      <c r="J29" s="447"/>
      <c r="K29" s="447"/>
      <c r="L29" s="447"/>
      <c r="M29" s="447"/>
      <c r="N29" s="447"/>
      <c r="O29" s="447"/>
      <c r="P29" s="447"/>
      <c r="Q29" s="447"/>
      <c r="R29" s="447"/>
      <c r="S29" s="447"/>
      <c r="T29" s="446"/>
      <c r="U29" s="446"/>
      <c r="V29" s="446"/>
      <c r="W29" s="446"/>
      <c r="X29" s="446"/>
      <c r="Y29" s="446"/>
      <c r="Z29" s="446"/>
      <c r="AA29" s="446"/>
      <c r="AB29" s="446"/>
      <c r="AC29" s="446"/>
      <c r="AD29" s="446"/>
      <c r="AE29" s="446"/>
      <c r="AF29" s="446"/>
      <c r="AG29" s="446"/>
      <c r="AH29" s="446"/>
      <c r="AI29" s="446"/>
      <c r="AJ29" s="446"/>
      <c r="AK29" s="446"/>
      <c r="AL29" s="446"/>
      <c r="AM29" s="446"/>
      <c r="AN29" s="446"/>
      <c r="AO29" s="446"/>
      <c r="AP29" s="446"/>
      <c r="AQ29" s="446"/>
      <c r="AR29" s="446"/>
      <c r="AS29" s="446"/>
      <c r="AT29" s="446"/>
      <c r="AU29" s="446"/>
      <c r="AV29" s="446"/>
      <c r="AW29" s="446"/>
      <c r="AX29" s="446"/>
      <c r="AY29" s="446"/>
      <c r="AZ29" s="446"/>
      <c r="BA29" s="446"/>
      <c r="BB29" s="446"/>
      <c r="BC29" s="446"/>
      <c r="BD29" s="446"/>
      <c r="BE29" s="446"/>
      <c r="BF29" s="446"/>
      <c r="BG29" s="446"/>
      <c r="BH29" s="446"/>
      <c r="BI29" s="446"/>
      <c r="BJ29" s="446"/>
      <c r="BK29" s="446"/>
      <c r="BL29" s="446"/>
    </row>
    <row r="30" spans="6:64" x14ac:dyDescent="0.2">
      <c r="F30" s="447"/>
      <c r="G30" s="447"/>
      <c r="H30" s="447"/>
      <c r="I30" s="447"/>
      <c r="J30" s="447"/>
      <c r="K30" s="447"/>
      <c r="L30" s="447"/>
      <c r="M30" s="447"/>
      <c r="N30" s="447"/>
      <c r="O30" s="447"/>
      <c r="P30" s="447"/>
      <c r="Q30" s="447"/>
      <c r="R30" s="447"/>
      <c r="S30" s="447"/>
      <c r="T30" s="446"/>
      <c r="U30" s="446"/>
      <c r="V30" s="446"/>
      <c r="W30" s="446"/>
      <c r="X30" s="446"/>
      <c r="Y30" s="446"/>
      <c r="Z30" s="446"/>
      <c r="AA30" s="446"/>
      <c r="AB30" s="446"/>
      <c r="AC30" s="446"/>
      <c r="AD30" s="446"/>
      <c r="AE30" s="446"/>
      <c r="AF30" s="446"/>
      <c r="AG30" s="446"/>
      <c r="AH30" s="446"/>
      <c r="AI30" s="446"/>
      <c r="AJ30" s="446"/>
      <c r="AK30" s="446"/>
      <c r="AL30" s="446"/>
      <c r="AM30" s="446"/>
      <c r="AN30" s="446"/>
      <c r="AO30" s="446"/>
      <c r="AP30" s="446"/>
      <c r="AQ30" s="446"/>
      <c r="AR30" s="446"/>
      <c r="AS30" s="446"/>
      <c r="AT30" s="446"/>
      <c r="AU30" s="446"/>
      <c r="AV30" s="446"/>
      <c r="AW30" s="446"/>
      <c r="AX30" s="446"/>
      <c r="AY30" s="446"/>
      <c r="AZ30" s="446"/>
      <c r="BA30" s="446"/>
      <c r="BB30" s="446"/>
      <c r="BC30" s="446"/>
      <c r="BD30" s="446"/>
      <c r="BE30" s="446"/>
      <c r="BF30" s="446"/>
      <c r="BG30" s="446"/>
      <c r="BH30" s="446"/>
      <c r="BI30" s="446"/>
      <c r="BJ30" s="446"/>
      <c r="BK30" s="446"/>
      <c r="BL30" s="446"/>
    </row>
    <row r="31" spans="6:64" x14ac:dyDescent="0.2">
      <c r="F31" s="447"/>
      <c r="G31" s="447"/>
      <c r="H31" s="447"/>
      <c r="I31" s="447"/>
      <c r="J31" s="447"/>
      <c r="K31" s="447"/>
      <c r="L31" s="447"/>
      <c r="M31" s="447"/>
      <c r="N31" s="447"/>
      <c r="O31" s="447"/>
      <c r="P31" s="447"/>
      <c r="Q31" s="447"/>
      <c r="R31" s="447"/>
      <c r="S31" s="447"/>
      <c r="T31" s="446"/>
      <c r="U31" s="446"/>
      <c r="V31" s="446"/>
      <c r="W31" s="446"/>
      <c r="X31" s="446"/>
      <c r="Y31" s="446"/>
      <c r="Z31" s="446"/>
      <c r="AA31" s="446"/>
      <c r="AB31" s="446"/>
      <c r="AC31" s="446"/>
      <c r="AD31" s="446"/>
      <c r="AE31" s="446"/>
      <c r="AF31" s="446"/>
      <c r="AG31" s="446"/>
      <c r="AH31" s="446"/>
      <c r="AI31" s="446"/>
      <c r="AJ31" s="446"/>
      <c r="AK31" s="446"/>
      <c r="AL31" s="446"/>
      <c r="AM31" s="446"/>
      <c r="AN31" s="446"/>
      <c r="AO31" s="446"/>
      <c r="AP31" s="446"/>
      <c r="AQ31" s="446"/>
      <c r="AR31" s="446"/>
      <c r="AS31" s="446"/>
      <c r="AT31" s="446"/>
      <c r="AU31" s="446"/>
      <c r="AV31" s="446"/>
      <c r="AW31" s="446"/>
      <c r="AX31" s="446"/>
      <c r="AY31" s="446"/>
      <c r="AZ31" s="446"/>
      <c r="BA31" s="446"/>
      <c r="BB31" s="446"/>
      <c r="BC31" s="446"/>
      <c r="BD31" s="446"/>
      <c r="BE31" s="446"/>
      <c r="BF31" s="446"/>
      <c r="BG31" s="446"/>
      <c r="BH31" s="446"/>
      <c r="BI31" s="446"/>
      <c r="BJ31" s="446"/>
      <c r="BK31" s="446"/>
      <c r="BL31" s="446"/>
    </row>
    <row r="32" spans="6:64" x14ac:dyDescent="0.2">
      <c r="F32" s="447"/>
      <c r="G32" s="447"/>
      <c r="H32" s="447"/>
      <c r="I32" s="447"/>
      <c r="J32" s="447"/>
      <c r="K32" s="447"/>
      <c r="L32" s="447"/>
      <c r="M32" s="447"/>
      <c r="N32" s="447"/>
      <c r="O32" s="447"/>
      <c r="P32" s="447"/>
      <c r="Q32" s="447"/>
      <c r="R32" s="447"/>
      <c r="S32" s="447"/>
      <c r="T32" s="446"/>
      <c r="U32" s="446"/>
      <c r="V32" s="446"/>
      <c r="W32" s="446"/>
      <c r="X32" s="446"/>
      <c r="Y32" s="446"/>
      <c r="Z32" s="446"/>
      <c r="AA32" s="446"/>
      <c r="AB32" s="446"/>
      <c r="AC32" s="446"/>
      <c r="AD32" s="446"/>
      <c r="AE32" s="446"/>
      <c r="AF32" s="446"/>
      <c r="AG32" s="446"/>
      <c r="AH32" s="446"/>
      <c r="AI32" s="446"/>
      <c r="AJ32" s="446"/>
      <c r="AK32" s="446"/>
      <c r="AL32" s="446"/>
      <c r="AM32" s="446"/>
      <c r="AN32" s="446"/>
      <c r="AO32" s="446"/>
      <c r="AP32" s="446"/>
      <c r="AQ32" s="446"/>
      <c r="AR32" s="446"/>
      <c r="AS32" s="446"/>
      <c r="AT32" s="446"/>
      <c r="AU32" s="446"/>
      <c r="AV32" s="446"/>
      <c r="AW32" s="446"/>
      <c r="AX32" s="446"/>
      <c r="AY32" s="446"/>
      <c r="AZ32" s="446"/>
      <c r="BA32" s="446"/>
      <c r="BB32" s="446"/>
      <c r="BC32" s="446"/>
      <c r="BD32" s="446"/>
      <c r="BE32" s="446"/>
      <c r="BF32" s="446"/>
      <c r="BG32" s="446"/>
      <c r="BH32" s="446"/>
      <c r="BI32" s="446"/>
      <c r="BJ32" s="446"/>
      <c r="BK32" s="446"/>
      <c r="BL32" s="446"/>
    </row>
    <row r="33" spans="2:64" x14ac:dyDescent="0.2">
      <c r="F33" s="447"/>
      <c r="G33" s="447"/>
      <c r="H33" s="447"/>
      <c r="I33" s="447"/>
      <c r="J33" s="447"/>
      <c r="K33" s="447"/>
      <c r="L33" s="447"/>
      <c r="M33" s="447"/>
      <c r="N33" s="447"/>
      <c r="O33" s="447"/>
      <c r="P33" s="447"/>
      <c r="Q33" s="447"/>
      <c r="R33" s="447"/>
      <c r="S33" s="447"/>
      <c r="T33" s="446"/>
      <c r="U33" s="446"/>
      <c r="V33" s="446"/>
      <c r="W33" s="446"/>
      <c r="X33" s="446"/>
      <c r="Y33" s="446"/>
      <c r="Z33" s="446"/>
      <c r="AA33" s="446"/>
      <c r="AB33" s="446"/>
      <c r="AC33" s="446"/>
      <c r="AD33" s="446"/>
      <c r="AE33" s="446"/>
      <c r="AF33" s="446"/>
      <c r="AG33" s="446"/>
      <c r="AH33" s="446"/>
      <c r="AI33" s="446"/>
      <c r="AJ33" s="446"/>
      <c r="AK33" s="446"/>
      <c r="AL33" s="446"/>
      <c r="AM33" s="446"/>
      <c r="AN33" s="446"/>
      <c r="AO33" s="446"/>
      <c r="AP33" s="446"/>
      <c r="AQ33" s="446"/>
      <c r="AR33" s="446"/>
      <c r="AS33" s="446"/>
      <c r="AT33" s="446"/>
      <c r="AU33" s="446"/>
      <c r="AV33" s="446"/>
      <c r="AW33" s="446"/>
      <c r="AX33" s="446"/>
      <c r="AY33" s="446"/>
      <c r="AZ33" s="446"/>
      <c r="BA33" s="446"/>
      <c r="BB33" s="446"/>
      <c r="BC33" s="446"/>
      <c r="BD33" s="446"/>
      <c r="BE33" s="446"/>
      <c r="BF33" s="446"/>
      <c r="BG33" s="446"/>
      <c r="BH33" s="446"/>
      <c r="BI33" s="446"/>
      <c r="BJ33" s="446"/>
      <c r="BK33" s="446"/>
      <c r="BL33" s="446"/>
    </row>
    <row r="34" spans="2:64" x14ac:dyDescent="0.2">
      <c r="F34" s="447"/>
      <c r="G34" s="447"/>
      <c r="H34" s="447"/>
      <c r="I34" s="447"/>
      <c r="J34" s="447"/>
      <c r="K34" s="447"/>
      <c r="L34" s="447"/>
      <c r="M34" s="447"/>
      <c r="N34" s="447"/>
      <c r="O34" s="447"/>
      <c r="P34" s="447"/>
      <c r="Q34" s="447"/>
      <c r="R34" s="447"/>
      <c r="S34" s="447"/>
      <c r="T34" s="446"/>
      <c r="U34" s="446"/>
      <c r="V34" s="446"/>
      <c r="W34" s="446"/>
      <c r="X34" s="446"/>
      <c r="Y34" s="446"/>
      <c r="Z34" s="446"/>
      <c r="AA34" s="446"/>
      <c r="AB34" s="446"/>
      <c r="AC34" s="446"/>
      <c r="AD34" s="446"/>
      <c r="AE34" s="446"/>
      <c r="AF34" s="446"/>
      <c r="AG34" s="446"/>
      <c r="AH34" s="446"/>
      <c r="AI34" s="446"/>
      <c r="AJ34" s="446"/>
      <c r="AK34" s="446"/>
      <c r="AL34" s="446"/>
      <c r="AM34" s="446"/>
      <c r="AN34" s="446"/>
      <c r="AO34" s="446"/>
      <c r="AP34" s="446"/>
      <c r="AQ34" s="446"/>
      <c r="AR34" s="446"/>
      <c r="AS34" s="446"/>
      <c r="AT34" s="446"/>
      <c r="AU34" s="446"/>
      <c r="AV34" s="446"/>
      <c r="AW34" s="446"/>
      <c r="AX34" s="446"/>
      <c r="AY34" s="446"/>
      <c r="AZ34" s="446"/>
      <c r="BA34" s="446"/>
      <c r="BB34" s="446"/>
      <c r="BC34" s="446"/>
      <c r="BD34" s="446"/>
      <c r="BE34" s="446"/>
      <c r="BF34" s="446"/>
      <c r="BG34" s="446"/>
      <c r="BH34" s="446"/>
      <c r="BI34" s="446"/>
      <c r="BJ34" s="446"/>
      <c r="BK34" s="446"/>
      <c r="BL34" s="446"/>
    </row>
    <row r="35" spans="2:64" x14ac:dyDescent="0.2">
      <c r="F35" s="447"/>
      <c r="G35" s="447"/>
      <c r="H35" s="447"/>
      <c r="I35" s="447"/>
      <c r="J35" s="447"/>
      <c r="K35" s="447"/>
      <c r="L35" s="447"/>
      <c r="M35" s="447"/>
      <c r="N35" s="447"/>
      <c r="O35" s="447"/>
      <c r="P35" s="447"/>
      <c r="Q35" s="447"/>
      <c r="R35" s="447"/>
      <c r="S35" s="447"/>
      <c r="T35" s="446"/>
      <c r="U35" s="446"/>
      <c r="V35" s="446"/>
      <c r="W35" s="446"/>
      <c r="X35" s="446"/>
      <c r="Y35" s="446"/>
      <c r="Z35" s="446"/>
      <c r="AA35" s="446"/>
      <c r="AB35" s="446"/>
      <c r="AC35" s="446"/>
      <c r="AD35" s="446"/>
      <c r="AE35" s="446"/>
      <c r="AF35" s="446"/>
      <c r="AG35" s="446"/>
      <c r="AH35" s="446"/>
      <c r="AI35" s="446"/>
      <c r="AJ35" s="446"/>
      <c r="AK35" s="446"/>
      <c r="AL35" s="446"/>
      <c r="AM35" s="446"/>
      <c r="AN35" s="446"/>
      <c r="AO35" s="446"/>
      <c r="AP35" s="446"/>
      <c r="AQ35" s="446"/>
      <c r="AR35" s="446"/>
      <c r="AS35" s="446"/>
      <c r="AT35" s="446"/>
      <c r="AU35" s="446"/>
      <c r="AV35" s="446"/>
      <c r="AW35" s="446"/>
      <c r="AX35" s="446"/>
      <c r="AY35" s="446"/>
      <c r="AZ35" s="446"/>
      <c r="BA35" s="446"/>
      <c r="BB35" s="446"/>
      <c r="BC35" s="446"/>
      <c r="BD35" s="446"/>
      <c r="BE35" s="446"/>
      <c r="BF35" s="446"/>
      <c r="BG35" s="446"/>
      <c r="BH35" s="446"/>
      <c r="BI35" s="446"/>
      <c r="BJ35" s="446"/>
      <c r="BK35" s="446"/>
      <c r="BL35" s="446"/>
    </row>
    <row r="36" spans="2:64" x14ac:dyDescent="0.2">
      <c r="F36" s="447"/>
      <c r="G36" s="447"/>
      <c r="H36" s="447"/>
      <c r="I36" s="447"/>
      <c r="J36" s="447"/>
      <c r="K36" s="447"/>
      <c r="L36" s="447"/>
      <c r="M36" s="447"/>
      <c r="N36" s="447"/>
      <c r="O36" s="447"/>
      <c r="P36" s="447"/>
      <c r="Q36" s="447"/>
      <c r="R36" s="447"/>
      <c r="S36" s="447"/>
      <c r="T36" s="446"/>
      <c r="U36" s="446"/>
      <c r="V36" s="446"/>
      <c r="W36" s="446"/>
      <c r="X36" s="446"/>
      <c r="Y36" s="446"/>
      <c r="Z36" s="446"/>
      <c r="AA36" s="446"/>
      <c r="AB36" s="446"/>
      <c r="AC36" s="446"/>
      <c r="AD36" s="446"/>
      <c r="AE36" s="446"/>
      <c r="AF36" s="446"/>
      <c r="AG36" s="446"/>
      <c r="AH36" s="446"/>
      <c r="AI36" s="446"/>
      <c r="AJ36" s="446"/>
      <c r="AK36" s="446"/>
      <c r="AL36" s="446"/>
      <c r="AM36" s="446"/>
      <c r="AN36" s="446"/>
      <c r="AO36" s="446"/>
      <c r="AP36" s="446"/>
      <c r="AQ36" s="446"/>
      <c r="AR36" s="446"/>
      <c r="AS36" s="446"/>
      <c r="AT36" s="446"/>
      <c r="AU36" s="446"/>
      <c r="AV36" s="446"/>
      <c r="AW36" s="446"/>
      <c r="AX36" s="446"/>
      <c r="AY36" s="446"/>
      <c r="AZ36" s="446"/>
      <c r="BA36" s="446"/>
      <c r="BB36" s="446"/>
      <c r="BC36" s="446"/>
      <c r="BD36" s="446"/>
      <c r="BE36" s="446"/>
      <c r="BF36" s="446"/>
      <c r="BG36" s="446"/>
      <c r="BH36" s="446"/>
      <c r="BI36" s="446"/>
      <c r="BJ36" s="446"/>
      <c r="BK36" s="446"/>
      <c r="BL36" s="446"/>
    </row>
    <row r="37" spans="2:64" x14ac:dyDescent="0.2">
      <c r="F37" s="447"/>
      <c r="G37" s="447"/>
      <c r="H37" s="447"/>
      <c r="I37" s="447"/>
      <c r="J37" s="447"/>
      <c r="K37" s="447"/>
      <c r="L37" s="447"/>
      <c r="M37" s="447"/>
      <c r="N37" s="447"/>
      <c r="O37" s="447"/>
      <c r="P37" s="447"/>
      <c r="Q37" s="447"/>
      <c r="R37" s="447"/>
      <c r="S37" s="447"/>
      <c r="T37" s="446"/>
      <c r="U37" s="446"/>
      <c r="V37" s="446"/>
      <c r="W37" s="446"/>
      <c r="X37" s="446"/>
      <c r="Y37" s="446"/>
      <c r="Z37" s="446"/>
      <c r="AA37" s="446"/>
      <c r="AB37" s="446"/>
      <c r="AC37" s="446"/>
      <c r="AD37" s="446"/>
      <c r="AE37" s="446"/>
      <c r="AF37" s="446"/>
      <c r="AG37" s="446"/>
      <c r="AH37" s="446"/>
      <c r="AI37" s="446"/>
      <c r="AJ37" s="446"/>
      <c r="AK37" s="446"/>
      <c r="AL37" s="446"/>
      <c r="AM37" s="446"/>
      <c r="AN37" s="446"/>
      <c r="AO37" s="446"/>
      <c r="AP37" s="446"/>
      <c r="AQ37" s="446"/>
      <c r="AR37" s="446"/>
      <c r="AS37" s="446"/>
      <c r="AT37" s="446"/>
      <c r="AU37" s="446"/>
      <c r="AV37" s="446"/>
      <c r="AW37" s="446"/>
      <c r="AX37" s="446"/>
      <c r="AY37" s="446"/>
      <c r="AZ37" s="446"/>
      <c r="BA37" s="446"/>
      <c r="BB37" s="446"/>
      <c r="BC37" s="446"/>
      <c r="BD37" s="446"/>
      <c r="BE37" s="446"/>
      <c r="BF37" s="446"/>
      <c r="BG37" s="446"/>
      <c r="BH37" s="446"/>
      <c r="BI37" s="446"/>
      <c r="BJ37" s="446"/>
      <c r="BK37" s="446"/>
      <c r="BL37" s="446"/>
    </row>
    <row r="38" spans="2:64" x14ac:dyDescent="0.2">
      <c r="F38" s="446"/>
      <c r="G38" s="446"/>
      <c r="H38" s="446"/>
      <c r="I38" s="446"/>
      <c r="J38" s="446"/>
      <c r="K38" s="446"/>
      <c r="L38" s="446"/>
      <c r="M38" s="446"/>
      <c r="N38" s="446"/>
      <c r="O38" s="446"/>
      <c r="P38" s="446"/>
      <c r="Q38" s="446"/>
      <c r="R38" s="446"/>
      <c r="S38" s="446"/>
      <c r="T38" s="446"/>
      <c r="U38" s="446"/>
      <c r="V38" s="446"/>
      <c r="W38" s="446"/>
      <c r="X38" s="446"/>
      <c r="Y38" s="446"/>
      <c r="Z38" s="446"/>
      <c r="AA38" s="446"/>
      <c r="AB38" s="446"/>
      <c r="AC38" s="446"/>
      <c r="AD38" s="446"/>
      <c r="AE38" s="446"/>
      <c r="AF38" s="446"/>
      <c r="AG38" s="446"/>
      <c r="AH38" s="446"/>
      <c r="AI38" s="446"/>
      <c r="AJ38" s="446"/>
      <c r="AK38" s="446"/>
      <c r="AL38" s="446"/>
      <c r="AM38" s="446"/>
      <c r="AN38" s="446"/>
      <c r="AO38" s="446"/>
      <c r="AP38" s="446"/>
      <c r="AQ38" s="446"/>
      <c r="AR38" s="446"/>
      <c r="AS38" s="446"/>
      <c r="AT38" s="446"/>
      <c r="AU38" s="446"/>
      <c r="AV38" s="446"/>
      <c r="AW38" s="446"/>
      <c r="AX38" s="446"/>
      <c r="AY38" s="446"/>
      <c r="AZ38" s="446"/>
      <c r="BA38" s="446"/>
      <c r="BB38" s="446"/>
      <c r="BC38" s="446"/>
      <c r="BD38" s="446"/>
      <c r="BE38" s="446"/>
      <c r="BF38" s="446"/>
      <c r="BG38" s="446"/>
      <c r="BH38" s="446"/>
      <c r="BI38" s="446"/>
      <c r="BJ38" s="446"/>
      <c r="BK38" s="446"/>
      <c r="BL38" s="446"/>
    </row>
    <row r="39" spans="2:64" s="82" customFormat="1" x14ac:dyDescent="0.2">
      <c r="B39" s="136"/>
      <c r="C39" s="136"/>
      <c r="D39" s="136"/>
      <c r="E39" s="136"/>
      <c r="F39" s="13"/>
      <c r="G39" s="445"/>
      <c r="H39" s="449"/>
      <c r="I39" s="448"/>
      <c r="J39" s="448"/>
      <c r="K39" s="448"/>
      <c r="L39" s="448"/>
      <c r="M39" s="448"/>
      <c r="N39" s="448"/>
      <c r="O39" s="448"/>
      <c r="P39" s="448"/>
      <c r="Q39" s="448"/>
      <c r="R39" s="448"/>
      <c r="S39" s="448"/>
      <c r="T39" s="448"/>
      <c r="U39" s="448"/>
      <c r="V39" s="448"/>
      <c r="W39" s="448"/>
      <c r="X39" s="448"/>
      <c r="Y39" s="448"/>
      <c r="Z39" s="448"/>
      <c r="AA39" s="448"/>
      <c r="AB39" s="448"/>
      <c r="AC39" s="448"/>
      <c r="AD39" s="448"/>
      <c r="AE39" s="448"/>
      <c r="AF39" s="448"/>
      <c r="AG39" s="448"/>
      <c r="AH39" s="448"/>
      <c r="AI39" s="448"/>
      <c r="AJ39" s="448"/>
      <c r="AK39" s="448"/>
      <c r="AL39" s="448"/>
      <c r="AM39" s="448"/>
      <c r="AN39" s="448"/>
      <c r="AO39" s="448"/>
      <c r="AP39" s="448"/>
      <c r="AQ39" s="448"/>
      <c r="AR39" s="448"/>
      <c r="AS39" s="448"/>
      <c r="AT39" s="448"/>
      <c r="AU39" s="448"/>
      <c r="AV39" s="448"/>
      <c r="AW39" s="448"/>
      <c r="AX39" s="448"/>
      <c r="AY39" s="448"/>
      <c r="AZ39" s="448"/>
      <c r="BA39" s="448"/>
      <c r="BB39" s="448"/>
      <c r="BC39" s="448"/>
      <c r="BD39" s="448"/>
      <c r="BE39" s="448"/>
      <c r="BF39" s="448"/>
      <c r="BG39" s="448"/>
      <c r="BH39" s="448"/>
      <c r="BI39" s="448"/>
      <c r="BJ39" s="448"/>
      <c r="BK39" s="448"/>
      <c r="BL39" s="448"/>
    </row>
    <row r="40" spans="2:64" s="82" customFormat="1" x14ac:dyDescent="0.2">
      <c r="B40" s="136"/>
      <c r="C40" s="136"/>
      <c r="D40" s="136"/>
      <c r="E40" s="136"/>
      <c r="F40" s="13"/>
      <c r="G40" s="445"/>
      <c r="H40" s="449"/>
      <c r="I40" s="448"/>
      <c r="J40" s="448"/>
      <c r="K40" s="448"/>
      <c r="L40" s="448"/>
      <c r="M40" s="448"/>
      <c r="N40" s="448"/>
      <c r="O40" s="448"/>
      <c r="P40" s="448"/>
      <c r="Q40" s="448"/>
      <c r="R40" s="448"/>
      <c r="S40" s="448"/>
      <c r="T40" s="448"/>
      <c r="U40" s="448"/>
      <c r="V40" s="448"/>
      <c r="W40" s="448"/>
      <c r="X40" s="448"/>
      <c r="Y40" s="448"/>
      <c r="Z40" s="448"/>
      <c r="AA40" s="448"/>
      <c r="AB40" s="448"/>
      <c r="AC40" s="448"/>
      <c r="AD40" s="448"/>
      <c r="AE40" s="448"/>
      <c r="AF40" s="448"/>
      <c r="AG40" s="448"/>
      <c r="AH40" s="448"/>
      <c r="AI40" s="448"/>
      <c r="AJ40" s="448"/>
      <c r="AK40" s="448"/>
      <c r="AL40" s="448"/>
      <c r="AM40" s="448"/>
      <c r="AN40" s="448"/>
      <c r="AO40" s="448"/>
      <c r="AP40" s="448"/>
      <c r="AQ40" s="448"/>
      <c r="AR40" s="448"/>
      <c r="AS40" s="448"/>
      <c r="AT40" s="448"/>
      <c r="AU40" s="448"/>
      <c r="AV40" s="448"/>
      <c r="AW40" s="448"/>
      <c r="AX40" s="448"/>
      <c r="AY40" s="448"/>
      <c r="AZ40" s="448"/>
      <c r="BA40" s="448"/>
      <c r="BB40" s="448"/>
      <c r="BC40" s="448"/>
      <c r="BD40" s="448"/>
      <c r="BE40" s="448"/>
      <c r="BF40" s="448"/>
      <c r="BG40" s="448"/>
      <c r="BH40" s="448"/>
      <c r="BI40" s="448"/>
      <c r="BJ40" s="448"/>
      <c r="BK40" s="448"/>
      <c r="BL40" s="448"/>
    </row>
    <row r="41" spans="2:64" s="82" customFormat="1" x14ac:dyDescent="0.2">
      <c r="B41" s="136"/>
      <c r="C41" s="136"/>
      <c r="D41" s="136"/>
      <c r="E41" s="136"/>
      <c r="F41" s="13"/>
      <c r="G41" s="450"/>
      <c r="H41" s="449"/>
      <c r="I41" s="448"/>
      <c r="J41" s="448"/>
      <c r="K41" s="448"/>
      <c r="L41" s="448"/>
      <c r="M41" s="448"/>
      <c r="N41" s="448"/>
      <c r="O41" s="448"/>
      <c r="P41" s="448"/>
      <c r="Q41" s="448"/>
      <c r="R41" s="448"/>
      <c r="S41" s="448"/>
      <c r="T41" s="448"/>
      <c r="U41" s="448"/>
      <c r="V41" s="448"/>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c r="AT41" s="448"/>
      <c r="AU41" s="448"/>
      <c r="AV41" s="448"/>
      <c r="AW41" s="448"/>
      <c r="AX41" s="448"/>
      <c r="AY41" s="448"/>
      <c r="AZ41" s="448"/>
      <c r="BA41" s="448"/>
      <c r="BB41" s="448"/>
      <c r="BC41" s="448"/>
      <c r="BD41" s="448"/>
      <c r="BE41" s="448"/>
      <c r="BF41" s="448"/>
      <c r="BG41" s="448"/>
      <c r="BH41" s="448"/>
      <c r="BI41" s="448"/>
      <c r="BJ41" s="448"/>
      <c r="BK41" s="448"/>
      <c r="BL41" s="448"/>
    </row>
    <row r="42" spans="2:64" x14ac:dyDescent="0.2">
      <c r="F42" s="451"/>
      <c r="G42" s="451"/>
      <c r="H42" s="451"/>
      <c r="I42" s="446"/>
      <c r="J42" s="446"/>
      <c r="K42" s="446"/>
      <c r="L42" s="446"/>
      <c r="M42" s="446"/>
      <c r="N42" s="446"/>
      <c r="O42" s="446"/>
      <c r="P42" s="446"/>
      <c r="Q42" s="446"/>
      <c r="R42" s="446"/>
      <c r="S42" s="446"/>
      <c r="T42" s="446"/>
      <c r="U42" s="446"/>
      <c r="V42" s="446"/>
      <c r="W42" s="446"/>
      <c r="X42" s="446"/>
      <c r="Y42" s="446"/>
      <c r="Z42" s="446"/>
      <c r="AA42" s="446"/>
      <c r="AB42" s="446"/>
      <c r="AC42" s="446"/>
      <c r="AD42" s="446"/>
      <c r="AE42" s="446"/>
      <c r="AF42" s="446"/>
      <c r="AG42" s="446"/>
      <c r="AH42" s="446"/>
      <c r="AI42" s="446"/>
      <c r="AJ42" s="446"/>
      <c r="AK42" s="446"/>
      <c r="AL42" s="446"/>
      <c r="AM42" s="446"/>
      <c r="AN42" s="446"/>
      <c r="AO42" s="446"/>
      <c r="AP42" s="446"/>
      <c r="AQ42" s="446"/>
      <c r="AR42" s="446"/>
      <c r="AS42" s="446"/>
      <c r="AT42" s="446"/>
      <c r="AU42" s="446"/>
      <c r="AV42" s="446"/>
      <c r="AW42" s="446"/>
      <c r="AX42" s="446"/>
      <c r="AY42" s="446"/>
      <c r="AZ42" s="446"/>
      <c r="BA42" s="446"/>
      <c r="BB42" s="446"/>
      <c r="BC42" s="446"/>
      <c r="BD42" s="446"/>
      <c r="BE42" s="446"/>
      <c r="BF42" s="446"/>
      <c r="BG42" s="446"/>
      <c r="BH42" s="446"/>
      <c r="BI42" s="446"/>
      <c r="BJ42" s="446"/>
      <c r="BK42" s="446"/>
      <c r="BL42" s="446"/>
    </row>
    <row r="43" spans="2:64" x14ac:dyDescent="0.2">
      <c r="F43" s="446"/>
      <c r="G43" s="446"/>
      <c r="H43" s="446"/>
      <c r="I43" s="446"/>
      <c r="J43" s="446"/>
      <c r="K43" s="446"/>
      <c r="L43" s="446"/>
      <c r="M43" s="446"/>
      <c r="N43" s="446"/>
      <c r="O43" s="446"/>
      <c r="P43" s="446"/>
      <c r="Q43" s="446"/>
      <c r="R43" s="446"/>
      <c r="S43" s="446"/>
      <c r="T43" s="446"/>
      <c r="U43" s="446"/>
      <c r="V43" s="446"/>
      <c r="W43" s="446"/>
      <c r="X43" s="446"/>
      <c r="Y43" s="446"/>
      <c r="Z43" s="446"/>
      <c r="AA43" s="446"/>
      <c r="AB43" s="446"/>
      <c r="AC43" s="446"/>
      <c r="AD43" s="446"/>
      <c r="AE43" s="446"/>
      <c r="AF43" s="446"/>
      <c r="AG43" s="446"/>
      <c r="AH43" s="446"/>
      <c r="AI43" s="446"/>
      <c r="AJ43" s="446"/>
      <c r="AK43" s="446"/>
      <c r="AL43" s="446"/>
      <c r="AM43" s="446"/>
      <c r="AN43" s="446"/>
      <c r="AO43" s="446"/>
      <c r="AP43" s="446"/>
      <c r="AQ43" s="446"/>
      <c r="AR43" s="446"/>
      <c r="AS43" s="446"/>
      <c r="AT43" s="446"/>
      <c r="AU43" s="446"/>
      <c r="AV43" s="446"/>
      <c r="AW43" s="446"/>
      <c r="AX43" s="446"/>
      <c r="AY43" s="446"/>
      <c r="AZ43" s="446"/>
      <c r="BA43" s="446"/>
      <c r="BB43" s="446"/>
      <c r="BC43" s="446"/>
      <c r="BD43" s="446"/>
      <c r="BE43" s="446"/>
      <c r="BF43" s="446"/>
      <c r="BG43" s="446"/>
      <c r="BH43" s="446"/>
      <c r="BI43" s="446"/>
      <c r="BJ43" s="446"/>
      <c r="BK43" s="446"/>
      <c r="BL43" s="446"/>
    </row>
    <row r="44" spans="2:64" x14ac:dyDescent="0.2">
      <c r="F44" s="446"/>
      <c r="G44" s="446"/>
      <c r="H44" s="446"/>
      <c r="I44" s="446"/>
      <c r="J44" s="446"/>
      <c r="K44" s="446"/>
      <c r="L44" s="446"/>
      <c r="M44" s="446"/>
      <c r="N44" s="446"/>
      <c r="O44" s="446"/>
      <c r="P44" s="446"/>
      <c r="Q44" s="446"/>
      <c r="R44" s="446"/>
      <c r="S44" s="446"/>
      <c r="T44" s="446"/>
      <c r="U44" s="446"/>
      <c r="V44" s="446"/>
      <c r="W44" s="446"/>
      <c r="X44" s="446"/>
      <c r="Y44" s="446"/>
      <c r="Z44" s="446"/>
      <c r="AA44" s="446"/>
      <c r="AB44" s="446"/>
      <c r="AC44" s="446"/>
      <c r="AD44" s="446"/>
      <c r="AE44" s="446"/>
      <c r="AF44" s="446"/>
      <c r="AG44" s="446"/>
      <c r="AH44" s="446"/>
      <c r="AI44" s="446"/>
      <c r="AJ44" s="446"/>
      <c r="AK44" s="446"/>
      <c r="AL44" s="446"/>
      <c r="AM44" s="446"/>
      <c r="AN44" s="446"/>
      <c r="AO44" s="446"/>
      <c r="AP44" s="446"/>
      <c r="AQ44" s="446"/>
      <c r="AR44" s="446"/>
      <c r="AS44" s="446"/>
      <c r="AT44" s="446"/>
      <c r="AU44" s="446"/>
      <c r="AV44" s="446"/>
      <c r="AW44" s="446"/>
      <c r="AX44" s="446"/>
      <c r="AY44" s="446"/>
      <c r="AZ44" s="446"/>
      <c r="BA44" s="446"/>
      <c r="BB44" s="446"/>
      <c r="BC44" s="446"/>
      <c r="BD44" s="446"/>
      <c r="BE44" s="446"/>
      <c r="BF44" s="446"/>
      <c r="BG44" s="446"/>
      <c r="BH44" s="446"/>
      <c r="BI44" s="446"/>
      <c r="BJ44" s="446"/>
      <c r="BK44" s="446"/>
      <c r="BL44" s="446"/>
    </row>
    <row r="45" spans="2:64" x14ac:dyDescent="0.2">
      <c r="F45" s="446"/>
      <c r="G45" s="446"/>
      <c r="H45" s="446"/>
      <c r="I45" s="446"/>
      <c r="J45" s="446"/>
      <c r="K45" s="446"/>
      <c r="L45" s="446"/>
      <c r="M45" s="446"/>
      <c r="N45" s="446"/>
      <c r="O45" s="446"/>
      <c r="P45" s="446"/>
      <c r="Q45" s="446"/>
      <c r="R45" s="446"/>
      <c r="S45" s="446"/>
      <c r="T45" s="446"/>
      <c r="U45" s="446"/>
      <c r="V45" s="446"/>
      <c r="W45" s="446"/>
      <c r="X45" s="446"/>
      <c r="Y45" s="446"/>
      <c r="Z45" s="446"/>
      <c r="AA45" s="446"/>
      <c r="AB45" s="446"/>
      <c r="AC45" s="446"/>
      <c r="AD45" s="446"/>
      <c r="AE45" s="446"/>
      <c r="AF45" s="446"/>
      <c r="AG45" s="446"/>
      <c r="AH45" s="446"/>
      <c r="AI45" s="446"/>
      <c r="AJ45" s="446"/>
      <c r="AK45" s="446"/>
      <c r="AL45" s="446"/>
      <c r="AM45" s="446"/>
      <c r="AN45" s="446"/>
      <c r="AO45" s="446"/>
      <c r="AP45" s="446"/>
      <c r="AQ45" s="446"/>
      <c r="AR45" s="446"/>
      <c r="AS45" s="446"/>
      <c r="AT45" s="446"/>
      <c r="AU45" s="446"/>
      <c r="AV45" s="446"/>
      <c r="AW45" s="446"/>
      <c r="AX45" s="446"/>
      <c r="AY45" s="446"/>
      <c r="AZ45" s="446"/>
      <c r="BA45" s="446"/>
      <c r="BB45" s="446"/>
      <c r="BC45" s="446"/>
      <c r="BD45" s="446"/>
      <c r="BE45" s="446"/>
      <c r="BF45" s="446"/>
      <c r="BG45" s="446"/>
      <c r="BH45" s="446"/>
      <c r="BI45" s="446"/>
      <c r="BJ45" s="446"/>
      <c r="BK45" s="446"/>
      <c r="BL45" s="446"/>
    </row>
    <row r="46" spans="2:64" x14ac:dyDescent="0.2">
      <c r="F46" s="446"/>
      <c r="G46" s="446"/>
      <c r="H46" s="446"/>
      <c r="I46" s="446"/>
      <c r="J46" s="446"/>
      <c r="K46" s="446"/>
      <c r="L46" s="446"/>
      <c r="M46" s="446"/>
      <c r="N46" s="446"/>
      <c r="O46" s="446"/>
      <c r="P46" s="446"/>
      <c r="Q46" s="446"/>
      <c r="R46" s="446"/>
      <c r="S46" s="446"/>
      <c r="T46" s="446"/>
      <c r="U46" s="446"/>
      <c r="V46" s="446"/>
      <c r="W46" s="446"/>
      <c r="X46" s="446"/>
      <c r="Y46" s="446"/>
      <c r="Z46" s="446"/>
      <c r="AA46" s="446"/>
      <c r="AB46" s="446"/>
      <c r="AC46" s="446"/>
      <c r="AD46" s="446"/>
      <c r="AE46" s="446"/>
      <c r="AF46" s="446"/>
      <c r="AG46" s="446"/>
      <c r="AH46" s="446"/>
      <c r="AI46" s="446"/>
      <c r="AJ46" s="446"/>
      <c r="AK46" s="446"/>
      <c r="AL46" s="446"/>
      <c r="AM46" s="446"/>
      <c r="AN46" s="446"/>
      <c r="AO46" s="446"/>
      <c r="AP46" s="446"/>
      <c r="AQ46" s="446"/>
      <c r="AR46" s="446"/>
      <c r="AS46" s="446"/>
      <c r="AT46" s="446"/>
      <c r="AU46" s="446"/>
      <c r="AV46" s="446"/>
      <c r="AW46" s="446"/>
      <c r="AX46" s="446"/>
      <c r="AY46" s="446"/>
      <c r="AZ46" s="446"/>
      <c r="BA46" s="446"/>
      <c r="BB46" s="446"/>
      <c r="BC46" s="446"/>
      <c r="BD46" s="446"/>
      <c r="BE46" s="446"/>
      <c r="BF46" s="446"/>
      <c r="BG46" s="446"/>
      <c r="BH46" s="446"/>
      <c r="BI46" s="446"/>
      <c r="BJ46" s="446"/>
      <c r="BK46" s="446"/>
      <c r="BL46" s="446"/>
    </row>
    <row r="47" spans="2:64" x14ac:dyDescent="0.2">
      <c r="F47" s="446"/>
      <c r="G47" s="446"/>
      <c r="H47" s="446"/>
      <c r="I47" s="446"/>
      <c r="J47" s="446"/>
      <c r="K47" s="446"/>
      <c r="L47" s="446"/>
      <c r="M47" s="446"/>
      <c r="N47" s="446"/>
      <c r="O47" s="446"/>
      <c r="P47" s="446"/>
      <c r="Q47" s="446"/>
      <c r="R47" s="446"/>
      <c r="S47" s="446"/>
      <c r="T47" s="446"/>
      <c r="U47" s="446"/>
      <c r="V47" s="446"/>
      <c r="W47" s="446"/>
      <c r="X47" s="446"/>
      <c r="Y47" s="446"/>
      <c r="Z47" s="446"/>
      <c r="AA47" s="446"/>
      <c r="AB47" s="446"/>
      <c r="AC47" s="446"/>
      <c r="AD47" s="446"/>
      <c r="AE47" s="446"/>
      <c r="AF47" s="446"/>
      <c r="AG47" s="446"/>
      <c r="AH47" s="446"/>
      <c r="AI47" s="446"/>
      <c r="AJ47" s="446"/>
      <c r="AK47" s="446"/>
      <c r="AL47" s="446"/>
      <c r="AM47" s="446"/>
      <c r="AN47" s="446"/>
      <c r="AO47" s="446"/>
      <c r="AP47" s="446"/>
      <c r="AQ47" s="446"/>
      <c r="AR47" s="446"/>
      <c r="AS47" s="446"/>
      <c r="AT47" s="446"/>
      <c r="AU47" s="446"/>
      <c r="AV47" s="446"/>
      <c r="AW47" s="446"/>
      <c r="AX47" s="446"/>
      <c r="AY47" s="446"/>
      <c r="AZ47" s="446"/>
      <c r="BA47" s="446"/>
      <c r="BB47" s="446"/>
      <c r="BC47" s="446"/>
      <c r="BD47" s="446"/>
      <c r="BE47" s="446"/>
      <c r="BF47" s="446"/>
      <c r="BG47" s="446"/>
      <c r="BH47" s="446"/>
      <c r="BI47" s="446"/>
      <c r="BJ47" s="446"/>
      <c r="BK47" s="446"/>
      <c r="BL47" s="446"/>
    </row>
    <row r="48" spans="2:64" x14ac:dyDescent="0.2">
      <c r="F48" s="446"/>
      <c r="G48" s="446"/>
      <c r="H48" s="446"/>
      <c r="I48" s="446"/>
      <c r="J48" s="446"/>
      <c r="K48" s="446"/>
      <c r="L48" s="446"/>
      <c r="M48" s="446"/>
      <c r="N48" s="446"/>
      <c r="O48" s="446"/>
      <c r="P48" s="446"/>
      <c r="Q48" s="446"/>
      <c r="R48" s="446"/>
      <c r="S48" s="446"/>
      <c r="T48" s="446"/>
      <c r="U48" s="446"/>
      <c r="V48" s="446"/>
      <c r="W48" s="446"/>
      <c r="X48" s="446"/>
      <c r="Y48" s="446"/>
      <c r="Z48" s="446"/>
      <c r="AA48" s="446"/>
      <c r="AB48" s="446"/>
      <c r="AC48" s="446"/>
      <c r="AD48" s="446"/>
      <c r="AE48" s="446"/>
      <c r="AF48" s="446"/>
      <c r="AG48" s="446"/>
      <c r="AH48" s="446"/>
      <c r="AI48" s="446"/>
      <c r="AJ48" s="446"/>
      <c r="AK48" s="446"/>
      <c r="AL48" s="446"/>
      <c r="AM48" s="446"/>
      <c r="AN48" s="446"/>
      <c r="AO48" s="446"/>
      <c r="AP48" s="446"/>
      <c r="AQ48" s="446"/>
      <c r="AR48" s="446"/>
      <c r="AS48" s="446"/>
      <c r="AT48" s="446"/>
      <c r="AU48" s="446"/>
      <c r="AV48" s="446"/>
      <c r="AW48" s="446"/>
      <c r="AX48" s="446"/>
      <c r="AY48" s="446"/>
      <c r="AZ48" s="446"/>
      <c r="BA48" s="446"/>
      <c r="BB48" s="446"/>
      <c r="BC48" s="446"/>
      <c r="BD48" s="446"/>
      <c r="BE48" s="446"/>
      <c r="BF48" s="446"/>
      <c r="BG48" s="446"/>
      <c r="BH48" s="446"/>
      <c r="BI48" s="446"/>
      <c r="BJ48" s="446"/>
      <c r="BK48" s="446"/>
      <c r="BL48" s="446"/>
    </row>
    <row r="49" spans="4:64" x14ac:dyDescent="0.2">
      <c r="F49" s="446"/>
      <c r="G49" s="446"/>
      <c r="H49" s="447"/>
      <c r="I49" s="447"/>
      <c r="J49" s="447"/>
      <c r="K49" s="447"/>
      <c r="L49" s="447"/>
      <c r="M49" s="447"/>
      <c r="N49" s="447"/>
      <c r="O49" s="447"/>
      <c r="P49" s="447"/>
      <c r="Q49" s="446"/>
      <c r="R49" s="446"/>
      <c r="S49" s="446"/>
      <c r="T49" s="446"/>
      <c r="U49" s="446"/>
      <c r="V49" s="446"/>
      <c r="W49" s="446"/>
      <c r="X49" s="446"/>
      <c r="Y49" s="446"/>
      <c r="Z49" s="446"/>
      <c r="AA49" s="446"/>
      <c r="AB49" s="446"/>
      <c r="AC49" s="446"/>
      <c r="AD49" s="446"/>
      <c r="AE49" s="446"/>
      <c r="AF49" s="446"/>
      <c r="AG49" s="446"/>
      <c r="AH49" s="446"/>
      <c r="AI49" s="446"/>
      <c r="AJ49" s="446"/>
      <c r="AK49" s="446"/>
      <c r="AL49" s="446"/>
      <c r="AM49" s="446"/>
      <c r="AN49" s="446"/>
      <c r="AO49" s="446"/>
      <c r="AP49" s="446"/>
      <c r="AQ49" s="446"/>
      <c r="AR49" s="446"/>
      <c r="AS49" s="446"/>
      <c r="AT49" s="446"/>
      <c r="AU49" s="446"/>
      <c r="AV49" s="446"/>
      <c r="AW49" s="446"/>
      <c r="AX49" s="446"/>
      <c r="AY49" s="446"/>
      <c r="AZ49" s="446"/>
      <c r="BA49" s="446"/>
      <c r="BB49" s="446"/>
      <c r="BC49" s="446"/>
      <c r="BD49" s="446"/>
      <c r="BE49" s="446"/>
      <c r="BF49" s="446"/>
      <c r="BG49" s="446"/>
      <c r="BH49" s="446"/>
      <c r="BI49" s="446"/>
      <c r="BJ49" s="446"/>
      <c r="BK49" s="446"/>
      <c r="BL49" s="446"/>
    </row>
    <row r="50" spans="4:64" x14ac:dyDescent="0.2">
      <c r="F50" s="446"/>
      <c r="G50" s="446"/>
      <c r="H50" s="447"/>
      <c r="I50" s="447"/>
      <c r="J50" s="447"/>
      <c r="K50" s="447"/>
      <c r="L50" s="447"/>
      <c r="M50" s="447"/>
      <c r="N50" s="447"/>
      <c r="O50" s="447"/>
      <c r="P50" s="447"/>
      <c r="Q50" s="446"/>
      <c r="R50" s="446"/>
      <c r="S50" s="446"/>
      <c r="T50" s="446"/>
      <c r="U50" s="446"/>
      <c r="V50" s="446"/>
      <c r="W50" s="446"/>
      <c r="X50" s="446"/>
      <c r="Y50" s="446"/>
      <c r="Z50" s="446"/>
      <c r="AA50" s="446"/>
      <c r="AB50" s="446"/>
      <c r="AC50" s="446"/>
      <c r="AD50" s="446"/>
      <c r="AE50" s="446"/>
      <c r="AF50" s="446"/>
      <c r="AG50" s="446"/>
      <c r="AH50" s="446"/>
      <c r="AI50" s="446"/>
      <c r="AJ50" s="446"/>
      <c r="AK50" s="446"/>
      <c r="AL50" s="446"/>
      <c r="AM50" s="446"/>
      <c r="AN50" s="446"/>
      <c r="AO50" s="446"/>
      <c r="AP50" s="446"/>
      <c r="AQ50" s="446"/>
      <c r="AR50" s="446"/>
      <c r="AS50" s="446"/>
      <c r="AT50" s="446"/>
      <c r="AU50" s="446"/>
      <c r="AV50" s="446"/>
      <c r="AW50" s="446"/>
      <c r="AX50" s="446"/>
      <c r="AY50" s="446"/>
      <c r="AZ50" s="446"/>
      <c r="BA50" s="446"/>
      <c r="BB50" s="446"/>
      <c r="BC50" s="446"/>
      <c r="BD50" s="446"/>
      <c r="BE50" s="446"/>
      <c r="BF50" s="446"/>
      <c r="BG50" s="446"/>
      <c r="BH50" s="446"/>
      <c r="BI50" s="446"/>
      <c r="BJ50" s="446"/>
      <c r="BK50" s="446"/>
      <c r="BL50" s="446"/>
    </row>
    <row r="51" spans="4:64" x14ac:dyDescent="0.2">
      <c r="F51" s="446"/>
      <c r="G51" s="446"/>
      <c r="H51" s="447"/>
      <c r="I51" s="447"/>
      <c r="J51" s="447"/>
      <c r="K51" s="447"/>
      <c r="L51" s="447"/>
      <c r="M51" s="447"/>
      <c r="N51" s="447"/>
      <c r="O51" s="447"/>
      <c r="P51" s="447"/>
      <c r="Q51" s="446"/>
      <c r="R51" s="446"/>
      <c r="S51" s="446"/>
      <c r="T51" s="446"/>
      <c r="U51" s="446"/>
      <c r="V51" s="446"/>
      <c r="W51" s="446"/>
      <c r="X51" s="446"/>
      <c r="Y51" s="446"/>
      <c r="Z51" s="446"/>
      <c r="AA51" s="446"/>
      <c r="AB51" s="446"/>
      <c r="AC51" s="446"/>
      <c r="AD51" s="446"/>
      <c r="AE51" s="446"/>
      <c r="AF51" s="446"/>
      <c r="AG51" s="446"/>
      <c r="AH51" s="446"/>
      <c r="AI51" s="446"/>
      <c r="AJ51" s="446"/>
      <c r="AK51" s="446"/>
      <c r="AL51" s="446"/>
      <c r="AM51" s="446"/>
      <c r="AN51" s="446"/>
      <c r="AO51" s="446"/>
      <c r="AP51" s="446"/>
      <c r="AQ51" s="446"/>
      <c r="AR51" s="446"/>
      <c r="AS51" s="446"/>
      <c r="AT51" s="446"/>
      <c r="AU51" s="446"/>
      <c r="AV51" s="446"/>
      <c r="AW51" s="446"/>
      <c r="AX51" s="446"/>
      <c r="AY51" s="446"/>
      <c r="AZ51" s="446"/>
      <c r="BA51" s="446"/>
      <c r="BB51" s="446"/>
      <c r="BC51" s="446"/>
      <c r="BD51" s="446"/>
      <c r="BE51" s="446"/>
      <c r="BF51" s="446"/>
      <c r="BG51" s="446"/>
      <c r="BH51" s="446"/>
      <c r="BI51" s="446"/>
      <c r="BJ51" s="446"/>
      <c r="BK51" s="446"/>
      <c r="BL51" s="446"/>
    </row>
    <row r="52" spans="4:64" x14ac:dyDescent="0.2">
      <c r="F52" s="446"/>
      <c r="G52" s="446"/>
      <c r="H52" s="447"/>
      <c r="I52" s="447"/>
      <c r="J52" s="447"/>
      <c r="K52" s="447"/>
      <c r="L52" s="447"/>
      <c r="M52" s="447"/>
      <c r="N52" s="447"/>
      <c r="O52" s="447"/>
      <c r="P52" s="447"/>
      <c r="Q52" s="446"/>
      <c r="R52" s="446"/>
      <c r="S52" s="446"/>
      <c r="T52" s="446"/>
      <c r="U52" s="446"/>
      <c r="V52" s="446"/>
      <c r="W52" s="446"/>
      <c r="X52" s="446"/>
      <c r="Y52" s="446"/>
      <c r="Z52" s="446"/>
      <c r="AA52" s="446"/>
      <c r="AB52" s="446"/>
      <c r="AC52" s="446"/>
      <c r="AD52" s="446"/>
      <c r="AE52" s="446"/>
      <c r="AF52" s="446"/>
      <c r="AG52" s="446"/>
      <c r="AH52" s="446"/>
      <c r="AI52" s="446"/>
      <c r="AJ52" s="446"/>
      <c r="AK52" s="446"/>
      <c r="AL52" s="446"/>
      <c r="AM52" s="446"/>
      <c r="AN52" s="446"/>
      <c r="AO52" s="446"/>
      <c r="AP52" s="446"/>
      <c r="AQ52" s="446"/>
      <c r="AR52" s="446"/>
      <c r="AS52" s="446"/>
      <c r="AT52" s="446"/>
      <c r="AU52" s="446"/>
      <c r="AV52" s="446"/>
      <c r="AW52" s="446"/>
      <c r="AX52" s="446"/>
      <c r="AY52" s="446"/>
      <c r="AZ52" s="446"/>
      <c r="BA52" s="446"/>
      <c r="BB52" s="446"/>
      <c r="BC52" s="446"/>
      <c r="BD52" s="446"/>
      <c r="BE52" s="446"/>
      <c r="BF52" s="446"/>
      <c r="BG52" s="446"/>
      <c r="BH52" s="446"/>
      <c r="BI52" s="446"/>
      <c r="BJ52" s="446"/>
      <c r="BK52" s="446"/>
      <c r="BL52" s="446"/>
    </row>
    <row r="53" spans="4:64" x14ac:dyDescent="0.2">
      <c r="F53" s="446"/>
      <c r="G53" s="446"/>
      <c r="H53" s="447"/>
      <c r="I53" s="447"/>
      <c r="J53" s="447"/>
      <c r="K53" s="447"/>
      <c r="L53" s="447"/>
      <c r="M53" s="447"/>
      <c r="N53" s="447"/>
      <c r="O53" s="447"/>
      <c r="P53" s="447"/>
      <c r="Q53" s="446"/>
      <c r="R53" s="446"/>
      <c r="S53" s="446"/>
      <c r="T53" s="446"/>
      <c r="U53" s="446"/>
      <c r="V53" s="446"/>
      <c r="W53" s="446"/>
      <c r="X53" s="446"/>
      <c r="Y53" s="446"/>
      <c r="Z53" s="446"/>
      <c r="AA53" s="446"/>
      <c r="AB53" s="446"/>
      <c r="AC53" s="446"/>
      <c r="AD53" s="446"/>
      <c r="AE53" s="446"/>
      <c r="AF53" s="446"/>
      <c r="AG53" s="446"/>
      <c r="AH53" s="446"/>
      <c r="AI53" s="446"/>
      <c r="AJ53" s="446"/>
      <c r="AK53" s="446"/>
      <c r="AL53" s="446"/>
      <c r="AM53" s="446"/>
      <c r="AN53" s="446"/>
      <c r="AO53" s="446"/>
      <c r="AP53" s="446"/>
      <c r="AQ53" s="446"/>
      <c r="AR53" s="446"/>
      <c r="AS53" s="446"/>
      <c r="AT53" s="446"/>
      <c r="AU53" s="446"/>
      <c r="AV53" s="446"/>
      <c r="AW53" s="446"/>
      <c r="AX53" s="446"/>
      <c r="AY53" s="446"/>
      <c r="AZ53" s="446"/>
      <c r="BA53" s="446"/>
      <c r="BB53" s="446"/>
      <c r="BC53" s="446"/>
      <c r="BD53" s="446"/>
      <c r="BE53" s="446"/>
      <c r="BF53" s="446"/>
      <c r="BG53" s="446"/>
      <c r="BH53" s="446"/>
      <c r="BI53" s="446"/>
      <c r="BJ53" s="446"/>
      <c r="BK53" s="446"/>
      <c r="BL53" s="446"/>
    </row>
    <row r="54" spans="4:64" x14ac:dyDescent="0.2">
      <c r="F54" s="446"/>
      <c r="G54" s="446"/>
      <c r="H54" s="447"/>
      <c r="I54" s="447"/>
      <c r="J54" s="447"/>
      <c r="K54" s="447"/>
      <c r="L54" s="447"/>
      <c r="M54" s="447"/>
      <c r="N54" s="447"/>
      <c r="O54" s="447"/>
      <c r="P54" s="447"/>
      <c r="Q54" s="446"/>
      <c r="R54" s="446"/>
      <c r="S54" s="446"/>
      <c r="T54" s="446"/>
      <c r="U54" s="446"/>
      <c r="V54" s="446"/>
      <c r="W54" s="446"/>
      <c r="X54" s="446"/>
      <c r="Y54" s="446"/>
      <c r="Z54" s="446"/>
      <c r="AA54" s="446"/>
      <c r="AB54" s="446"/>
      <c r="AC54" s="446"/>
      <c r="AD54" s="446"/>
      <c r="AE54" s="446"/>
      <c r="AF54" s="446"/>
      <c r="AG54" s="446"/>
      <c r="AH54" s="446"/>
      <c r="AI54" s="446"/>
      <c r="AJ54" s="446"/>
      <c r="AK54" s="446"/>
      <c r="AL54" s="446"/>
      <c r="AM54" s="446"/>
      <c r="AN54" s="446"/>
      <c r="AO54" s="446"/>
      <c r="AP54" s="446"/>
      <c r="AQ54" s="446"/>
      <c r="AR54" s="446"/>
      <c r="AS54" s="446"/>
      <c r="AT54" s="446"/>
      <c r="AU54" s="446"/>
      <c r="AV54" s="446"/>
      <c r="AW54" s="446"/>
      <c r="AX54" s="446"/>
      <c r="AY54" s="446"/>
      <c r="AZ54" s="446"/>
      <c r="BA54" s="446"/>
      <c r="BB54" s="446"/>
      <c r="BC54" s="446"/>
      <c r="BD54" s="446"/>
      <c r="BE54" s="446"/>
      <c r="BF54" s="446"/>
      <c r="BG54" s="446"/>
      <c r="BH54" s="446"/>
      <c r="BI54" s="446"/>
      <c r="BJ54" s="446"/>
      <c r="BK54" s="446"/>
      <c r="BL54" s="446"/>
    </row>
    <row r="55" spans="4:64" x14ac:dyDescent="0.2">
      <c r="D55" s="446"/>
      <c r="E55" s="446"/>
      <c r="F55" s="446"/>
      <c r="G55" s="446"/>
      <c r="H55" s="447"/>
      <c r="I55" s="447"/>
      <c r="J55" s="447"/>
      <c r="K55" s="447"/>
      <c r="L55" s="447"/>
      <c r="M55" s="447"/>
      <c r="N55" s="447"/>
      <c r="O55" s="447"/>
      <c r="P55" s="447"/>
      <c r="Q55" s="446"/>
      <c r="R55" s="446"/>
      <c r="S55" s="446"/>
      <c r="T55" s="446"/>
      <c r="U55" s="446"/>
      <c r="V55" s="446"/>
      <c r="W55" s="446"/>
      <c r="X55" s="446"/>
      <c r="Y55" s="446"/>
      <c r="Z55" s="446"/>
      <c r="AA55" s="446"/>
      <c r="AB55" s="446"/>
      <c r="AC55" s="446"/>
      <c r="AD55" s="446"/>
      <c r="AE55" s="446"/>
      <c r="AF55" s="446"/>
      <c r="AG55" s="446"/>
      <c r="AH55" s="446"/>
      <c r="AI55" s="446"/>
      <c r="AJ55" s="446"/>
      <c r="AK55" s="446"/>
      <c r="AL55" s="446"/>
      <c r="AM55" s="446"/>
      <c r="AN55" s="446"/>
      <c r="AO55" s="446"/>
      <c r="AP55" s="446"/>
      <c r="AQ55" s="446"/>
      <c r="AR55" s="446"/>
      <c r="AS55" s="446"/>
      <c r="AT55" s="446"/>
      <c r="AU55" s="446"/>
      <c r="AV55" s="446"/>
      <c r="AW55" s="446"/>
      <c r="AX55" s="446"/>
      <c r="AY55" s="446"/>
      <c r="AZ55" s="446"/>
      <c r="BA55" s="446"/>
      <c r="BB55" s="446"/>
      <c r="BC55" s="446"/>
      <c r="BD55" s="446"/>
      <c r="BE55" s="446"/>
      <c r="BF55" s="446"/>
      <c r="BG55" s="446"/>
      <c r="BH55" s="446"/>
      <c r="BI55" s="446"/>
      <c r="BJ55" s="446"/>
      <c r="BK55" s="446"/>
      <c r="BL55" s="446"/>
    </row>
    <row r="56" spans="4:64" ht="8.25" customHeight="1" x14ac:dyDescent="0.2">
      <c r="D56" s="446"/>
      <c r="E56" s="446"/>
      <c r="F56" s="446"/>
      <c r="G56" s="446"/>
      <c r="H56" s="447"/>
      <c r="I56" s="447"/>
      <c r="J56" s="447"/>
      <c r="K56" s="447"/>
      <c r="L56" s="447"/>
      <c r="M56" s="447"/>
      <c r="N56" s="447"/>
      <c r="O56" s="447"/>
      <c r="P56" s="447"/>
      <c r="Q56" s="446"/>
      <c r="R56" s="446"/>
      <c r="S56" s="446"/>
      <c r="T56" s="446"/>
      <c r="U56" s="446"/>
      <c r="V56" s="446"/>
      <c r="W56" s="446"/>
      <c r="X56" s="446"/>
      <c r="Y56" s="446"/>
      <c r="Z56" s="446"/>
      <c r="AA56" s="446"/>
      <c r="AB56" s="446"/>
      <c r="AC56" s="446"/>
      <c r="AD56" s="446"/>
      <c r="AE56" s="446"/>
      <c r="AF56" s="446"/>
      <c r="AG56" s="446"/>
      <c r="AH56" s="446"/>
      <c r="AI56" s="446"/>
      <c r="AJ56" s="446"/>
      <c r="AK56" s="446"/>
      <c r="AL56" s="446"/>
      <c r="AM56" s="446"/>
      <c r="AN56" s="446"/>
      <c r="AO56" s="446"/>
      <c r="AP56" s="446"/>
      <c r="AQ56" s="446"/>
      <c r="AR56" s="446"/>
      <c r="AS56" s="446"/>
      <c r="AT56" s="446"/>
      <c r="AU56" s="446"/>
      <c r="AV56" s="446"/>
      <c r="AW56" s="446"/>
      <c r="AX56" s="446"/>
      <c r="AY56" s="446"/>
      <c r="AZ56" s="446"/>
      <c r="BA56" s="446"/>
      <c r="BB56" s="446"/>
      <c r="BC56" s="446"/>
      <c r="BD56" s="446"/>
      <c r="BE56" s="446"/>
      <c r="BF56" s="446"/>
      <c r="BG56" s="446"/>
      <c r="BH56" s="446"/>
      <c r="BI56" s="446"/>
      <c r="BJ56" s="446"/>
      <c r="BK56" s="446"/>
      <c r="BL56" s="446"/>
    </row>
    <row r="57" spans="4:64" x14ac:dyDescent="0.2">
      <c r="D57" s="446"/>
      <c r="E57" s="446"/>
      <c r="F57" s="446"/>
      <c r="G57" s="446"/>
      <c r="H57" s="447"/>
      <c r="I57" s="447"/>
      <c r="J57" s="447"/>
      <c r="K57" s="447"/>
      <c r="L57" s="447"/>
      <c r="M57" s="447"/>
      <c r="N57" s="447"/>
      <c r="O57" s="447"/>
      <c r="P57" s="447"/>
      <c r="Q57" s="446"/>
      <c r="R57" s="446"/>
      <c r="S57" s="446"/>
      <c r="T57" s="446"/>
      <c r="U57" s="446"/>
      <c r="V57" s="446"/>
      <c r="W57" s="446"/>
      <c r="X57" s="446"/>
      <c r="Y57" s="446"/>
      <c r="Z57" s="446"/>
      <c r="AA57" s="446"/>
      <c r="AB57" s="446"/>
      <c r="AC57" s="446"/>
      <c r="AD57" s="446"/>
      <c r="AE57" s="446"/>
      <c r="AF57" s="446"/>
      <c r="AG57" s="446"/>
      <c r="AH57" s="446"/>
      <c r="AI57" s="446"/>
      <c r="AJ57" s="446"/>
      <c r="AK57" s="446"/>
      <c r="AL57" s="446"/>
      <c r="AM57" s="446"/>
      <c r="AN57" s="446"/>
      <c r="AO57" s="446"/>
      <c r="AP57" s="446"/>
      <c r="AQ57" s="446"/>
      <c r="AR57" s="446"/>
      <c r="AS57" s="446"/>
      <c r="AT57" s="446"/>
      <c r="AU57" s="446"/>
      <c r="AV57" s="446"/>
      <c r="AW57" s="446"/>
      <c r="AX57" s="446"/>
      <c r="AY57" s="446"/>
      <c r="AZ57" s="446"/>
      <c r="BA57" s="446"/>
      <c r="BB57" s="446"/>
      <c r="BC57" s="446"/>
      <c r="BD57" s="446"/>
      <c r="BE57" s="446"/>
      <c r="BF57" s="446"/>
      <c r="BG57" s="446"/>
      <c r="BH57" s="446"/>
      <c r="BI57" s="446"/>
      <c r="BJ57" s="446"/>
      <c r="BK57" s="446"/>
      <c r="BL57" s="446"/>
    </row>
    <row r="58" spans="4:64" x14ac:dyDescent="0.2">
      <c r="D58" s="446"/>
      <c r="E58" s="446"/>
      <c r="F58" s="446"/>
      <c r="G58" s="446"/>
      <c r="H58" s="447"/>
      <c r="I58" s="447"/>
      <c r="J58" s="447"/>
      <c r="K58" s="447"/>
      <c r="L58" s="447"/>
      <c r="M58" s="447"/>
      <c r="N58" s="447"/>
      <c r="O58" s="447"/>
      <c r="P58" s="447"/>
      <c r="Q58" s="446"/>
      <c r="R58" s="446"/>
      <c r="S58" s="446"/>
      <c r="T58" s="446"/>
      <c r="U58" s="446"/>
      <c r="V58" s="446"/>
      <c r="W58" s="446"/>
      <c r="X58" s="446"/>
      <c r="Y58" s="446"/>
      <c r="Z58" s="446"/>
      <c r="AA58" s="446"/>
      <c r="AB58" s="446"/>
      <c r="AC58" s="446"/>
      <c r="AD58" s="446"/>
      <c r="AE58" s="446"/>
      <c r="AF58" s="446"/>
      <c r="AG58" s="446"/>
      <c r="AH58" s="446"/>
      <c r="AI58" s="446"/>
      <c r="AJ58" s="446"/>
      <c r="AK58" s="446"/>
      <c r="AL58" s="446"/>
      <c r="AM58" s="446"/>
      <c r="AN58" s="446"/>
      <c r="AO58" s="446"/>
      <c r="AP58" s="446"/>
      <c r="AQ58" s="446"/>
      <c r="AR58" s="446"/>
      <c r="AS58" s="446"/>
      <c r="AT58" s="446"/>
      <c r="AU58" s="446"/>
      <c r="AV58" s="446"/>
      <c r="AW58" s="446"/>
      <c r="AX58" s="446"/>
      <c r="AY58" s="446"/>
      <c r="AZ58" s="446"/>
      <c r="BA58" s="446"/>
      <c r="BB58" s="446"/>
      <c r="BC58" s="446"/>
      <c r="BD58" s="446"/>
      <c r="BE58" s="446"/>
      <c r="BF58" s="446"/>
      <c r="BG58" s="446"/>
      <c r="BH58" s="446"/>
      <c r="BI58" s="446"/>
      <c r="BJ58" s="446"/>
      <c r="BK58" s="446"/>
      <c r="BL58" s="446"/>
    </row>
    <row r="59" spans="4:64" hidden="1" x14ac:dyDescent="0.2">
      <c r="D59" s="446"/>
      <c r="E59" s="446"/>
      <c r="G59" s="446"/>
      <c r="H59" s="447"/>
      <c r="I59" s="519"/>
      <c r="J59" s="447"/>
      <c r="K59" s="447"/>
      <c r="L59" s="447"/>
      <c r="M59" s="447"/>
      <c r="N59" s="447"/>
      <c r="O59" s="447"/>
      <c r="P59" s="447"/>
      <c r="Q59" s="446"/>
      <c r="R59" s="446"/>
      <c r="S59" s="446"/>
      <c r="T59" s="446"/>
      <c r="U59" s="446"/>
      <c r="V59" s="446"/>
      <c r="W59" s="446"/>
      <c r="X59" s="446"/>
      <c r="Y59" s="446"/>
      <c r="Z59" s="446"/>
      <c r="AA59" s="446"/>
      <c r="AB59" s="446"/>
      <c r="AC59" s="446"/>
      <c r="AD59" s="446"/>
      <c r="AE59" s="446"/>
      <c r="AF59" s="446"/>
      <c r="AG59" s="446"/>
      <c r="AH59" s="446"/>
      <c r="AI59" s="446"/>
      <c r="AJ59" s="446"/>
      <c r="AK59" s="446"/>
      <c r="AL59" s="446"/>
      <c r="AM59" s="446"/>
      <c r="AN59" s="446"/>
      <c r="AO59" s="446"/>
      <c r="AP59" s="446"/>
      <c r="AQ59" s="446"/>
      <c r="AR59" s="446"/>
      <c r="AS59" s="446"/>
      <c r="AT59" s="446"/>
      <c r="AU59" s="446"/>
      <c r="AV59" s="446"/>
      <c r="AW59" s="446"/>
      <c r="AX59" s="446"/>
      <c r="AY59" s="446"/>
      <c r="AZ59" s="446"/>
      <c r="BA59" s="446"/>
      <c r="BB59" s="446"/>
      <c r="BC59" s="446"/>
      <c r="BD59" s="446"/>
      <c r="BE59" s="446"/>
      <c r="BF59" s="446"/>
      <c r="BG59" s="446"/>
      <c r="BH59" s="446"/>
      <c r="BI59" s="446"/>
      <c r="BJ59" s="446"/>
      <c r="BK59" s="446"/>
      <c r="BL59" s="446"/>
    </row>
    <row r="60" spans="4:64" hidden="1" x14ac:dyDescent="0.2">
      <c r="D60" s="446"/>
      <c r="E60" s="446"/>
      <c r="F60" s="446"/>
      <c r="G60" s="518"/>
      <c r="H60" s="447" t="s">
        <v>507</v>
      </c>
      <c r="I60" s="517">
        <f ca="1">DAY(TODAY())</f>
        <v>5</v>
      </c>
      <c r="J60" s="447"/>
      <c r="K60" s="447"/>
      <c r="L60" s="447"/>
      <c r="M60" s="447"/>
      <c r="N60" s="447"/>
      <c r="O60" s="447"/>
      <c r="P60" s="447"/>
      <c r="Q60" s="446"/>
      <c r="R60" s="446"/>
      <c r="S60" s="446"/>
      <c r="T60" s="446"/>
      <c r="U60" s="446"/>
      <c r="V60" s="446"/>
      <c r="W60" s="446"/>
      <c r="X60" s="446"/>
      <c r="Y60" s="446"/>
      <c r="Z60" s="446"/>
      <c r="AA60" s="446"/>
      <c r="AB60" s="446"/>
      <c r="AC60" s="446"/>
      <c r="AD60" s="446"/>
      <c r="AE60" s="446"/>
      <c r="AF60" s="446"/>
      <c r="AG60" s="446"/>
      <c r="AH60" s="446"/>
      <c r="AI60" s="446"/>
      <c r="AJ60" s="446"/>
      <c r="AK60" s="446"/>
      <c r="AL60" s="446"/>
      <c r="AM60" s="446"/>
      <c r="AN60" s="446"/>
      <c r="AO60" s="446"/>
      <c r="AP60" s="446"/>
      <c r="AQ60" s="446"/>
      <c r="AR60" s="446"/>
      <c r="AS60" s="446"/>
      <c r="AT60" s="446"/>
      <c r="AU60" s="446"/>
      <c r="AV60" s="446"/>
      <c r="AW60" s="446"/>
      <c r="AX60" s="446"/>
      <c r="AY60" s="446"/>
      <c r="AZ60" s="446"/>
      <c r="BA60" s="446"/>
      <c r="BB60" s="446"/>
      <c r="BC60" s="446"/>
      <c r="BD60" s="446"/>
      <c r="BE60" s="446"/>
      <c r="BF60" s="446"/>
      <c r="BG60" s="446"/>
      <c r="BH60" s="446"/>
      <c r="BI60" s="446"/>
      <c r="BJ60" s="446"/>
      <c r="BK60" s="446"/>
      <c r="BL60" s="446"/>
    </row>
    <row r="61" spans="4:64" hidden="1" x14ac:dyDescent="0.2">
      <c r="D61" s="446"/>
      <c r="E61" s="446"/>
      <c r="F61" s="446"/>
      <c r="G61" s="518"/>
      <c r="H61" s="447" t="s">
        <v>508</v>
      </c>
      <c r="I61" s="447">
        <f ca="1">MONTH(TODAY())</f>
        <v>4</v>
      </c>
      <c r="J61" s="447"/>
      <c r="K61" s="447"/>
      <c r="L61" s="447"/>
      <c r="M61" s="447"/>
      <c r="N61" s="447"/>
      <c r="O61" s="447"/>
      <c r="P61" s="447"/>
      <c r="Q61" s="446"/>
      <c r="R61" s="446"/>
      <c r="S61" s="446"/>
      <c r="T61" s="446"/>
      <c r="U61" s="446"/>
      <c r="V61" s="446"/>
      <c r="W61" s="446"/>
      <c r="X61" s="446"/>
      <c r="Y61" s="446"/>
      <c r="Z61" s="446"/>
      <c r="AA61" s="446"/>
      <c r="AB61" s="446"/>
      <c r="AC61" s="446"/>
      <c r="AD61" s="446"/>
      <c r="AE61" s="446"/>
      <c r="AF61" s="446"/>
      <c r="AG61" s="446"/>
      <c r="AH61" s="446"/>
      <c r="AI61" s="446"/>
      <c r="AJ61" s="446"/>
      <c r="AK61" s="446"/>
      <c r="AL61" s="446"/>
      <c r="AM61" s="446"/>
      <c r="AN61" s="446"/>
      <c r="AO61" s="446"/>
      <c r="AP61" s="446"/>
      <c r="AQ61" s="446"/>
      <c r="AR61" s="446"/>
      <c r="AS61" s="446"/>
      <c r="AT61" s="446"/>
      <c r="AU61" s="446"/>
      <c r="AV61" s="446"/>
      <c r="AW61" s="446"/>
      <c r="AX61" s="446"/>
      <c r="AY61" s="446"/>
      <c r="AZ61" s="446"/>
      <c r="BA61" s="446"/>
      <c r="BB61" s="446"/>
      <c r="BC61" s="446"/>
      <c r="BD61" s="446"/>
      <c r="BE61" s="446"/>
      <c r="BF61" s="446"/>
      <c r="BG61" s="446"/>
      <c r="BH61" s="446"/>
      <c r="BI61" s="446"/>
      <c r="BJ61" s="446"/>
      <c r="BK61" s="446"/>
      <c r="BL61" s="446"/>
    </row>
    <row r="62" spans="4:64" hidden="1" x14ac:dyDescent="0.2">
      <c r="D62" s="446"/>
      <c r="E62" s="446"/>
      <c r="F62" s="446"/>
      <c r="G62" s="518"/>
      <c r="H62" s="447" t="s">
        <v>509</v>
      </c>
      <c r="I62" s="447">
        <f ca="1">YEAR(TODAY())</f>
        <v>2016</v>
      </c>
      <c r="J62" s="447"/>
      <c r="K62" s="447"/>
      <c r="L62" s="447"/>
      <c r="M62" s="447"/>
      <c r="N62" s="447"/>
      <c r="O62" s="447"/>
      <c r="P62" s="447"/>
      <c r="Q62" s="446"/>
      <c r="R62" s="446"/>
      <c r="S62" s="446"/>
      <c r="T62" s="446"/>
      <c r="U62" s="446"/>
      <c r="V62" s="446"/>
      <c r="W62" s="446"/>
      <c r="X62" s="446"/>
      <c r="Y62" s="446"/>
      <c r="Z62" s="446"/>
      <c r="AA62" s="446"/>
      <c r="AB62" s="446"/>
      <c r="AC62" s="446"/>
      <c r="AD62" s="446"/>
      <c r="AE62" s="446"/>
      <c r="AF62" s="446"/>
      <c r="AG62" s="446"/>
      <c r="AH62" s="446"/>
      <c r="AI62" s="446"/>
      <c r="AJ62" s="446"/>
      <c r="AK62" s="446"/>
      <c r="AL62" s="446"/>
      <c r="AM62" s="446"/>
      <c r="AN62" s="446"/>
      <c r="AO62" s="446"/>
      <c r="AP62" s="446"/>
      <c r="AQ62" s="446"/>
      <c r="AR62" s="446"/>
      <c r="AS62" s="446"/>
      <c r="AT62" s="446"/>
      <c r="AU62" s="446"/>
      <c r="AV62" s="446"/>
      <c r="AW62" s="446"/>
      <c r="AX62" s="446"/>
      <c r="AY62" s="446"/>
      <c r="AZ62" s="446"/>
      <c r="BA62" s="446"/>
      <c r="BB62" s="446"/>
      <c r="BC62" s="446"/>
      <c r="BD62" s="446"/>
      <c r="BE62" s="446"/>
      <c r="BF62" s="446"/>
      <c r="BG62" s="446"/>
      <c r="BH62" s="446"/>
      <c r="BI62" s="446"/>
      <c r="BJ62" s="446"/>
      <c r="BK62" s="446"/>
      <c r="BL62" s="446"/>
    </row>
    <row r="63" spans="4:64" hidden="1" x14ac:dyDescent="0.2">
      <c r="D63" s="446"/>
      <c r="E63" s="446"/>
      <c r="F63" s="446"/>
      <c r="G63" s="518"/>
      <c r="H63" s="447" t="s">
        <v>510</v>
      </c>
      <c r="I63" s="447" t="str">
        <f ca="1">CONCATENATE(I60,"_",I61,"_",I62)</f>
        <v>5_4_2016</v>
      </c>
      <c r="J63" s="635">
        <v>1</v>
      </c>
      <c r="K63" s="447"/>
      <c r="L63" s="447"/>
      <c r="M63" s="447"/>
      <c r="N63" s="447"/>
      <c r="O63" s="447"/>
      <c r="P63" s="447"/>
      <c r="Q63" s="446"/>
      <c r="R63" s="446"/>
      <c r="S63" s="446"/>
      <c r="T63" s="446"/>
      <c r="U63" s="446"/>
      <c r="V63" s="446"/>
      <c r="W63" s="446"/>
      <c r="X63" s="446"/>
      <c r="Y63" s="446"/>
      <c r="Z63" s="446"/>
      <c r="AA63" s="446"/>
      <c r="AB63" s="446"/>
      <c r="AC63" s="446"/>
      <c r="AD63" s="446"/>
      <c r="AE63" s="446"/>
      <c r="AF63" s="446"/>
      <c r="AG63" s="446"/>
      <c r="AH63" s="446"/>
      <c r="AI63" s="446"/>
      <c r="AJ63" s="446"/>
      <c r="AK63" s="446"/>
      <c r="AL63" s="446"/>
      <c r="AM63" s="446"/>
      <c r="AN63" s="446"/>
      <c r="AO63" s="446"/>
      <c r="AP63" s="446"/>
      <c r="AQ63" s="446"/>
      <c r="AR63" s="446"/>
      <c r="AS63" s="446"/>
      <c r="AT63" s="446"/>
      <c r="AU63" s="446"/>
      <c r="AV63" s="446"/>
      <c r="AW63" s="446"/>
      <c r="AX63" s="446"/>
      <c r="AY63" s="446"/>
      <c r="AZ63" s="446"/>
      <c r="BA63" s="446"/>
      <c r="BB63" s="446"/>
      <c r="BC63" s="446"/>
      <c r="BD63" s="446"/>
      <c r="BE63" s="446"/>
      <c r="BF63" s="446"/>
      <c r="BG63" s="446"/>
      <c r="BH63" s="446"/>
      <c r="BI63" s="446"/>
      <c r="BJ63" s="446"/>
      <c r="BK63" s="446"/>
      <c r="BL63" s="446"/>
    </row>
    <row r="64" spans="4:64" x14ac:dyDescent="0.2">
      <c r="D64" s="446"/>
      <c r="E64" s="446"/>
      <c r="F64" s="446"/>
      <c r="G64" s="446"/>
      <c r="H64" s="447"/>
      <c r="I64" s="447"/>
      <c r="J64" s="447"/>
      <c r="K64" s="447"/>
      <c r="L64" s="447"/>
      <c r="M64" s="447"/>
      <c r="N64" s="447"/>
      <c r="O64" s="447"/>
      <c r="P64" s="447"/>
      <c r="Q64" s="446"/>
      <c r="R64" s="446"/>
      <c r="S64" s="446"/>
      <c r="T64" s="446"/>
      <c r="U64" s="446"/>
      <c r="V64" s="446"/>
      <c r="W64" s="446"/>
      <c r="X64" s="446"/>
      <c r="Y64" s="446"/>
      <c r="Z64" s="446"/>
      <c r="AA64" s="446"/>
      <c r="AB64" s="446"/>
      <c r="AC64" s="446"/>
      <c r="AD64" s="446"/>
      <c r="AE64" s="446"/>
      <c r="AF64" s="446"/>
      <c r="AG64" s="446"/>
      <c r="AH64" s="446"/>
      <c r="AI64" s="446"/>
      <c r="AJ64" s="446"/>
      <c r="AK64" s="446"/>
      <c r="AL64" s="446"/>
      <c r="AM64" s="446"/>
      <c r="AN64" s="446"/>
      <c r="AO64" s="446"/>
      <c r="AP64" s="446"/>
      <c r="AQ64" s="446"/>
      <c r="AR64" s="446"/>
      <c r="AS64" s="446"/>
      <c r="AT64" s="446"/>
      <c r="AU64" s="446"/>
      <c r="AV64" s="446"/>
      <c r="AW64" s="446"/>
      <c r="AX64" s="446"/>
      <c r="AY64" s="446"/>
      <c r="AZ64" s="446"/>
      <c r="BA64" s="446"/>
      <c r="BB64" s="446"/>
      <c r="BC64" s="446"/>
      <c r="BD64" s="446"/>
      <c r="BE64" s="446"/>
      <c r="BF64" s="446"/>
      <c r="BG64" s="446"/>
      <c r="BH64" s="446"/>
      <c r="BI64" s="446"/>
      <c r="BJ64" s="446"/>
      <c r="BK64" s="446"/>
      <c r="BL64" s="446"/>
    </row>
    <row r="65" spans="4:64" x14ac:dyDescent="0.2">
      <c r="D65" s="446"/>
      <c r="E65" s="446"/>
      <c r="F65" s="446"/>
      <c r="G65" s="446"/>
      <c r="H65" s="447"/>
      <c r="I65" s="447"/>
      <c r="J65" s="447"/>
      <c r="K65" s="447"/>
      <c r="L65" s="447"/>
      <c r="M65" s="447"/>
      <c r="N65" s="447"/>
      <c r="O65" s="447"/>
      <c r="P65" s="447"/>
      <c r="Q65" s="446"/>
      <c r="R65" s="446"/>
      <c r="S65" s="446"/>
      <c r="T65" s="446"/>
      <c r="U65" s="446"/>
      <c r="V65" s="446"/>
      <c r="W65" s="446"/>
      <c r="X65" s="446"/>
      <c r="Y65" s="446"/>
      <c r="Z65" s="446"/>
      <c r="AA65" s="446"/>
      <c r="AB65" s="446"/>
      <c r="AC65" s="446"/>
      <c r="AD65" s="446"/>
      <c r="AE65" s="446"/>
      <c r="AF65" s="446"/>
      <c r="AG65" s="446"/>
      <c r="AH65" s="446"/>
      <c r="AI65" s="446"/>
      <c r="AJ65" s="446"/>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446"/>
      <c r="BJ65" s="446"/>
      <c r="BK65" s="446"/>
      <c r="BL65" s="446"/>
    </row>
    <row r="66" spans="4:64" x14ac:dyDescent="0.2">
      <c r="D66" s="446"/>
      <c r="E66" s="446"/>
      <c r="F66" s="446"/>
      <c r="G66" s="446"/>
      <c r="H66" s="447"/>
      <c r="I66" s="447"/>
      <c r="J66" s="447"/>
      <c r="K66" s="447"/>
      <c r="L66" s="447"/>
      <c r="M66" s="447"/>
      <c r="N66" s="447"/>
      <c r="O66" s="447"/>
      <c r="P66" s="447"/>
      <c r="Q66" s="446"/>
      <c r="R66" s="446"/>
      <c r="S66" s="446"/>
      <c r="T66" s="446"/>
      <c r="U66" s="446"/>
      <c r="V66" s="446"/>
      <c r="W66" s="446"/>
      <c r="X66" s="446"/>
      <c r="Y66" s="446"/>
      <c r="Z66" s="446"/>
      <c r="AA66" s="446"/>
      <c r="AB66" s="446"/>
      <c r="AC66" s="446"/>
      <c r="AD66" s="446"/>
      <c r="AE66" s="446"/>
      <c r="AF66" s="446"/>
      <c r="AG66" s="446"/>
      <c r="AH66" s="446"/>
      <c r="AI66" s="446"/>
      <c r="AJ66" s="446"/>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446"/>
      <c r="BJ66" s="446"/>
      <c r="BK66" s="446"/>
      <c r="BL66" s="446"/>
    </row>
    <row r="67" spans="4:64" x14ac:dyDescent="0.2">
      <c r="D67" s="446"/>
      <c r="E67" s="446"/>
      <c r="F67" s="446"/>
      <c r="G67" s="446"/>
      <c r="H67" s="447"/>
      <c r="I67" s="447"/>
      <c r="J67" s="447"/>
      <c r="K67" s="447"/>
      <c r="L67" s="447"/>
      <c r="M67" s="447"/>
      <c r="N67" s="447"/>
      <c r="O67" s="447"/>
      <c r="P67" s="447"/>
      <c r="Q67" s="446"/>
      <c r="R67" s="446"/>
      <c r="S67" s="446"/>
      <c r="T67" s="446"/>
      <c r="U67" s="446"/>
      <c r="V67" s="446"/>
      <c r="W67" s="446"/>
      <c r="X67" s="446"/>
      <c r="Y67" s="446"/>
      <c r="Z67" s="446"/>
      <c r="AA67" s="446"/>
      <c r="AB67" s="446"/>
      <c r="AC67" s="446"/>
      <c r="AD67" s="446"/>
      <c r="AE67" s="446"/>
      <c r="AF67" s="446"/>
      <c r="AG67" s="446"/>
      <c r="AH67" s="446"/>
      <c r="AI67" s="446"/>
      <c r="AJ67" s="446"/>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446"/>
      <c r="BJ67" s="446"/>
      <c r="BK67" s="446"/>
      <c r="BL67" s="446"/>
    </row>
    <row r="68" spans="4:64" x14ac:dyDescent="0.2">
      <c r="D68" s="446"/>
      <c r="E68" s="446"/>
      <c r="F68" s="446"/>
      <c r="G68" s="446"/>
      <c r="H68" s="447"/>
      <c r="I68" s="447"/>
      <c r="J68" s="447"/>
      <c r="K68" s="447"/>
      <c r="L68" s="447"/>
      <c r="M68" s="447"/>
      <c r="N68" s="447"/>
      <c r="O68" s="447"/>
      <c r="P68" s="447"/>
      <c r="Q68" s="446"/>
      <c r="R68" s="446"/>
      <c r="S68" s="446"/>
      <c r="T68" s="446"/>
      <c r="U68" s="446"/>
      <c r="V68" s="446"/>
      <c r="W68" s="446"/>
      <c r="X68" s="446"/>
      <c r="Y68" s="446"/>
      <c r="Z68" s="446"/>
      <c r="AA68" s="446"/>
      <c r="AB68" s="446"/>
      <c r="AC68" s="446"/>
      <c r="AD68" s="446"/>
      <c r="AE68" s="446"/>
      <c r="AF68" s="446"/>
      <c r="AG68" s="446"/>
      <c r="AH68" s="446"/>
      <c r="AI68" s="446"/>
      <c r="AJ68" s="446"/>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446"/>
      <c r="BJ68" s="446"/>
      <c r="BK68" s="446"/>
      <c r="BL68" s="446"/>
    </row>
    <row r="69" spans="4:64" x14ac:dyDescent="0.2">
      <c r="D69" s="446"/>
      <c r="E69" s="446"/>
      <c r="F69" s="446"/>
      <c r="G69" s="446"/>
      <c r="H69" s="447"/>
      <c r="I69" s="447"/>
      <c r="J69" s="447"/>
      <c r="K69" s="447"/>
      <c r="L69" s="447"/>
      <c r="M69" s="447"/>
      <c r="N69" s="447"/>
      <c r="O69" s="447"/>
      <c r="P69" s="447"/>
      <c r="Q69" s="446"/>
      <c r="R69" s="446"/>
      <c r="S69" s="446"/>
      <c r="T69" s="446"/>
      <c r="U69" s="446"/>
      <c r="V69" s="446"/>
      <c r="W69" s="446"/>
      <c r="X69" s="446"/>
      <c r="Y69" s="446"/>
      <c r="Z69" s="446"/>
      <c r="AA69" s="446"/>
      <c r="AB69" s="446"/>
      <c r="AC69" s="446"/>
      <c r="AD69" s="446"/>
      <c r="AE69" s="446"/>
      <c r="AF69" s="446"/>
      <c r="AG69" s="446"/>
      <c r="AH69" s="446"/>
      <c r="AI69" s="446"/>
      <c r="AJ69" s="446"/>
      <c r="AK69" s="446"/>
      <c r="AL69" s="446"/>
      <c r="AM69" s="446"/>
      <c r="AN69" s="446"/>
      <c r="AO69" s="446"/>
      <c r="AP69" s="446"/>
      <c r="AQ69" s="446"/>
      <c r="AR69" s="446"/>
      <c r="AS69" s="446"/>
      <c r="AT69" s="446"/>
      <c r="AU69" s="446"/>
      <c r="AV69" s="446"/>
      <c r="AW69" s="446"/>
      <c r="AX69" s="446"/>
      <c r="AY69" s="446"/>
      <c r="AZ69" s="446"/>
      <c r="BA69" s="446"/>
      <c r="BB69" s="446"/>
      <c r="BC69" s="446"/>
      <c r="BD69" s="446"/>
      <c r="BE69" s="446"/>
      <c r="BF69" s="446"/>
      <c r="BG69" s="446"/>
      <c r="BH69" s="446"/>
      <c r="BI69" s="446"/>
      <c r="BJ69" s="446"/>
      <c r="BK69" s="446"/>
      <c r="BL69" s="446"/>
    </row>
    <row r="70" spans="4:64" x14ac:dyDescent="0.2">
      <c r="D70" s="446"/>
      <c r="E70" s="446"/>
      <c r="F70" s="446"/>
      <c r="G70" s="446"/>
      <c r="H70" s="447"/>
      <c r="I70" s="447"/>
      <c r="J70" s="447"/>
      <c r="K70" s="447"/>
      <c r="L70" s="447"/>
      <c r="M70" s="447"/>
      <c r="N70" s="447"/>
      <c r="O70" s="447"/>
      <c r="P70" s="447"/>
      <c r="Q70" s="446"/>
      <c r="R70" s="446"/>
      <c r="S70" s="446"/>
      <c r="T70" s="446"/>
      <c r="U70" s="446"/>
      <c r="V70" s="446"/>
      <c r="W70" s="446"/>
      <c r="X70" s="446"/>
      <c r="Y70" s="446"/>
      <c r="Z70" s="446"/>
      <c r="AA70" s="446"/>
      <c r="AB70" s="446"/>
      <c r="AC70" s="446"/>
      <c r="AD70" s="446"/>
      <c r="AE70" s="446"/>
      <c r="AF70" s="446"/>
      <c r="AG70" s="446"/>
      <c r="AH70" s="446"/>
      <c r="AI70" s="446"/>
      <c r="AJ70" s="446"/>
      <c r="AK70" s="446"/>
      <c r="AL70" s="446"/>
      <c r="AM70" s="446"/>
      <c r="AN70" s="446"/>
      <c r="AO70" s="446"/>
      <c r="AP70" s="446"/>
      <c r="AQ70" s="446"/>
      <c r="AR70" s="446"/>
      <c r="AS70" s="446"/>
      <c r="AT70" s="446"/>
      <c r="AU70" s="446"/>
      <c r="AV70" s="446"/>
      <c r="AW70" s="446"/>
      <c r="AX70" s="446"/>
      <c r="AY70" s="446"/>
      <c r="AZ70" s="446"/>
      <c r="BA70" s="446"/>
      <c r="BB70" s="446"/>
      <c r="BC70" s="446"/>
      <c r="BD70" s="446"/>
      <c r="BE70" s="446"/>
      <c r="BF70" s="446"/>
      <c r="BG70" s="446"/>
      <c r="BH70" s="446"/>
      <c r="BI70" s="446"/>
      <c r="BJ70" s="446"/>
      <c r="BK70" s="446"/>
      <c r="BL70" s="446"/>
    </row>
    <row r="71" spans="4:64" x14ac:dyDescent="0.2">
      <c r="D71" s="446"/>
      <c r="E71" s="446"/>
      <c r="F71" s="446"/>
      <c r="G71" s="446"/>
      <c r="H71" s="446"/>
      <c r="I71" s="446"/>
      <c r="J71" s="446"/>
      <c r="K71" s="446"/>
      <c r="L71" s="446"/>
      <c r="M71" s="446"/>
      <c r="N71" s="446"/>
      <c r="O71" s="446"/>
      <c r="P71" s="446"/>
      <c r="Q71" s="446"/>
      <c r="R71" s="446"/>
      <c r="S71" s="446"/>
      <c r="T71" s="446"/>
      <c r="U71" s="446"/>
      <c r="V71" s="446"/>
      <c r="W71" s="446"/>
      <c r="X71" s="446"/>
      <c r="Y71" s="446"/>
      <c r="Z71" s="446"/>
      <c r="AA71" s="446"/>
      <c r="AB71" s="446"/>
      <c r="AC71" s="446"/>
      <c r="AD71" s="446"/>
      <c r="AE71" s="446"/>
      <c r="AF71" s="446"/>
      <c r="AG71" s="446"/>
      <c r="AH71" s="446"/>
      <c r="AI71" s="446"/>
      <c r="AJ71" s="446"/>
      <c r="AK71" s="446"/>
      <c r="AL71" s="446"/>
      <c r="AM71" s="446"/>
      <c r="AN71" s="446"/>
      <c r="AO71" s="446"/>
      <c r="AP71" s="446"/>
      <c r="AQ71" s="446"/>
      <c r="AR71" s="446"/>
      <c r="AS71" s="446"/>
      <c r="AT71" s="446"/>
      <c r="AU71" s="446"/>
      <c r="AV71" s="446"/>
      <c r="AW71" s="446"/>
      <c r="AX71" s="446"/>
      <c r="AY71" s="446"/>
      <c r="AZ71" s="446"/>
      <c r="BA71" s="446"/>
      <c r="BB71" s="446"/>
      <c r="BC71" s="446"/>
      <c r="BD71" s="446"/>
      <c r="BE71" s="446"/>
      <c r="BF71" s="446"/>
      <c r="BG71" s="446"/>
      <c r="BH71" s="446"/>
      <c r="BI71" s="446"/>
      <c r="BJ71" s="446"/>
      <c r="BK71" s="446"/>
      <c r="BL71" s="446"/>
    </row>
    <row r="72" spans="4:64" x14ac:dyDescent="0.2">
      <c r="D72" s="446"/>
      <c r="E72" s="446"/>
      <c r="F72" s="446"/>
      <c r="G72" s="446"/>
      <c r="H72" s="446"/>
      <c r="I72" s="446"/>
      <c r="J72" s="446"/>
      <c r="K72" s="446"/>
      <c r="L72" s="446"/>
      <c r="M72" s="446"/>
      <c r="N72" s="446"/>
      <c r="O72" s="446"/>
      <c r="P72" s="446"/>
      <c r="Q72" s="446"/>
      <c r="R72" s="446"/>
      <c r="S72" s="446"/>
      <c r="T72" s="446"/>
      <c r="U72" s="446"/>
      <c r="V72" s="446"/>
      <c r="W72" s="446"/>
      <c r="X72" s="446"/>
      <c r="Y72" s="446"/>
      <c r="Z72" s="446"/>
      <c r="AA72" s="446"/>
      <c r="AB72" s="446"/>
      <c r="AC72" s="446"/>
      <c r="AD72" s="446"/>
      <c r="AE72" s="446"/>
      <c r="AF72" s="446"/>
      <c r="AG72" s="446"/>
      <c r="AH72" s="446"/>
      <c r="AI72" s="446"/>
      <c r="AJ72" s="446"/>
      <c r="AK72" s="446"/>
      <c r="AL72" s="446"/>
      <c r="AM72" s="446"/>
      <c r="AN72" s="446"/>
      <c r="AO72" s="446"/>
      <c r="AP72" s="446"/>
      <c r="AQ72" s="446"/>
      <c r="AR72" s="446"/>
      <c r="AS72" s="446"/>
      <c r="AT72" s="446"/>
      <c r="AU72" s="446"/>
      <c r="AV72" s="446"/>
      <c r="AW72" s="446"/>
      <c r="AX72" s="446"/>
      <c r="AY72" s="446"/>
      <c r="AZ72" s="446"/>
      <c r="BA72" s="446"/>
      <c r="BB72" s="446"/>
      <c r="BC72" s="446"/>
      <c r="BD72" s="446"/>
      <c r="BE72" s="446"/>
      <c r="BF72" s="446"/>
      <c r="BG72" s="446"/>
      <c r="BH72" s="446"/>
      <c r="BI72" s="446"/>
      <c r="BJ72" s="446"/>
      <c r="BK72" s="446"/>
      <c r="BL72" s="446"/>
    </row>
    <row r="73" spans="4:64" x14ac:dyDescent="0.2">
      <c r="D73" s="446"/>
      <c r="E73" s="446"/>
      <c r="F73" s="446"/>
      <c r="G73" s="446"/>
      <c r="H73" s="446"/>
      <c r="I73" s="446"/>
      <c r="J73" s="446"/>
      <c r="K73" s="446"/>
      <c r="L73" s="446"/>
      <c r="M73" s="446"/>
      <c r="N73" s="446"/>
      <c r="O73" s="446"/>
      <c r="P73" s="446"/>
      <c r="Q73" s="446"/>
      <c r="R73" s="446"/>
      <c r="S73" s="446"/>
      <c r="T73" s="446"/>
      <c r="U73" s="446"/>
      <c r="V73" s="446"/>
      <c r="W73" s="446"/>
      <c r="X73" s="446"/>
      <c r="Y73" s="446"/>
      <c r="Z73" s="446"/>
      <c r="AA73" s="446"/>
      <c r="AB73" s="446"/>
      <c r="AC73" s="446"/>
      <c r="AD73" s="446"/>
      <c r="AE73" s="446"/>
      <c r="AF73" s="446"/>
      <c r="AG73" s="446"/>
      <c r="AH73" s="446"/>
      <c r="AI73" s="446"/>
      <c r="AJ73" s="446"/>
      <c r="AK73" s="446"/>
      <c r="AL73" s="446"/>
      <c r="AM73" s="446"/>
      <c r="AN73" s="446"/>
      <c r="AO73" s="446"/>
      <c r="AP73" s="446"/>
      <c r="AQ73" s="446"/>
      <c r="AR73" s="446"/>
      <c r="AS73" s="446"/>
      <c r="AT73" s="446"/>
      <c r="AU73" s="446"/>
      <c r="AV73" s="446"/>
      <c r="AW73" s="446"/>
      <c r="AX73" s="446"/>
      <c r="AY73" s="446"/>
      <c r="AZ73" s="446"/>
      <c r="BA73" s="446"/>
      <c r="BB73" s="446"/>
      <c r="BC73" s="446"/>
      <c r="BD73" s="446"/>
      <c r="BE73" s="446"/>
      <c r="BF73" s="446"/>
      <c r="BG73" s="446"/>
      <c r="BH73" s="446"/>
      <c r="BI73" s="446"/>
      <c r="BJ73" s="446"/>
      <c r="BK73" s="446"/>
      <c r="BL73" s="446"/>
    </row>
    <row r="74" spans="4:64" x14ac:dyDescent="0.2">
      <c r="D74" s="446"/>
      <c r="E74" s="446"/>
      <c r="F74" s="446"/>
      <c r="G74" s="446"/>
      <c r="H74" s="446"/>
      <c r="I74" s="446"/>
      <c r="J74" s="446"/>
      <c r="K74" s="446"/>
      <c r="L74" s="446"/>
      <c r="M74" s="446"/>
      <c r="N74" s="446"/>
      <c r="O74" s="446"/>
      <c r="P74" s="446"/>
      <c r="Q74" s="446"/>
      <c r="R74" s="446"/>
      <c r="S74" s="446"/>
      <c r="T74" s="446"/>
      <c r="U74" s="446"/>
      <c r="V74" s="446"/>
      <c r="W74" s="446"/>
      <c r="X74" s="446"/>
      <c r="Y74" s="446"/>
      <c r="Z74" s="446"/>
      <c r="AA74" s="446"/>
      <c r="AB74" s="446"/>
      <c r="AC74" s="446"/>
      <c r="AD74" s="446"/>
      <c r="AE74" s="446"/>
      <c r="AF74" s="446"/>
      <c r="AG74" s="446"/>
      <c r="AH74" s="446"/>
      <c r="AI74" s="446"/>
      <c r="AJ74" s="446"/>
      <c r="AK74" s="446"/>
      <c r="AL74" s="446"/>
      <c r="AM74" s="446"/>
      <c r="AN74" s="446"/>
      <c r="AO74" s="446"/>
      <c r="AP74" s="446"/>
      <c r="AQ74" s="446"/>
      <c r="AR74" s="446"/>
      <c r="AS74" s="446"/>
      <c r="AT74" s="446"/>
      <c r="AU74" s="446"/>
      <c r="AV74" s="446"/>
      <c r="AW74" s="446"/>
      <c r="AX74" s="446"/>
      <c r="AY74" s="446"/>
      <c r="AZ74" s="446"/>
      <c r="BA74" s="446"/>
      <c r="BB74" s="446"/>
      <c r="BC74" s="446"/>
      <c r="BD74" s="446"/>
      <c r="BE74" s="446"/>
      <c r="BF74" s="446"/>
      <c r="BG74" s="446"/>
      <c r="BH74" s="446"/>
      <c r="BI74" s="446"/>
      <c r="BJ74" s="446"/>
      <c r="BK74" s="446"/>
      <c r="BL74" s="446"/>
    </row>
    <row r="75" spans="4:64" x14ac:dyDescent="0.2">
      <c r="D75" s="446"/>
      <c r="E75" s="446"/>
      <c r="F75" s="446"/>
      <c r="G75" s="446"/>
      <c r="H75" s="446"/>
      <c r="I75" s="446"/>
      <c r="J75" s="446"/>
      <c r="K75" s="446"/>
      <c r="L75" s="446"/>
      <c r="M75" s="446"/>
      <c r="N75" s="446"/>
      <c r="O75" s="446"/>
      <c r="P75" s="446"/>
      <c r="Q75" s="446"/>
      <c r="R75" s="446"/>
      <c r="S75" s="446"/>
      <c r="T75" s="446"/>
      <c r="U75" s="446"/>
      <c r="V75" s="446"/>
      <c r="W75" s="446"/>
      <c r="X75" s="446"/>
      <c r="Y75" s="446"/>
      <c r="Z75" s="446"/>
      <c r="AA75" s="446"/>
      <c r="AB75" s="446"/>
      <c r="AC75" s="446"/>
      <c r="AD75" s="446"/>
      <c r="AE75" s="446"/>
      <c r="AF75" s="446"/>
      <c r="AG75" s="446"/>
      <c r="AH75" s="446"/>
      <c r="AI75" s="446"/>
      <c r="AJ75" s="446"/>
      <c r="AK75" s="446"/>
      <c r="AL75" s="446"/>
      <c r="AM75" s="446"/>
      <c r="AN75" s="446"/>
      <c r="AO75" s="446"/>
      <c r="AP75" s="446"/>
      <c r="AQ75" s="446"/>
      <c r="AR75" s="446"/>
      <c r="AS75" s="446"/>
      <c r="AT75" s="446"/>
      <c r="AU75" s="446"/>
      <c r="AV75" s="446"/>
      <c r="AW75" s="446"/>
      <c r="AX75" s="446"/>
      <c r="AY75" s="446"/>
      <c r="AZ75" s="446"/>
      <c r="BA75" s="446"/>
      <c r="BB75" s="446"/>
      <c r="BC75" s="446"/>
      <c r="BD75" s="446"/>
      <c r="BE75" s="446"/>
      <c r="BF75" s="446"/>
      <c r="BG75" s="446"/>
      <c r="BH75" s="446"/>
      <c r="BI75" s="446"/>
      <c r="BJ75" s="446"/>
      <c r="BK75" s="446"/>
      <c r="BL75" s="446"/>
    </row>
    <row r="76" spans="4:64" x14ac:dyDescent="0.2">
      <c r="D76" s="446"/>
      <c r="E76" s="446"/>
      <c r="F76" s="446"/>
      <c r="G76" s="446"/>
      <c r="H76" s="446"/>
      <c r="I76" s="446"/>
      <c r="J76" s="446"/>
      <c r="K76" s="446"/>
      <c r="L76" s="446"/>
      <c r="M76" s="446"/>
      <c r="N76" s="446"/>
      <c r="O76" s="446"/>
      <c r="P76" s="446"/>
      <c r="Q76" s="446"/>
      <c r="R76" s="446"/>
      <c r="S76" s="446"/>
      <c r="T76" s="446"/>
      <c r="U76" s="446"/>
      <c r="V76" s="446"/>
      <c r="W76" s="446"/>
      <c r="X76" s="446"/>
      <c r="Y76" s="446"/>
      <c r="Z76" s="446"/>
      <c r="AA76" s="446"/>
      <c r="AB76" s="446"/>
      <c r="AC76" s="446"/>
      <c r="AD76" s="446"/>
      <c r="AE76" s="446"/>
      <c r="AF76" s="446"/>
      <c r="AG76" s="446"/>
      <c r="AH76" s="446"/>
      <c r="AI76" s="446"/>
      <c r="AJ76" s="446"/>
      <c r="AK76" s="446"/>
      <c r="AL76" s="446"/>
      <c r="AM76" s="446"/>
      <c r="AN76" s="446"/>
      <c r="AO76" s="446"/>
      <c r="AP76" s="446"/>
      <c r="AQ76" s="446"/>
      <c r="AR76" s="446"/>
      <c r="AS76" s="446"/>
      <c r="AT76" s="446"/>
      <c r="AU76" s="446"/>
      <c r="AV76" s="446"/>
      <c r="AW76" s="446"/>
      <c r="AX76" s="446"/>
      <c r="AY76" s="446"/>
      <c r="AZ76" s="446"/>
      <c r="BA76" s="446"/>
      <c r="BB76" s="446"/>
      <c r="BC76" s="446"/>
      <c r="BD76" s="446"/>
      <c r="BE76" s="446"/>
      <c r="BF76" s="446"/>
      <c r="BG76" s="446"/>
      <c r="BH76" s="446"/>
      <c r="BI76" s="446"/>
      <c r="BJ76" s="446"/>
      <c r="BK76" s="446"/>
      <c r="BL76" s="446"/>
    </row>
    <row r="77" spans="4:64" x14ac:dyDescent="0.2">
      <c r="D77" s="446"/>
      <c r="E77" s="446"/>
      <c r="F77" s="446"/>
      <c r="G77" s="446"/>
      <c r="H77" s="446"/>
      <c r="I77" s="446"/>
      <c r="J77" s="446"/>
      <c r="K77" s="446"/>
      <c r="L77" s="446"/>
      <c r="M77" s="446"/>
      <c r="N77" s="446"/>
      <c r="O77" s="446"/>
      <c r="P77" s="446"/>
      <c r="Q77" s="446"/>
      <c r="R77" s="446"/>
      <c r="S77" s="446"/>
      <c r="T77" s="446"/>
      <c r="U77" s="446"/>
      <c r="V77" s="446"/>
      <c r="W77" s="446"/>
      <c r="X77" s="446"/>
      <c r="Y77" s="446"/>
      <c r="Z77" s="446"/>
      <c r="AA77" s="446"/>
      <c r="AB77" s="446"/>
      <c r="AC77" s="446"/>
      <c r="AD77" s="446"/>
      <c r="AE77" s="446"/>
      <c r="AF77" s="446"/>
      <c r="AG77" s="446"/>
      <c r="AH77" s="446"/>
      <c r="AI77" s="446"/>
      <c r="AJ77" s="446"/>
      <c r="AK77" s="446"/>
      <c r="AL77" s="446"/>
      <c r="AM77" s="446"/>
      <c r="AN77" s="446"/>
      <c r="AO77" s="446"/>
      <c r="AP77" s="446"/>
      <c r="AQ77" s="446"/>
      <c r="AR77" s="446"/>
      <c r="AS77" s="446"/>
      <c r="AT77" s="446"/>
      <c r="AU77" s="446"/>
      <c r="AV77" s="446"/>
      <c r="AW77" s="446"/>
      <c r="AX77" s="446"/>
      <c r="AY77" s="446"/>
      <c r="AZ77" s="446"/>
      <c r="BA77" s="446"/>
      <c r="BB77" s="446"/>
      <c r="BC77" s="446"/>
      <c r="BD77" s="446"/>
      <c r="BE77" s="446"/>
      <c r="BF77" s="446"/>
      <c r="BG77" s="446"/>
      <c r="BH77" s="446"/>
      <c r="BI77" s="446"/>
      <c r="BJ77" s="446"/>
      <c r="BK77" s="446"/>
      <c r="BL77" s="446"/>
    </row>
    <row r="78" spans="4:64" x14ac:dyDescent="0.2">
      <c r="D78" s="446"/>
      <c r="E78" s="446"/>
      <c r="F78" s="446"/>
      <c r="G78" s="446"/>
      <c r="H78" s="446"/>
      <c r="I78" s="446"/>
      <c r="J78" s="446"/>
      <c r="K78" s="446"/>
      <c r="L78" s="446"/>
      <c r="M78" s="446"/>
      <c r="N78" s="446"/>
      <c r="O78" s="446"/>
      <c r="P78" s="446"/>
      <c r="Q78" s="446"/>
      <c r="R78" s="446"/>
      <c r="S78" s="446"/>
      <c r="T78" s="446"/>
      <c r="U78" s="446"/>
      <c r="V78" s="446"/>
      <c r="W78" s="446"/>
      <c r="X78" s="446"/>
      <c r="Y78" s="446"/>
      <c r="Z78" s="446"/>
      <c r="AA78" s="446"/>
      <c r="AB78" s="446"/>
      <c r="AC78" s="446"/>
      <c r="AD78" s="446"/>
      <c r="AE78" s="446"/>
      <c r="AF78" s="446"/>
      <c r="AG78" s="446"/>
      <c r="AH78" s="446"/>
      <c r="AI78" s="446"/>
      <c r="AJ78" s="446"/>
      <c r="AK78" s="446"/>
      <c r="AL78" s="446"/>
      <c r="AM78" s="446"/>
      <c r="AN78" s="446"/>
      <c r="AO78" s="446"/>
      <c r="AP78" s="446"/>
      <c r="AQ78" s="446"/>
      <c r="AR78" s="446"/>
      <c r="AS78" s="446"/>
      <c r="AT78" s="446"/>
      <c r="AU78" s="446"/>
      <c r="AV78" s="446"/>
      <c r="AW78" s="446"/>
      <c r="AX78" s="446"/>
      <c r="AY78" s="446"/>
      <c r="AZ78" s="446"/>
      <c r="BA78" s="446"/>
      <c r="BB78" s="446"/>
      <c r="BC78" s="446"/>
      <c r="BD78" s="446"/>
      <c r="BE78" s="446"/>
      <c r="BF78" s="446"/>
      <c r="BG78" s="446"/>
      <c r="BH78" s="446"/>
      <c r="BI78" s="446"/>
      <c r="BJ78" s="446"/>
      <c r="BK78" s="446"/>
      <c r="BL78" s="446"/>
    </row>
    <row r="79" spans="4:64" x14ac:dyDescent="0.2">
      <c r="D79" s="446"/>
      <c r="E79" s="446"/>
      <c r="F79" s="446"/>
      <c r="G79" s="446"/>
      <c r="H79" s="446"/>
      <c r="I79" s="446"/>
      <c r="J79" s="446"/>
      <c r="K79" s="446"/>
      <c r="L79" s="446"/>
      <c r="M79" s="446"/>
      <c r="N79" s="446"/>
      <c r="O79" s="446"/>
      <c r="P79" s="446"/>
      <c r="Q79" s="446"/>
      <c r="R79" s="446"/>
      <c r="S79" s="446"/>
      <c r="T79" s="446"/>
      <c r="U79" s="446"/>
      <c r="V79" s="446"/>
      <c r="W79" s="446"/>
      <c r="X79" s="446"/>
      <c r="Y79" s="446"/>
      <c r="Z79" s="446"/>
      <c r="AA79" s="446"/>
      <c r="AB79" s="446"/>
      <c r="AC79" s="446"/>
      <c r="AD79" s="446"/>
      <c r="AE79" s="446"/>
      <c r="AF79" s="446"/>
      <c r="AG79" s="446"/>
      <c r="AH79" s="446"/>
      <c r="AI79" s="446"/>
      <c r="AJ79" s="446"/>
      <c r="AK79" s="446"/>
      <c r="AL79" s="446"/>
      <c r="AM79" s="446"/>
      <c r="AN79" s="446"/>
      <c r="AO79" s="446"/>
      <c r="AP79" s="446"/>
      <c r="AQ79" s="446"/>
      <c r="AR79" s="446"/>
      <c r="AS79" s="446"/>
      <c r="AT79" s="446"/>
      <c r="AU79" s="446"/>
      <c r="AV79" s="446"/>
      <c r="AW79" s="446"/>
      <c r="AX79" s="446"/>
      <c r="AY79" s="446"/>
      <c r="AZ79" s="446"/>
      <c r="BA79" s="446"/>
      <c r="BB79" s="446"/>
      <c r="BC79" s="446"/>
      <c r="BD79" s="446"/>
      <c r="BE79" s="446"/>
      <c r="BF79" s="446"/>
      <c r="BG79" s="446"/>
      <c r="BH79" s="446"/>
      <c r="BI79" s="446"/>
      <c r="BJ79" s="446"/>
      <c r="BK79" s="446"/>
      <c r="BL79" s="446"/>
    </row>
    <row r="80" spans="4:64" x14ac:dyDescent="0.2">
      <c r="D80" s="446"/>
      <c r="E80" s="446"/>
      <c r="F80" s="446"/>
      <c r="G80" s="446"/>
      <c r="H80" s="446"/>
      <c r="I80" s="446"/>
      <c r="J80" s="446"/>
      <c r="K80" s="446"/>
      <c r="L80" s="446"/>
      <c r="M80" s="446"/>
      <c r="N80" s="446"/>
      <c r="O80" s="446"/>
      <c r="P80" s="446"/>
      <c r="Q80" s="446"/>
      <c r="R80" s="446"/>
      <c r="S80" s="446"/>
      <c r="T80" s="446"/>
      <c r="U80" s="446"/>
      <c r="V80" s="446"/>
      <c r="W80" s="446"/>
      <c r="X80" s="446"/>
      <c r="Y80" s="446"/>
      <c r="Z80" s="446"/>
      <c r="AA80" s="446"/>
      <c r="AB80" s="446"/>
      <c r="AC80" s="446"/>
      <c r="AD80" s="446"/>
      <c r="AE80" s="446"/>
      <c r="AF80" s="446"/>
      <c r="AG80" s="446"/>
      <c r="AH80" s="446"/>
      <c r="AI80" s="446"/>
      <c r="AJ80" s="446"/>
      <c r="AK80" s="446"/>
      <c r="AL80" s="446"/>
      <c r="AM80" s="446"/>
      <c r="AN80" s="446"/>
      <c r="AO80" s="446"/>
      <c r="AP80" s="446"/>
      <c r="AQ80" s="446"/>
      <c r="AR80" s="446"/>
      <c r="AS80" s="446"/>
      <c r="AT80" s="446"/>
      <c r="AU80" s="446"/>
      <c r="AV80" s="446"/>
      <c r="AW80" s="446"/>
      <c r="AX80" s="446"/>
      <c r="AY80" s="446"/>
      <c r="AZ80" s="446"/>
      <c r="BA80" s="446"/>
      <c r="BB80" s="446"/>
      <c r="BC80" s="446"/>
      <c r="BD80" s="446"/>
      <c r="BE80" s="446"/>
      <c r="BF80" s="446"/>
      <c r="BG80" s="446"/>
      <c r="BH80" s="446"/>
      <c r="BI80" s="446"/>
      <c r="BJ80" s="446"/>
      <c r="BK80" s="446"/>
      <c r="BL80" s="446"/>
    </row>
    <row r="81" spans="4:64" x14ac:dyDescent="0.2">
      <c r="D81" s="446"/>
      <c r="E81" s="446"/>
      <c r="F81" s="446"/>
      <c r="G81" s="446"/>
      <c r="H81" s="446"/>
      <c r="I81" s="446"/>
      <c r="J81" s="446"/>
      <c r="K81" s="446"/>
      <c r="L81" s="446"/>
      <c r="M81" s="446"/>
      <c r="N81" s="446"/>
      <c r="O81" s="446"/>
      <c r="P81" s="446"/>
      <c r="Q81" s="446"/>
      <c r="R81" s="446"/>
      <c r="S81" s="446"/>
      <c r="T81" s="446"/>
      <c r="U81" s="446"/>
      <c r="V81" s="446"/>
      <c r="W81" s="446"/>
      <c r="X81" s="446"/>
      <c r="Y81" s="446"/>
      <c r="Z81" s="446"/>
      <c r="AA81" s="446"/>
      <c r="AB81" s="446"/>
      <c r="AC81" s="446"/>
      <c r="AD81" s="446"/>
      <c r="AE81" s="446"/>
      <c r="AF81" s="446"/>
      <c r="AG81" s="446"/>
      <c r="AH81" s="446"/>
      <c r="AI81" s="446"/>
      <c r="AJ81" s="446"/>
      <c r="AK81" s="446"/>
      <c r="AL81" s="446"/>
      <c r="AM81" s="446"/>
      <c r="AN81" s="446"/>
      <c r="AO81" s="446"/>
      <c r="AP81" s="446"/>
      <c r="AQ81" s="446"/>
      <c r="AR81" s="446"/>
      <c r="AS81" s="446"/>
      <c r="AT81" s="446"/>
      <c r="AU81" s="446"/>
      <c r="AV81" s="446"/>
      <c r="AW81" s="446"/>
      <c r="AX81" s="446"/>
      <c r="AY81" s="446"/>
      <c r="AZ81" s="446"/>
      <c r="BA81" s="446"/>
      <c r="BB81" s="446"/>
      <c r="BC81" s="446"/>
      <c r="BD81" s="446"/>
      <c r="BE81" s="446"/>
      <c r="BF81" s="446"/>
      <c r="BG81" s="446"/>
      <c r="BH81" s="446"/>
      <c r="BI81" s="446"/>
      <c r="BJ81" s="446"/>
      <c r="BK81" s="446"/>
      <c r="BL81" s="446"/>
    </row>
    <row r="82" spans="4:64" x14ac:dyDescent="0.2">
      <c r="D82" s="446"/>
      <c r="E82" s="446"/>
      <c r="F82" s="446"/>
      <c r="G82" s="446"/>
      <c r="H82" s="446"/>
      <c r="I82" s="446"/>
      <c r="J82" s="446"/>
      <c r="K82" s="446"/>
      <c r="L82" s="446"/>
      <c r="M82" s="446"/>
      <c r="N82" s="446"/>
      <c r="O82" s="446"/>
      <c r="P82" s="446"/>
      <c r="Q82" s="446"/>
      <c r="R82" s="446"/>
      <c r="S82" s="446"/>
      <c r="T82" s="446"/>
      <c r="U82" s="446"/>
      <c r="V82" s="446"/>
      <c r="W82" s="446"/>
      <c r="X82" s="446"/>
      <c r="Y82" s="446"/>
      <c r="Z82" s="446"/>
      <c r="AA82" s="446"/>
      <c r="AB82" s="446"/>
      <c r="AC82" s="446"/>
      <c r="AD82" s="446"/>
      <c r="AE82" s="446"/>
      <c r="AF82" s="446"/>
      <c r="AG82" s="446"/>
      <c r="AH82" s="446"/>
      <c r="AI82" s="446"/>
      <c r="AJ82" s="446"/>
      <c r="AK82" s="446"/>
      <c r="AL82" s="446"/>
      <c r="AM82" s="446"/>
      <c r="AN82" s="446"/>
      <c r="AO82" s="446"/>
      <c r="AP82" s="446"/>
      <c r="AQ82" s="446"/>
      <c r="AR82" s="446"/>
      <c r="AS82" s="446"/>
      <c r="AT82" s="446"/>
      <c r="AU82" s="446"/>
      <c r="AV82" s="446"/>
      <c r="AW82" s="446"/>
      <c r="AX82" s="446"/>
      <c r="AY82" s="446"/>
      <c r="AZ82" s="446"/>
      <c r="BA82" s="446"/>
      <c r="BB82" s="446"/>
      <c r="BC82" s="446"/>
      <c r="BD82" s="446"/>
      <c r="BE82" s="446"/>
      <c r="BF82" s="446"/>
      <c r="BG82" s="446"/>
      <c r="BH82" s="446"/>
      <c r="BI82" s="446"/>
      <c r="BJ82" s="446"/>
      <c r="BK82" s="446"/>
      <c r="BL82" s="446"/>
    </row>
    <row r="83" spans="4:64" x14ac:dyDescent="0.2">
      <c r="D83" s="446"/>
      <c r="E83" s="446"/>
      <c r="F83" s="446"/>
      <c r="G83" s="446"/>
      <c r="H83" s="446"/>
      <c r="I83" s="446"/>
      <c r="J83" s="446"/>
      <c r="K83" s="446"/>
      <c r="L83" s="446"/>
      <c r="M83" s="446"/>
      <c r="N83" s="446"/>
      <c r="O83" s="446"/>
      <c r="P83" s="446"/>
      <c r="Q83" s="446"/>
      <c r="R83" s="446"/>
      <c r="S83" s="446"/>
      <c r="T83" s="446"/>
      <c r="U83" s="446"/>
      <c r="V83" s="446"/>
      <c r="W83" s="446"/>
      <c r="X83" s="446"/>
      <c r="Y83" s="446"/>
      <c r="Z83" s="446"/>
      <c r="AA83" s="446"/>
      <c r="AB83" s="446"/>
      <c r="AC83" s="446"/>
      <c r="AD83" s="446"/>
      <c r="AE83" s="446"/>
      <c r="AF83" s="446"/>
      <c r="AG83" s="446"/>
      <c r="AH83" s="446"/>
      <c r="AI83" s="446"/>
      <c r="AJ83" s="446"/>
      <c r="AK83" s="446"/>
      <c r="AL83" s="446"/>
      <c r="AM83" s="446"/>
      <c r="AN83" s="446"/>
      <c r="AO83" s="446"/>
      <c r="AP83" s="446"/>
      <c r="AQ83" s="446"/>
      <c r="AR83" s="446"/>
      <c r="AS83" s="446"/>
      <c r="AT83" s="446"/>
      <c r="AU83" s="446"/>
      <c r="AV83" s="446"/>
      <c r="AW83" s="446"/>
      <c r="AX83" s="446"/>
      <c r="AY83" s="446"/>
      <c r="AZ83" s="446"/>
      <c r="BA83" s="446"/>
      <c r="BB83" s="446"/>
      <c r="BC83" s="446"/>
      <c r="BD83" s="446"/>
      <c r="BE83" s="446"/>
      <c r="BF83" s="446"/>
      <c r="BG83" s="446"/>
      <c r="BH83" s="446"/>
      <c r="BI83" s="446"/>
      <c r="BJ83" s="446"/>
      <c r="BK83" s="446"/>
      <c r="BL83" s="446"/>
    </row>
    <row r="84" spans="4:64" x14ac:dyDescent="0.2">
      <c r="D84" s="446"/>
      <c r="E84" s="446"/>
      <c r="F84" s="446"/>
      <c r="G84" s="446"/>
      <c r="H84" s="446"/>
      <c r="I84" s="446"/>
      <c r="J84" s="446"/>
      <c r="K84" s="446"/>
      <c r="L84" s="446"/>
      <c r="M84" s="446"/>
      <c r="N84" s="446"/>
      <c r="O84" s="446"/>
      <c r="P84" s="446"/>
      <c r="Q84" s="446"/>
      <c r="R84" s="446"/>
      <c r="S84" s="446"/>
      <c r="T84" s="446"/>
      <c r="U84" s="446"/>
      <c r="V84" s="446"/>
      <c r="W84" s="446"/>
      <c r="X84" s="446"/>
      <c r="Y84" s="446"/>
      <c r="Z84" s="446"/>
      <c r="AA84" s="446"/>
      <c r="AB84" s="446"/>
      <c r="AC84" s="446"/>
      <c r="AD84" s="446"/>
      <c r="AE84" s="446"/>
      <c r="AF84" s="446"/>
      <c r="AG84" s="446"/>
      <c r="AH84" s="446"/>
      <c r="AI84" s="446"/>
      <c r="AJ84" s="446"/>
      <c r="AK84" s="446"/>
      <c r="AL84" s="446"/>
      <c r="AM84" s="446"/>
      <c r="AN84" s="446"/>
      <c r="AO84" s="446"/>
      <c r="AP84" s="446"/>
      <c r="AQ84" s="446"/>
      <c r="AR84" s="446"/>
      <c r="AS84" s="446"/>
      <c r="AT84" s="446"/>
      <c r="AU84" s="446"/>
      <c r="AV84" s="446"/>
      <c r="AW84" s="446"/>
      <c r="AX84" s="446"/>
      <c r="AY84" s="446"/>
      <c r="AZ84" s="446"/>
      <c r="BA84" s="446"/>
      <c r="BB84" s="446"/>
      <c r="BC84" s="446"/>
      <c r="BD84" s="446"/>
      <c r="BE84" s="446"/>
      <c r="BF84" s="446"/>
      <c r="BG84" s="446"/>
      <c r="BH84" s="446"/>
      <c r="BI84" s="446"/>
      <c r="BJ84" s="446"/>
      <c r="BK84" s="446"/>
      <c r="BL84" s="446"/>
    </row>
    <row r="85" spans="4:64" x14ac:dyDescent="0.2">
      <c r="D85" s="446"/>
      <c r="E85" s="446"/>
      <c r="F85" s="446"/>
      <c r="G85" s="446"/>
      <c r="H85" s="446"/>
      <c r="I85" s="446"/>
      <c r="J85" s="446"/>
      <c r="K85" s="446"/>
      <c r="L85" s="446"/>
      <c r="M85" s="446"/>
      <c r="N85" s="446"/>
      <c r="O85" s="446"/>
      <c r="P85" s="446"/>
      <c r="Q85" s="446"/>
      <c r="R85" s="446"/>
      <c r="S85" s="446"/>
      <c r="T85" s="446"/>
      <c r="U85" s="446"/>
      <c r="V85" s="446"/>
      <c r="W85" s="446"/>
      <c r="X85" s="446"/>
      <c r="Y85" s="446"/>
      <c r="Z85" s="446"/>
      <c r="AA85" s="446"/>
      <c r="AB85" s="446"/>
      <c r="AC85" s="446"/>
      <c r="AD85" s="446"/>
      <c r="AE85" s="446"/>
      <c r="AF85" s="446"/>
      <c r="AG85" s="446"/>
      <c r="AH85" s="446"/>
      <c r="AI85" s="446"/>
      <c r="AJ85" s="446"/>
      <c r="AK85" s="446"/>
      <c r="AL85" s="446"/>
      <c r="AM85" s="446"/>
      <c r="AN85" s="446"/>
      <c r="AO85" s="446"/>
      <c r="AP85" s="446"/>
      <c r="AQ85" s="446"/>
      <c r="AR85" s="446"/>
      <c r="AS85" s="446"/>
      <c r="AT85" s="446"/>
      <c r="AU85" s="446"/>
      <c r="AV85" s="446"/>
      <c r="AW85" s="446"/>
      <c r="AX85" s="446"/>
      <c r="AY85" s="446"/>
      <c r="AZ85" s="446"/>
      <c r="BA85" s="446"/>
      <c r="BB85" s="446"/>
      <c r="BC85" s="446"/>
      <c r="BD85" s="446"/>
      <c r="BE85" s="446"/>
      <c r="BF85" s="446"/>
      <c r="BG85" s="446"/>
      <c r="BH85" s="446"/>
      <c r="BI85" s="446"/>
      <c r="BJ85" s="446"/>
      <c r="BK85" s="446"/>
      <c r="BL85" s="446"/>
    </row>
    <row r="86" spans="4:64" x14ac:dyDescent="0.2">
      <c r="D86" s="446"/>
      <c r="E86" s="446"/>
      <c r="F86" s="446"/>
      <c r="G86" s="446"/>
      <c r="H86" s="446"/>
      <c r="I86" s="446"/>
      <c r="J86" s="446"/>
      <c r="K86" s="446"/>
      <c r="L86" s="446"/>
      <c r="M86" s="446"/>
      <c r="N86" s="446"/>
      <c r="O86" s="446"/>
      <c r="P86" s="446"/>
      <c r="Q86" s="446"/>
      <c r="R86" s="446"/>
      <c r="S86" s="446"/>
      <c r="T86" s="446"/>
      <c r="U86" s="446"/>
      <c r="V86" s="446"/>
      <c r="W86" s="446"/>
      <c r="X86" s="446"/>
      <c r="Y86" s="446"/>
      <c r="Z86" s="446"/>
      <c r="AA86" s="446"/>
      <c r="AB86" s="446"/>
      <c r="AC86" s="446"/>
      <c r="AD86" s="446"/>
      <c r="AE86" s="446"/>
      <c r="AF86" s="446"/>
      <c r="AG86" s="446"/>
      <c r="AH86" s="446"/>
      <c r="AI86" s="446"/>
      <c r="AJ86" s="446"/>
      <c r="AK86" s="446"/>
      <c r="AL86" s="446"/>
      <c r="AM86" s="446"/>
      <c r="AN86" s="446"/>
      <c r="AO86" s="446"/>
      <c r="AP86" s="446"/>
      <c r="AQ86" s="446"/>
      <c r="AR86" s="446"/>
      <c r="AS86" s="446"/>
      <c r="AT86" s="446"/>
      <c r="AU86" s="446"/>
      <c r="AV86" s="446"/>
      <c r="AW86" s="446"/>
      <c r="AX86" s="446"/>
      <c r="AY86" s="446"/>
      <c r="AZ86" s="446"/>
      <c r="BA86" s="446"/>
      <c r="BB86" s="446"/>
      <c r="BC86" s="446"/>
      <c r="BD86" s="446"/>
      <c r="BE86" s="446"/>
      <c r="BF86" s="446"/>
      <c r="BG86" s="446"/>
      <c r="BH86" s="446"/>
      <c r="BI86" s="446"/>
      <c r="BJ86" s="446"/>
      <c r="BK86" s="446"/>
      <c r="BL86" s="446"/>
    </row>
    <row r="87" spans="4:64" x14ac:dyDescent="0.2">
      <c r="D87" s="446"/>
      <c r="E87" s="446"/>
      <c r="F87" s="446"/>
      <c r="G87" s="446"/>
      <c r="H87" s="446"/>
      <c r="I87" s="446"/>
      <c r="J87" s="446"/>
      <c r="K87" s="446"/>
      <c r="L87" s="446"/>
      <c r="M87" s="446"/>
      <c r="N87" s="446"/>
      <c r="O87" s="446"/>
      <c r="P87" s="446"/>
      <c r="Q87" s="446"/>
      <c r="R87" s="446"/>
      <c r="S87" s="446"/>
      <c r="T87" s="446"/>
      <c r="U87" s="446"/>
      <c r="V87" s="446"/>
      <c r="W87" s="446"/>
      <c r="X87" s="446"/>
      <c r="Y87" s="446"/>
      <c r="Z87" s="446"/>
      <c r="AA87" s="446"/>
      <c r="AB87" s="446"/>
      <c r="AC87" s="446"/>
      <c r="AD87" s="446"/>
      <c r="AE87" s="446"/>
      <c r="AF87" s="446"/>
      <c r="AG87" s="446"/>
      <c r="AH87" s="446"/>
      <c r="AI87" s="446"/>
      <c r="AJ87" s="446"/>
      <c r="AK87" s="446"/>
      <c r="AL87" s="446"/>
      <c r="AM87" s="446"/>
      <c r="AN87" s="446"/>
      <c r="AO87" s="446"/>
      <c r="AP87" s="446"/>
      <c r="AQ87" s="446"/>
      <c r="AR87" s="446"/>
      <c r="AS87" s="446"/>
      <c r="AT87" s="446"/>
      <c r="AU87" s="446"/>
      <c r="AV87" s="446"/>
      <c r="AW87" s="446"/>
      <c r="AX87" s="446"/>
      <c r="AY87" s="446"/>
      <c r="AZ87" s="446"/>
      <c r="BA87" s="446"/>
      <c r="BB87" s="446"/>
      <c r="BC87" s="446"/>
      <c r="BD87" s="446"/>
      <c r="BE87" s="446"/>
      <c r="BF87" s="446"/>
      <c r="BG87" s="446"/>
      <c r="BH87" s="446"/>
      <c r="BI87" s="446"/>
      <c r="BJ87" s="446"/>
      <c r="BK87" s="446"/>
      <c r="BL87" s="446"/>
    </row>
    <row r="88" spans="4:64" x14ac:dyDescent="0.2">
      <c r="D88" s="446"/>
      <c r="E88" s="446"/>
      <c r="F88" s="446"/>
      <c r="G88" s="446"/>
      <c r="H88" s="446"/>
      <c r="I88" s="446"/>
      <c r="J88" s="446"/>
      <c r="K88" s="446"/>
      <c r="L88" s="446"/>
      <c r="M88" s="446"/>
      <c r="N88" s="446"/>
      <c r="O88" s="446"/>
      <c r="P88" s="446"/>
      <c r="Q88" s="446"/>
      <c r="R88" s="446"/>
      <c r="S88" s="446"/>
      <c r="T88" s="446"/>
      <c r="U88" s="446"/>
      <c r="V88" s="446"/>
      <c r="W88" s="446"/>
      <c r="X88" s="446"/>
      <c r="Y88" s="446"/>
      <c r="Z88" s="446"/>
      <c r="AA88" s="446"/>
      <c r="AB88" s="446"/>
      <c r="AC88" s="446"/>
      <c r="AD88" s="446"/>
      <c r="AE88" s="446"/>
      <c r="AF88" s="446"/>
      <c r="AG88" s="446"/>
      <c r="AH88" s="446"/>
      <c r="AI88" s="446"/>
      <c r="AJ88" s="446"/>
      <c r="AK88" s="446"/>
      <c r="AL88" s="446"/>
      <c r="AM88" s="446"/>
      <c r="AN88" s="446"/>
      <c r="AO88" s="446"/>
      <c r="AP88" s="446"/>
      <c r="AQ88" s="446"/>
      <c r="AR88" s="446"/>
      <c r="AS88" s="446"/>
      <c r="AT88" s="446"/>
      <c r="AU88" s="446"/>
      <c r="AV88" s="446"/>
      <c r="AW88" s="446"/>
      <c r="AX88" s="446"/>
      <c r="AY88" s="446"/>
      <c r="AZ88" s="446"/>
      <c r="BA88" s="446"/>
      <c r="BB88" s="446"/>
      <c r="BC88" s="446"/>
      <c r="BD88" s="446"/>
      <c r="BE88" s="446"/>
      <c r="BF88" s="446"/>
      <c r="BG88" s="446"/>
      <c r="BH88" s="446"/>
      <c r="BI88" s="446"/>
      <c r="BJ88" s="446"/>
      <c r="BK88" s="446"/>
      <c r="BL88" s="446"/>
    </row>
    <row r="89" spans="4:64" x14ac:dyDescent="0.2">
      <c r="D89" s="446"/>
      <c r="E89" s="446"/>
      <c r="F89" s="446"/>
      <c r="G89" s="446"/>
      <c r="H89" s="446"/>
      <c r="I89" s="446"/>
      <c r="J89" s="446"/>
      <c r="K89" s="446"/>
      <c r="L89" s="446"/>
      <c r="M89" s="446"/>
      <c r="N89" s="446"/>
      <c r="O89" s="446"/>
      <c r="P89" s="446"/>
      <c r="Q89" s="446"/>
      <c r="R89" s="446"/>
      <c r="S89" s="446"/>
      <c r="T89" s="446"/>
      <c r="U89" s="446"/>
      <c r="V89" s="446"/>
      <c r="W89" s="446"/>
      <c r="X89" s="446"/>
      <c r="Y89" s="446"/>
      <c r="Z89" s="446"/>
      <c r="AA89" s="446"/>
      <c r="AB89" s="446"/>
      <c r="AC89" s="446"/>
      <c r="AD89" s="446"/>
      <c r="AE89" s="446"/>
      <c r="AF89" s="446"/>
      <c r="AG89" s="446"/>
      <c r="AH89" s="446"/>
      <c r="AI89" s="446"/>
      <c r="AJ89" s="446"/>
      <c r="AK89" s="446"/>
      <c r="AL89" s="446"/>
      <c r="AM89" s="446"/>
      <c r="AN89" s="446"/>
      <c r="AO89" s="446"/>
      <c r="AP89" s="446"/>
      <c r="AQ89" s="446"/>
      <c r="AR89" s="446"/>
      <c r="AS89" s="446"/>
      <c r="AT89" s="446"/>
      <c r="AU89" s="446"/>
      <c r="AV89" s="446"/>
      <c r="AW89" s="446"/>
      <c r="AX89" s="446"/>
      <c r="AY89" s="446"/>
      <c r="AZ89" s="446"/>
      <c r="BA89" s="446"/>
      <c r="BB89" s="446"/>
      <c r="BC89" s="446"/>
      <c r="BD89" s="446"/>
      <c r="BE89" s="446"/>
      <c r="BF89" s="446"/>
      <c r="BG89" s="446"/>
      <c r="BH89" s="446"/>
      <c r="BI89" s="446"/>
      <c r="BJ89" s="446"/>
      <c r="BK89" s="446"/>
      <c r="BL89" s="446"/>
    </row>
    <row r="90" spans="4:64" x14ac:dyDescent="0.2">
      <c r="D90" s="446"/>
      <c r="E90" s="446"/>
      <c r="F90" s="446"/>
      <c r="G90" s="446"/>
      <c r="H90" s="446"/>
      <c r="I90" s="446"/>
      <c r="J90" s="446"/>
      <c r="K90" s="446"/>
      <c r="L90" s="446"/>
      <c r="M90" s="446"/>
      <c r="N90" s="446"/>
      <c r="O90" s="446"/>
      <c r="P90" s="446"/>
      <c r="Q90" s="446"/>
      <c r="R90" s="446"/>
      <c r="S90" s="446"/>
      <c r="T90" s="446"/>
      <c r="U90" s="446"/>
      <c r="V90" s="446"/>
      <c r="W90" s="446"/>
      <c r="X90" s="446"/>
      <c r="Y90" s="446"/>
      <c r="Z90" s="446"/>
      <c r="AA90" s="446"/>
      <c r="AB90" s="446"/>
      <c r="AC90" s="446"/>
      <c r="AD90" s="446"/>
      <c r="AE90" s="446"/>
      <c r="AF90" s="446"/>
      <c r="AG90" s="446"/>
      <c r="AH90" s="446"/>
      <c r="AI90" s="446"/>
      <c r="AJ90" s="446"/>
      <c r="AK90" s="446"/>
      <c r="AL90" s="446"/>
      <c r="AM90" s="446"/>
      <c r="AN90" s="446"/>
      <c r="AO90" s="446"/>
      <c r="AP90" s="446"/>
      <c r="AQ90" s="446"/>
      <c r="AR90" s="446"/>
      <c r="AS90" s="446"/>
      <c r="AT90" s="446"/>
      <c r="AU90" s="446"/>
      <c r="AV90" s="446"/>
      <c r="AW90" s="446"/>
      <c r="AX90" s="446"/>
      <c r="AY90" s="446"/>
      <c r="AZ90" s="446"/>
      <c r="BA90" s="446"/>
      <c r="BB90" s="446"/>
      <c r="BC90" s="446"/>
      <c r="BD90" s="446"/>
      <c r="BE90" s="446"/>
      <c r="BF90" s="446"/>
      <c r="BG90" s="446"/>
      <c r="BH90" s="446"/>
      <c r="BI90" s="446"/>
      <c r="BJ90" s="446"/>
      <c r="BK90" s="446"/>
      <c r="BL90" s="446"/>
    </row>
    <row r="91" spans="4:64" x14ac:dyDescent="0.2">
      <c r="D91" s="446"/>
      <c r="E91" s="446"/>
      <c r="F91" s="446"/>
      <c r="G91" s="446"/>
      <c r="H91" s="446"/>
      <c r="I91" s="446"/>
      <c r="J91" s="446"/>
      <c r="K91" s="446"/>
      <c r="L91" s="446"/>
      <c r="M91" s="446"/>
      <c r="N91" s="446"/>
      <c r="O91" s="446"/>
      <c r="P91" s="446"/>
      <c r="Q91" s="446"/>
      <c r="R91" s="446"/>
      <c r="S91" s="446"/>
      <c r="T91" s="446"/>
      <c r="U91" s="446"/>
      <c r="V91" s="446"/>
      <c r="W91" s="446"/>
      <c r="X91" s="446"/>
      <c r="Y91" s="446"/>
      <c r="Z91" s="446"/>
      <c r="AA91" s="446"/>
      <c r="AB91" s="446"/>
      <c r="AC91" s="446"/>
      <c r="AD91" s="446"/>
      <c r="AE91" s="446"/>
      <c r="AF91" s="446"/>
      <c r="AG91" s="446"/>
      <c r="AH91" s="446"/>
      <c r="AI91" s="446"/>
      <c r="AJ91" s="446"/>
      <c r="AK91" s="446"/>
      <c r="AL91" s="446"/>
      <c r="AM91" s="446"/>
      <c r="AN91" s="446"/>
      <c r="AO91" s="446"/>
      <c r="AP91" s="446"/>
      <c r="AQ91" s="446"/>
      <c r="AR91" s="446"/>
      <c r="AS91" s="446"/>
      <c r="AT91" s="446"/>
      <c r="AU91" s="446"/>
      <c r="AV91" s="446"/>
      <c r="AW91" s="446"/>
      <c r="AX91" s="446"/>
      <c r="AY91" s="446"/>
      <c r="AZ91" s="446"/>
      <c r="BA91" s="446"/>
      <c r="BB91" s="446"/>
      <c r="BC91" s="446"/>
      <c r="BD91" s="446"/>
      <c r="BE91" s="446"/>
      <c r="BF91" s="446"/>
      <c r="BG91" s="446"/>
      <c r="BH91" s="446"/>
      <c r="BI91" s="446"/>
      <c r="BJ91" s="446"/>
      <c r="BK91" s="446"/>
      <c r="BL91" s="446"/>
    </row>
    <row r="92" spans="4:64" x14ac:dyDescent="0.2">
      <c r="D92" s="446"/>
      <c r="E92" s="446"/>
      <c r="F92" s="446"/>
      <c r="G92" s="446"/>
      <c r="H92" s="446"/>
      <c r="I92" s="446"/>
      <c r="J92" s="446"/>
      <c r="K92" s="446"/>
      <c r="L92" s="446"/>
      <c r="M92" s="446"/>
      <c r="N92" s="446"/>
      <c r="O92" s="446"/>
      <c r="P92" s="446"/>
      <c r="Q92" s="446"/>
      <c r="R92" s="446"/>
      <c r="S92" s="446"/>
      <c r="T92" s="446"/>
      <c r="U92" s="446"/>
      <c r="V92" s="446"/>
      <c r="W92" s="446"/>
      <c r="X92" s="446"/>
      <c r="Y92" s="446"/>
      <c r="Z92" s="446"/>
      <c r="AA92" s="446"/>
      <c r="AB92" s="446"/>
      <c r="AC92" s="446"/>
      <c r="AD92" s="446"/>
      <c r="AE92" s="446"/>
      <c r="AF92" s="446"/>
      <c r="AG92" s="446"/>
      <c r="AH92" s="446"/>
      <c r="AI92" s="446"/>
      <c r="AJ92" s="446"/>
      <c r="AK92" s="446"/>
      <c r="AL92" s="446"/>
      <c r="AM92" s="446"/>
      <c r="AN92" s="446"/>
      <c r="AO92" s="446"/>
      <c r="AP92" s="446"/>
      <c r="AQ92" s="446"/>
      <c r="AR92" s="446"/>
      <c r="AS92" s="446"/>
      <c r="AT92" s="446"/>
      <c r="AU92" s="446"/>
      <c r="AV92" s="446"/>
      <c r="AW92" s="446"/>
      <c r="AX92" s="446"/>
      <c r="AY92" s="446"/>
      <c r="AZ92" s="446"/>
      <c r="BA92" s="446"/>
      <c r="BB92" s="446"/>
      <c r="BC92" s="446"/>
      <c r="BD92" s="446"/>
      <c r="BE92" s="446"/>
      <c r="BF92" s="446"/>
      <c r="BG92" s="446"/>
      <c r="BH92" s="446"/>
      <c r="BI92" s="446"/>
      <c r="BJ92" s="446"/>
      <c r="BK92" s="446"/>
      <c r="BL92" s="446"/>
    </row>
    <row r="93" spans="4:64" x14ac:dyDescent="0.2">
      <c r="D93" s="446"/>
      <c r="E93" s="446"/>
      <c r="F93" s="446"/>
      <c r="G93" s="446"/>
      <c r="H93" s="446"/>
      <c r="I93" s="446"/>
      <c r="J93" s="446"/>
      <c r="K93" s="446"/>
      <c r="L93" s="446"/>
      <c r="M93" s="446"/>
      <c r="N93" s="446"/>
      <c r="O93" s="446"/>
      <c r="P93" s="446"/>
      <c r="Q93" s="446"/>
      <c r="R93" s="446"/>
      <c r="S93" s="446"/>
      <c r="T93" s="446"/>
      <c r="U93" s="446"/>
      <c r="V93" s="446"/>
      <c r="W93" s="446"/>
      <c r="X93" s="446"/>
      <c r="Y93" s="446"/>
      <c r="Z93" s="446"/>
      <c r="AA93" s="446"/>
      <c r="AB93" s="446"/>
      <c r="AC93" s="446"/>
      <c r="AD93" s="446"/>
      <c r="AE93" s="446"/>
      <c r="AF93" s="446"/>
      <c r="AG93" s="446"/>
      <c r="AH93" s="446"/>
      <c r="AI93" s="446"/>
      <c r="AJ93" s="446"/>
      <c r="AK93" s="446"/>
      <c r="AL93" s="446"/>
      <c r="AM93" s="446"/>
      <c r="AN93" s="446"/>
      <c r="AO93" s="446"/>
      <c r="AP93" s="446"/>
      <c r="AQ93" s="446"/>
      <c r="AR93" s="446"/>
      <c r="AS93" s="446"/>
      <c r="AT93" s="446"/>
      <c r="AU93" s="446"/>
      <c r="AV93" s="446"/>
      <c r="AW93" s="446"/>
      <c r="AX93" s="446"/>
      <c r="AY93" s="446"/>
      <c r="AZ93" s="446"/>
      <c r="BA93" s="446"/>
      <c r="BB93" s="446"/>
      <c r="BC93" s="446"/>
      <c r="BD93" s="446"/>
      <c r="BE93" s="446"/>
      <c r="BF93" s="446"/>
      <c r="BG93" s="446"/>
      <c r="BH93" s="446"/>
      <c r="BI93" s="446"/>
      <c r="BJ93" s="446"/>
      <c r="BK93" s="446"/>
      <c r="BL93" s="446"/>
    </row>
    <row r="94" spans="4:64" x14ac:dyDescent="0.2">
      <c r="D94" s="446"/>
      <c r="E94" s="446"/>
      <c r="F94" s="446"/>
      <c r="G94" s="446"/>
      <c r="H94" s="446"/>
      <c r="I94" s="446"/>
      <c r="J94" s="446"/>
      <c r="K94" s="446"/>
      <c r="L94" s="446"/>
      <c r="M94" s="446"/>
      <c r="N94" s="446"/>
      <c r="O94" s="446"/>
      <c r="P94" s="446"/>
      <c r="Q94" s="446"/>
      <c r="R94" s="446"/>
      <c r="S94" s="446"/>
      <c r="T94" s="446"/>
      <c r="U94" s="446"/>
      <c r="V94" s="446"/>
      <c r="W94" s="446"/>
      <c r="X94" s="446"/>
      <c r="Y94" s="446"/>
      <c r="Z94" s="446"/>
      <c r="AA94" s="446"/>
      <c r="AB94" s="446"/>
      <c r="AC94" s="446"/>
      <c r="AD94" s="446"/>
      <c r="AE94" s="446"/>
      <c r="AF94" s="446"/>
      <c r="AG94" s="446"/>
      <c r="AH94" s="446"/>
      <c r="AI94" s="446"/>
      <c r="AJ94" s="446"/>
      <c r="AK94" s="446"/>
      <c r="AL94" s="446"/>
      <c r="AM94" s="446"/>
      <c r="AN94" s="446"/>
      <c r="AO94" s="446"/>
      <c r="AP94" s="446"/>
      <c r="AQ94" s="446"/>
      <c r="AR94" s="446"/>
      <c r="AS94" s="446"/>
      <c r="AT94" s="446"/>
      <c r="AU94" s="446"/>
      <c r="AV94" s="446"/>
      <c r="AW94" s="446"/>
      <c r="AX94" s="446"/>
      <c r="AY94" s="446"/>
      <c r="AZ94" s="446"/>
      <c r="BA94" s="446"/>
      <c r="BB94" s="446"/>
      <c r="BC94" s="446"/>
      <c r="BD94" s="446"/>
      <c r="BE94" s="446"/>
      <c r="BF94" s="446"/>
      <c r="BG94" s="446"/>
      <c r="BH94" s="446"/>
      <c r="BI94" s="446"/>
      <c r="BJ94" s="446"/>
      <c r="BK94" s="446"/>
      <c r="BL94" s="446"/>
    </row>
    <row r="95" spans="4:64" x14ac:dyDescent="0.2">
      <c r="D95" s="446"/>
      <c r="E95" s="446"/>
      <c r="F95" s="446"/>
      <c r="G95" s="446"/>
      <c r="H95" s="446"/>
      <c r="I95" s="446"/>
      <c r="J95" s="446"/>
      <c r="K95" s="446"/>
      <c r="L95" s="446"/>
      <c r="M95" s="446"/>
      <c r="N95" s="446"/>
      <c r="O95" s="446"/>
      <c r="P95" s="446"/>
      <c r="Q95" s="446"/>
      <c r="R95" s="446"/>
      <c r="S95" s="446"/>
      <c r="T95" s="446"/>
      <c r="U95" s="446"/>
      <c r="V95" s="446"/>
      <c r="W95" s="446"/>
      <c r="X95" s="446"/>
      <c r="Y95" s="446"/>
      <c r="Z95" s="446"/>
      <c r="AA95" s="446"/>
      <c r="AB95" s="446"/>
      <c r="AC95" s="446"/>
      <c r="AD95" s="446"/>
      <c r="AE95" s="446"/>
      <c r="AF95" s="446"/>
      <c r="AG95" s="446"/>
      <c r="AH95" s="446"/>
      <c r="AI95" s="446"/>
      <c r="AJ95" s="446"/>
      <c r="AK95" s="446"/>
      <c r="AL95" s="446"/>
      <c r="AM95" s="446"/>
      <c r="AN95" s="446"/>
      <c r="AO95" s="446"/>
      <c r="AP95" s="446"/>
      <c r="AQ95" s="446"/>
      <c r="AR95" s="446"/>
      <c r="AS95" s="446"/>
      <c r="AT95" s="446"/>
      <c r="AU95" s="446"/>
      <c r="AV95" s="446"/>
      <c r="AW95" s="446"/>
      <c r="AX95" s="446"/>
      <c r="AY95" s="446"/>
      <c r="AZ95" s="446"/>
      <c r="BA95" s="446"/>
      <c r="BB95" s="446"/>
      <c r="BC95" s="446"/>
      <c r="BD95" s="446"/>
      <c r="BE95" s="446"/>
      <c r="BF95" s="446"/>
      <c r="BG95" s="446"/>
      <c r="BH95" s="446"/>
      <c r="BI95" s="446"/>
      <c r="BJ95" s="446"/>
      <c r="BK95" s="446"/>
      <c r="BL95" s="446"/>
    </row>
    <row r="96" spans="4:64" x14ac:dyDescent="0.2">
      <c r="D96" s="446"/>
      <c r="E96" s="446"/>
      <c r="F96" s="446"/>
      <c r="G96" s="446"/>
      <c r="H96" s="446"/>
      <c r="I96" s="446"/>
      <c r="J96" s="446"/>
      <c r="K96" s="446"/>
      <c r="L96" s="446"/>
      <c r="M96" s="446"/>
      <c r="N96" s="446"/>
      <c r="O96" s="446"/>
      <c r="P96" s="446"/>
      <c r="Q96" s="446"/>
      <c r="R96" s="446"/>
      <c r="S96" s="446"/>
      <c r="T96" s="446"/>
      <c r="U96" s="446"/>
      <c r="V96" s="446"/>
      <c r="W96" s="446"/>
      <c r="X96" s="446"/>
      <c r="Y96" s="446"/>
      <c r="Z96" s="446"/>
      <c r="AA96" s="446"/>
      <c r="AB96" s="446"/>
      <c r="AC96" s="446"/>
      <c r="AD96" s="446"/>
      <c r="AE96" s="446"/>
      <c r="AF96" s="446"/>
      <c r="AG96" s="446"/>
      <c r="AH96" s="446"/>
      <c r="AI96" s="446"/>
      <c r="AJ96" s="446"/>
      <c r="AK96" s="446"/>
      <c r="AL96" s="446"/>
      <c r="AM96" s="446"/>
      <c r="AN96" s="446"/>
      <c r="AO96" s="446"/>
      <c r="AP96" s="446"/>
      <c r="AQ96" s="446"/>
      <c r="AR96" s="446"/>
      <c r="AS96" s="446"/>
      <c r="AT96" s="446"/>
      <c r="AU96" s="446"/>
      <c r="AV96" s="446"/>
      <c r="AW96" s="446"/>
      <c r="AX96" s="446"/>
      <c r="AY96" s="446"/>
      <c r="AZ96" s="446"/>
      <c r="BA96" s="446"/>
      <c r="BB96" s="446"/>
      <c r="BC96" s="446"/>
      <c r="BD96" s="446"/>
      <c r="BE96" s="446"/>
      <c r="BF96" s="446"/>
      <c r="BG96" s="446"/>
      <c r="BH96" s="446"/>
      <c r="BI96" s="446"/>
      <c r="BJ96" s="446"/>
      <c r="BK96" s="446"/>
      <c r="BL96" s="446"/>
    </row>
    <row r="97" spans="4:64" x14ac:dyDescent="0.2">
      <c r="D97" s="446"/>
      <c r="E97" s="446"/>
      <c r="F97" s="446"/>
      <c r="G97" s="446"/>
      <c r="H97" s="446"/>
      <c r="I97" s="446"/>
      <c r="J97" s="446"/>
      <c r="K97" s="446"/>
      <c r="L97" s="446"/>
      <c r="M97" s="446"/>
      <c r="N97" s="446"/>
      <c r="O97" s="446"/>
      <c r="P97" s="446"/>
      <c r="Q97" s="446"/>
      <c r="R97" s="446"/>
      <c r="S97" s="446"/>
      <c r="T97" s="446"/>
      <c r="U97" s="446"/>
      <c r="V97" s="446"/>
      <c r="W97" s="446"/>
      <c r="X97" s="446"/>
      <c r="Y97" s="446"/>
      <c r="Z97" s="446"/>
      <c r="AA97" s="446"/>
      <c r="AB97" s="446"/>
      <c r="AC97" s="446"/>
      <c r="AD97" s="446"/>
      <c r="AE97" s="446"/>
      <c r="AF97" s="446"/>
      <c r="AG97" s="446"/>
      <c r="AH97" s="446"/>
      <c r="AI97" s="446"/>
      <c r="AJ97" s="446"/>
      <c r="AK97" s="446"/>
      <c r="AL97" s="446"/>
      <c r="AM97" s="446"/>
      <c r="AN97" s="446"/>
      <c r="AO97" s="446"/>
      <c r="AP97" s="446"/>
      <c r="AQ97" s="446"/>
      <c r="AR97" s="446"/>
      <c r="AS97" s="446"/>
      <c r="AT97" s="446"/>
      <c r="AU97" s="446"/>
      <c r="AV97" s="446"/>
      <c r="AW97" s="446"/>
      <c r="AX97" s="446"/>
      <c r="AY97" s="446"/>
      <c r="AZ97" s="446"/>
      <c r="BA97" s="446"/>
      <c r="BB97" s="446"/>
      <c r="BC97" s="446"/>
      <c r="BD97" s="446"/>
      <c r="BE97" s="446"/>
      <c r="BF97" s="446"/>
      <c r="BG97" s="446"/>
      <c r="BH97" s="446"/>
      <c r="BI97" s="446"/>
      <c r="BJ97" s="446"/>
      <c r="BK97" s="446"/>
      <c r="BL97" s="446"/>
    </row>
    <row r="98" spans="4:64" x14ac:dyDescent="0.2">
      <c r="D98" s="446"/>
      <c r="E98" s="446"/>
      <c r="F98" s="446"/>
      <c r="G98" s="446"/>
      <c r="H98" s="446"/>
      <c r="I98" s="446"/>
      <c r="J98" s="446"/>
      <c r="K98" s="446"/>
      <c r="L98" s="446"/>
      <c r="M98" s="446"/>
      <c r="N98" s="446"/>
      <c r="O98" s="446"/>
      <c r="P98" s="446"/>
      <c r="Q98" s="446"/>
      <c r="R98" s="446"/>
      <c r="S98" s="446"/>
      <c r="T98" s="446"/>
      <c r="U98" s="446"/>
      <c r="V98" s="446"/>
      <c r="W98" s="446"/>
      <c r="X98" s="446"/>
      <c r="Y98" s="446"/>
      <c r="Z98" s="446"/>
      <c r="AA98" s="446"/>
      <c r="AB98" s="446"/>
      <c r="AC98" s="446"/>
      <c r="AD98" s="446"/>
      <c r="AE98" s="446"/>
      <c r="AF98" s="446"/>
      <c r="AG98" s="446"/>
      <c r="AH98" s="446"/>
      <c r="AI98" s="446"/>
      <c r="AJ98" s="446"/>
      <c r="AK98" s="446"/>
      <c r="AL98" s="446"/>
      <c r="AM98" s="446"/>
      <c r="AN98" s="446"/>
      <c r="AO98" s="446"/>
      <c r="AP98" s="446"/>
      <c r="AQ98" s="446"/>
      <c r="AR98" s="446"/>
      <c r="AS98" s="446"/>
      <c r="AT98" s="446"/>
      <c r="AU98" s="446"/>
      <c r="AV98" s="446"/>
      <c r="AW98" s="446"/>
      <c r="AX98" s="446"/>
      <c r="AY98" s="446"/>
      <c r="AZ98" s="446"/>
      <c r="BA98" s="446"/>
      <c r="BB98" s="446"/>
      <c r="BC98" s="446"/>
      <c r="BD98" s="446"/>
      <c r="BE98" s="446"/>
      <c r="BF98" s="446"/>
      <c r="BG98" s="446"/>
      <c r="BH98" s="446"/>
      <c r="BI98" s="446"/>
      <c r="BJ98" s="446"/>
      <c r="BK98" s="446"/>
      <c r="BL98" s="446"/>
    </row>
    <row r="99" spans="4:64" x14ac:dyDescent="0.2">
      <c r="D99" s="446"/>
      <c r="E99" s="446"/>
      <c r="F99" s="446"/>
      <c r="G99" s="446"/>
      <c r="H99" s="446"/>
      <c r="I99" s="446"/>
      <c r="J99" s="446"/>
      <c r="K99" s="446"/>
      <c r="L99" s="446"/>
      <c r="M99" s="446"/>
      <c r="N99" s="446"/>
      <c r="O99" s="446"/>
      <c r="P99" s="446"/>
      <c r="Q99" s="446"/>
      <c r="R99" s="446"/>
      <c r="S99" s="446"/>
      <c r="T99" s="446"/>
      <c r="U99" s="446"/>
      <c r="V99" s="446"/>
      <c r="W99" s="446"/>
      <c r="X99" s="446"/>
      <c r="Y99" s="446"/>
      <c r="Z99" s="446"/>
      <c r="AA99" s="446"/>
      <c r="AB99" s="446"/>
      <c r="AC99" s="446"/>
      <c r="AD99" s="446"/>
      <c r="AE99" s="446"/>
      <c r="AF99" s="446"/>
      <c r="AG99" s="446"/>
      <c r="AH99" s="446"/>
      <c r="AI99" s="446"/>
      <c r="AJ99" s="446"/>
      <c r="AK99" s="446"/>
      <c r="AL99" s="446"/>
      <c r="AM99" s="446"/>
      <c r="AN99" s="446"/>
      <c r="AO99" s="446"/>
      <c r="AP99" s="446"/>
      <c r="AQ99" s="446"/>
      <c r="AR99" s="446"/>
      <c r="AS99" s="446"/>
      <c r="AT99" s="446"/>
      <c r="AU99" s="446"/>
      <c r="AV99" s="446"/>
      <c r="AW99" s="446"/>
      <c r="AX99" s="446"/>
      <c r="AY99" s="446"/>
      <c r="AZ99" s="446"/>
      <c r="BA99" s="446"/>
      <c r="BB99" s="446"/>
      <c r="BC99" s="446"/>
      <c r="BD99" s="446"/>
      <c r="BE99" s="446"/>
      <c r="BF99" s="446"/>
      <c r="BG99" s="446"/>
      <c r="BH99" s="446"/>
      <c r="BI99" s="446"/>
      <c r="BJ99" s="446"/>
      <c r="BK99" s="446"/>
      <c r="BL99" s="446"/>
    </row>
    <row r="100" spans="4:64" x14ac:dyDescent="0.2">
      <c r="D100" s="446"/>
      <c r="E100" s="446"/>
      <c r="F100" s="446"/>
      <c r="G100" s="446"/>
      <c r="H100" s="446"/>
      <c r="I100" s="446"/>
      <c r="J100" s="446"/>
      <c r="K100" s="446"/>
      <c r="L100" s="446"/>
      <c r="M100" s="446"/>
      <c r="N100" s="446"/>
      <c r="O100" s="446"/>
      <c r="P100" s="446"/>
      <c r="Q100" s="446"/>
      <c r="R100" s="446"/>
      <c r="S100" s="446"/>
      <c r="T100" s="446"/>
      <c r="U100" s="446"/>
      <c r="V100" s="446"/>
      <c r="W100" s="446"/>
      <c r="X100" s="446"/>
      <c r="Y100" s="446"/>
      <c r="Z100" s="446"/>
      <c r="AA100" s="446"/>
      <c r="AB100" s="446"/>
      <c r="AC100" s="446"/>
      <c r="AD100" s="446"/>
      <c r="AE100" s="446"/>
      <c r="AF100" s="446"/>
      <c r="AG100" s="446"/>
      <c r="AH100" s="446"/>
      <c r="AI100" s="446"/>
      <c r="AJ100" s="446"/>
      <c r="AK100" s="446"/>
      <c r="AL100" s="446"/>
      <c r="AM100" s="446"/>
      <c r="AN100" s="446"/>
      <c r="AO100" s="446"/>
      <c r="AP100" s="446"/>
      <c r="AQ100" s="446"/>
      <c r="AR100" s="446"/>
      <c r="AS100" s="446"/>
      <c r="AT100" s="446"/>
      <c r="AU100" s="446"/>
      <c r="AV100" s="446"/>
      <c r="AW100" s="446"/>
      <c r="AX100" s="446"/>
      <c r="AY100" s="446"/>
      <c r="AZ100" s="446"/>
      <c r="BA100" s="446"/>
      <c r="BB100" s="446"/>
      <c r="BC100" s="446"/>
      <c r="BD100" s="446"/>
      <c r="BE100" s="446"/>
      <c r="BF100" s="446"/>
      <c r="BG100" s="446"/>
      <c r="BH100" s="446"/>
      <c r="BI100" s="446"/>
      <c r="BJ100" s="446"/>
      <c r="BK100" s="446"/>
      <c r="BL100" s="446"/>
    </row>
    <row r="101" spans="4:64" x14ac:dyDescent="0.2">
      <c r="D101" s="446"/>
      <c r="E101" s="446"/>
      <c r="F101" s="446"/>
      <c r="G101" s="446"/>
      <c r="H101" s="446"/>
      <c r="I101" s="446"/>
      <c r="J101" s="446"/>
      <c r="K101" s="446"/>
      <c r="L101" s="446"/>
      <c r="M101" s="446"/>
      <c r="N101" s="446"/>
      <c r="O101" s="446"/>
      <c r="P101" s="446"/>
      <c r="Q101" s="446"/>
      <c r="R101" s="446"/>
      <c r="S101" s="446"/>
      <c r="T101" s="446"/>
      <c r="U101" s="446"/>
      <c r="V101" s="446"/>
      <c r="W101" s="446"/>
      <c r="X101" s="446"/>
      <c r="Y101" s="446"/>
      <c r="Z101" s="446"/>
      <c r="AA101" s="446"/>
      <c r="AB101" s="446"/>
      <c r="AC101" s="446"/>
      <c r="AD101" s="446"/>
      <c r="AE101" s="446"/>
      <c r="AF101" s="446"/>
      <c r="AG101" s="446"/>
      <c r="AH101" s="446"/>
      <c r="AI101" s="446"/>
      <c r="AJ101" s="446"/>
      <c r="AK101" s="446"/>
      <c r="AL101" s="446"/>
      <c r="AM101" s="446"/>
      <c r="AN101" s="446"/>
      <c r="AO101" s="446"/>
      <c r="AP101" s="446"/>
      <c r="AQ101" s="446"/>
      <c r="AR101" s="446"/>
      <c r="AS101" s="446"/>
      <c r="AT101" s="446"/>
      <c r="AU101" s="446"/>
      <c r="AV101" s="446"/>
      <c r="AW101" s="446"/>
      <c r="AX101" s="446"/>
      <c r="AY101" s="446"/>
      <c r="AZ101" s="446"/>
      <c r="BA101" s="446"/>
      <c r="BB101" s="446"/>
      <c r="BC101" s="446"/>
      <c r="BD101" s="446"/>
      <c r="BE101" s="446"/>
      <c r="BF101" s="446"/>
      <c r="BG101" s="446"/>
      <c r="BH101" s="446"/>
      <c r="BI101" s="446"/>
      <c r="BJ101" s="446"/>
      <c r="BK101" s="446"/>
      <c r="BL101" s="446"/>
    </row>
    <row r="102" spans="4:64" x14ac:dyDescent="0.2">
      <c r="D102" s="446"/>
      <c r="E102" s="446"/>
      <c r="F102" s="446"/>
      <c r="G102" s="446"/>
      <c r="H102" s="446"/>
      <c r="I102" s="446"/>
      <c r="J102" s="446"/>
      <c r="K102" s="446"/>
      <c r="L102" s="446"/>
      <c r="M102" s="446"/>
      <c r="N102" s="446"/>
      <c r="O102" s="446"/>
      <c r="P102" s="446"/>
      <c r="Q102" s="446"/>
      <c r="R102" s="446"/>
      <c r="S102" s="446"/>
      <c r="T102" s="446"/>
      <c r="U102" s="446"/>
      <c r="V102" s="446"/>
      <c r="W102" s="446"/>
      <c r="X102" s="446"/>
      <c r="Y102" s="446"/>
      <c r="Z102" s="446"/>
      <c r="AA102" s="446"/>
      <c r="AB102" s="446"/>
      <c r="AC102" s="446"/>
      <c r="AD102" s="446"/>
      <c r="AE102" s="446"/>
      <c r="AF102" s="446"/>
      <c r="AG102" s="446"/>
      <c r="AH102" s="446"/>
      <c r="AI102" s="446"/>
      <c r="AJ102" s="446"/>
      <c r="AK102" s="446"/>
      <c r="AL102" s="446"/>
      <c r="AM102" s="446"/>
      <c r="AN102" s="446"/>
      <c r="AO102" s="446"/>
      <c r="AP102" s="446"/>
      <c r="AQ102" s="446"/>
      <c r="AR102" s="446"/>
      <c r="AS102" s="446"/>
      <c r="AT102" s="446"/>
      <c r="AU102" s="446"/>
      <c r="AV102" s="446"/>
      <c r="AW102" s="446"/>
      <c r="AX102" s="446"/>
      <c r="AY102" s="446"/>
      <c r="AZ102" s="446"/>
      <c r="BA102" s="446"/>
      <c r="BB102" s="446"/>
      <c r="BC102" s="446"/>
      <c r="BD102" s="446"/>
      <c r="BE102" s="446"/>
      <c r="BF102" s="446"/>
      <c r="BG102" s="446"/>
      <c r="BH102" s="446"/>
      <c r="BI102" s="446"/>
      <c r="BJ102" s="446"/>
      <c r="BK102" s="446"/>
      <c r="BL102" s="446"/>
    </row>
    <row r="103" spans="4:64" x14ac:dyDescent="0.2">
      <c r="D103" s="446"/>
      <c r="E103" s="446"/>
      <c r="F103" s="446"/>
      <c r="G103" s="446"/>
      <c r="H103" s="446"/>
      <c r="I103" s="446"/>
      <c r="J103" s="446"/>
      <c r="K103" s="446"/>
      <c r="L103" s="446"/>
      <c r="M103" s="446"/>
      <c r="N103" s="446"/>
      <c r="O103" s="446"/>
      <c r="P103" s="446"/>
      <c r="Q103" s="446"/>
      <c r="R103" s="446"/>
      <c r="S103" s="446"/>
      <c r="T103" s="446"/>
      <c r="U103" s="446"/>
      <c r="V103" s="446"/>
      <c r="W103" s="446"/>
      <c r="X103" s="446"/>
      <c r="Y103" s="446"/>
      <c r="Z103" s="446"/>
      <c r="AA103" s="446"/>
      <c r="AB103" s="446"/>
      <c r="AC103" s="446"/>
      <c r="AD103" s="446"/>
      <c r="AE103" s="446"/>
      <c r="AF103" s="446"/>
      <c r="AG103" s="446"/>
      <c r="AH103" s="446"/>
      <c r="AI103" s="446"/>
      <c r="AJ103" s="446"/>
      <c r="AK103" s="446"/>
      <c r="AL103" s="446"/>
      <c r="AM103" s="446"/>
      <c r="AN103" s="446"/>
      <c r="AO103" s="446"/>
      <c r="AP103" s="446"/>
      <c r="AQ103" s="446"/>
      <c r="AR103" s="446"/>
      <c r="AS103" s="446"/>
      <c r="AT103" s="446"/>
      <c r="AU103" s="446"/>
      <c r="AV103" s="446"/>
      <c r="AW103" s="446"/>
      <c r="AX103" s="446"/>
      <c r="AY103" s="446"/>
      <c r="AZ103" s="446"/>
      <c r="BA103" s="446"/>
      <c r="BB103" s="446"/>
      <c r="BC103" s="446"/>
      <c r="BD103" s="446"/>
      <c r="BE103" s="446"/>
      <c r="BF103" s="446"/>
      <c r="BG103" s="446"/>
      <c r="BH103" s="446"/>
      <c r="BI103" s="446"/>
      <c r="BJ103" s="446"/>
      <c r="BK103" s="446"/>
      <c r="BL103" s="446"/>
    </row>
    <row r="104" spans="4:64" x14ac:dyDescent="0.2">
      <c r="D104" s="446"/>
      <c r="E104" s="446"/>
      <c r="F104" s="446"/>
      <c r="G104" s="446"/>
      <c r="H104" s="446"/>
      <c r="I104" s="446"/>
      <c r="J104" s="446"/>
      <c r="K104" s="446"/>
      <c r="L104" s="446"/>
      <c r="M104" s="446"/>
      <c r="N104" s="446"/>
      <c r="O104" s="446"/>
      <c r="P104" s="446"/>
      <c r="Q104" s="446"/>
      <c r="R104" s="446"/>
      <c r="S104" s="446"/>
      <c r="T104" s="446"/>
      <c r="U104" s="446"/>
      <c r="V104" s="446"/>
      <c r="W104" s="446"/>
      <c r="X104" s="446"/>
      <c r="Y104" s="446"/>
      <c r="Z104" s="446"/>
      <c r="AA104" s="446"/>
      <c r="AB104" s="446"/>
      <c r="AC104" s="446"/>
      <c r="AD104" s="446"/>
      <c r="AE104" s="446"/>
      <c r="AF104" s="446"/>
      <c r="AG104" s="446"/>
      <c r="AH104" s="446"/>
      <c r="AI104" s="446"/>
      <c r="AJ104" s="446"/>
      <c r="AK104" s="446"/>
      <c r="AL104" s="446"/>
      <c r="AM104" s="446"/>
      <c r="AN104" s="446"/>
      <c r="AO104" s="446"/>
      <c r="AP104" s="446"/>
      <c r="AQ104" s="446"/>
      <c r="AR104" s="446"/>
      <c r="AS104" s="446"/>
      <c r="AT104" s="446"/>
      <c r="AU104" s="446"/>
      <c r="AV104" s="446"/>
      <c r="AW104" s="446"/>
      <c r="AX104" s="446"/>
      <c r="AY104" s="446"/>
      <c r="AZ104" s="446"/>
      <c r="BA104" s="446"/>
      <c r="BB104" s="446"/>
      <c r="BC104" s="446"/>
      <c r="BD104" s="446"/>
      <c r="BE104" s="446"/>
      <c r="BF104" s="446"/>
      <c r="BG104" s="446"/>
      <c r="BH104" s="446"/>
      <c r="BI104" s="446"/>
      <c r="BJ104" s="446"/>
      <c r="BK104" s="446"/>
      <c r="BL104" s="446"/>
    </row>
    <row r="105" spans="4:64" x14ac:dyDescent="0.2">
      <c r="D105" s="446"/>
      <c r="E105" s="446"/>
      <c r="F105" s="446"/>
      <c r="G105" s="446"/>
      <c r="H105" s="446"/>
      <c r="I105" s="446"/>
      <c r="J105" s="446"/>
      <c r="K105" s="446"/>
      <c r="L105" s="446"/>
      <c r="M105" s="446"/>
      <c r="N105" s="446"/>
      <c r="O105" s="446"/>
      <c r="P105" s="446"/>
      <c r="Q105" s="446"/>
      <c r="R105" s="446"/>
      <c r="S105" s="446"/>
      <c r="T105" s="446"/>
      <c r="U105" s="446"/>
      <c r="V105" s="446"/>
      <c r="W105" s="446"/>
      <c r="X105" s="446"/>
      <c r="Y105" s="446"/>
      <c r="Z105" s="446"/>
      <c r="AA105" s="446"/>
      <c r="AB105" s="446"/>
      <c r="AC105" s="446"/>
      <c r="AD105" s="446"/>
      <c r="AE105" s="446"/>
      <c r="AF105" s="446"/>
      <c r="AG105" s="446"/>
      <c r="AH105" s="446"/>
      <c r="AI105" s="446"/>
      <c r="AJ105" s="446"/>
      <c r="AK105" s="446"/>
      <c r="AL105" s="446"/>
      <c r="AM105" s="446"/>
      <c r="AN105" s="446"/>
      <c r="AO105" s="446"/>
      <c r="AP105" s="446"/>
      <c r="AQ105" s="446"/>
      <c r="AR105" s="446"/>
      <c r="AS105" s="446"/>
      <c r="AT105" s="446"/>
      <c r="AU105" s="446"/>
      <c r="AV105" s="446"/>
      <c r="AW105" s="446"/>
      <c r="AX105" s="446"/>
      <c r="AY105" s="446"/>
      <c r="AZ105" s="446"/>
      <c r="BA105" s="446"/>
      <c r="BB105" s="446"/>
      <c r="BC105" s="446"/>
      <c r="BD105" s="446"/>
      <c r="BE105" s="446"/>
      <c r="BF105" s="446"/>
      <c r="BG105" s="446"/>
      <c r="BH105" s="446"/>
      <c r="BI105" s="446"/>
      <c r="BJ105" s="446"/>
      <c r="BK105" s="446"/>
      <c r="BL105" s="446"/>
    </row>
    <row r="106" spans="4:64" x14ac:dyDescent="0.2">
      <c r="D106" s="446"/>
      <c r="E106" s="446"/>
      <c r="F106" s="446"/>
      <c r="G106" s="446"/>
      <c r="H106" s="446"/>
      <c r="I106" s="446"/>
      <c r="J106" s="446"/>
      <c r="K106" s="446"/>
      <c r="L106" s="446"/>
      <c r="M106" s="446"/>
      <c r="N106" s="446"/>
      <c r="O106" s="446"/>
      <c r="P106" s="446"/>
      <c r="Q106" s="446"/>
      <c r="R106" s="446"/>
      <c r="S106" s="446"/>
      <c r="T106" s="446"/>
      <c r="U106" s="446"/>
      <c r="V106" s="446"/>
      <c r="W106" s="446"/>
      <c r="X106" s="446"/>
      <c r="Y106" s="446"/>
      <c r="Z106" s="446"/>
      <c r="AA106" s="446"/>
      <c r="AB106" s="446"/>
      <c r="AC106" s="446"/>
      <c r="AD106" s="446"/>
      <c r="AE106" s="446"/>
      <c r="AF106" s="446"/>
      <c r="AG106" s="446"/>
      <c r="AH106" s="446"/>
      <c r="AI106" s="446"/>
      <c r="AJ106" s="446"/>
      <c r="AK106" s="446"/>
      <c r="AL106" s="446"/>
      <c r="AM106" s="446"/>
      <c r="AN106" s="446"/>
      <c r="AO106" s="446"/>
      <c r="AP106" s="446"/>
      <c r="AQ106" s="446"/>
      <c r="AR106" s="446"/>
      <c r="AS106" s="446"/>
      <c r="AT106" s="446"/>
      <c r="AU106" s="446"/>
      <c r="AV106" s="446"/>
      <c r="AW106" s="446"/>
      <c r="AX106" s="446"/>
      <c r="AY106" s="446"/>
      <c r="AZ106" s="446"/>
      <c r="BA106" s="446"/>
      <c r="BB106" s="446"/>
      <c r="BC106" s="446"/>
      <c r="BD106" s="446"/>
      <c r="BE106" s="446"/>
      <c r="BF106" s="446"/>
      <c r="BG106" s="446"/>
      <c r="BH106" s="446"/>
      <c r="BI106" s="446"/>
      <c r="BJ106" s="446"/>
      <c r="BK106" s="446"/>
      <c r="BL106" s="446"/>
    </row>
    <row r="107" spans="4:64" x14ac:dyDescent="0.2">
      <c r="D107" s="446"/>
      <c r="E107" s="446"/>
      <c r="F107" s="446"/>
      <c r="G107" s="446"/>
      <c r="H107" s="446"/>
      <c r="I107" s="446"/>
      <c r="J107" s="446"/>
      <c r="K107" s="446"/>
      <c r="L107" s="446"/>
      <c r="M107" s="446"/>
      <c r="N107" s="446"/>
      <c r="O107" s="446"/>
      <c r="P107" s="446"/>
      <c r="Q107" s="446"/>
      <c r="R107" s="446"/>
      <c r="S107" s="446"/>
      <c r="T107" s="446"/>
      <c r="U107" s="446"/>
      <c r="V107" s="446"/>
      <c r="W107" s="446"/>
      <c r="X107" s="446"/>
      <c r="Y107" s="446"/>
      <c r="Z107" s="446"/>
      <c r="AA107" s="446"/>
      <c r="AB107" s="446"/>
      <c r="AC107" s="446"/>
      <c r="AD107" s="446"/>
      <c r="AE107" s="446"/>
      <c r="AF107" s="446"/>
      <c r="AG107" s="446"/>
      <c r="AH107" s="446"/>
      <c r="AI107" s="446"/>
      <c r="AJ107" s="446"/>
      <c r="AK107" s="446"/>
      <c r="AL107" s="446"/>
      <c r="AM107" s="446"/>
      <c r="AN107" s="446"/>
      <c r="AO107" s="446"/>
      <c r="AP107" s="446"/>
      <c r="AQ107" s="446"/>
      <c r="AR107" s="446"/>
      <c r="AS107" s="446"/>
      <c r="AT107" s="446"/>
      <c r="AU107" s="446"/>
      <c r="AV107" s="446"/>
      <c r="AW107" s="446"/>
      <c r="AX107" s="446"/>
      <c r="AY107" s="446"/>
      <c r="AZ107" s="446"/>
      <c r="BA107" s="446"/>
      <c r="BB107" s="446"/>
      <c r="BC107" s="446"/>
      <c r="BD107" s="446"/>
      <c r="BE107" s="446"/>
      <c r="BF107" s="446"/>
      <c r="BG107" s="446"/>
      <c r="BH107" s="446"/>
      <c r="BI107" s="446"/>
      <c r="BJ107" s="446"/>
      <c r="BK107" s="446"/>
      <c r="BL107" s="446"/>
    </row>
    <row r="108" spans="4:64" x14ac:dyDescent="0.2">
      <c r="D108" s="446"/>
      <c r="E108" s="446"/>
      <c r="F108" s="446"/>
      <c r="G108" s="446"/>
      <c r="H108" s="446"/>
      <c r="I108" s="446"/>
      <c r="J108" s="446"/>
      <c r="K108" s="446"/>
      <c r="L108" s="446"/>
      <c r="M108" s="446"/>
      <c r="N108" s="446"/>
      <c r="O108" s="446"/>
      <c r="P108" s="446"/>
      <c r="Q108" s="446"/>
      <c r="R108" s="446"/>
      <c r="S108" s="446"/>
      <c r="T108" s="446"/>
      <c r="U108" s="446"/>
      <c r="V108" s="446"/>
      <c r="W108" s="446"/>
      <c r="X108" s="446"/>
      <c r="Y108" s="446"/>
      <c r="Z108" s="446"/>
      <c r="AA108" s="446"/>
      <c r="AB108" s="446"/>
      <c r="AC108" s="446"/>
      <c r="AD108" s="446"/>
      <c r="AE108" s="446"/>
      <c r="AF108" s="446"/>
      <c r="AG108" s="446"/>
      <c r="AH108" s="446"/>
      <c r="AI108" s="446"/>
      <c r="AJ108" s="446"/>
      <c r="AK108" s="446"/>
      <c r="AL108" s="446"/>
      <c r="AM108" s="446"/>
      <c r="AN108" s="446"/>
      <c r="AO108" s="446"/>
      <c r="AP108" s="446"/>
      <c r="AQ108" s="446"/>
      <c r="AR108" s="446"/>
      <c r="AS108" s="446"/>
      <c r="AT108" s="446"/>
      <c r="AU108" s="446"/>
      <c r="AV108" s="446"/>
      <c r="AW108" s="446"/>
      <c r="AX108" s="446"/>
      <c r="AY108" s="446"/>
      <c r="AZ108" s="446"/>
      <c r="BA108" s="446"/>
      <c r="BB108" s="446"/>
      <c r="BC108" s="446"/>
      <c r="BD108" s="446"/>
      <c r="BE108" s="446"/>
      <c r="BF108" s="446"/>
      <c r="BG108" s="446"/>
      <c r="BH108" s="446"/>
      <c r="BI108" s="446"/>
      <c r="BJ108" s="446"/>
      <c r="BK108" s="446"/>
      <c r="BL108" s="446"/>
    </row>
    <row r="109" spans="4:64" x14ac:dyDescent="0.2">
      <c r="D109" s="446"/>
      <c r="E109" s="446"/>
      <c r="F109" s="446"/>
      <c r="G109" s="446"/>
      <c r="H109" s="446"/>
      <c r="I109" s="446"/>
      <c r="J109" s="446"/>
      <c r="K109" s="446"/>
      <c r="L109" s="446"/>
      <c r="M109" s="446"/>
      <c r="N109" s="446"/>
      <c r="O109" s="446"/>
      <c r="P109" s="446"/>
      <c r="Q109" s="446"/>
      <c r="R109" s="446"/>
      <c r="S109" s="446"/>
      <c r="T109" s="446"/>
      <c r="U109" s="446"/>
      <c r="V109" s="446"/>
      <c r="W109" s="446"/>
      <c r="X109" s="446"/>
      <c r="Y109" s="446"/>
      <c r="Z109" s="446"/>
      <c r="AA109" s="446"/>
      <c r="AB109" s="446"/>
      <c r="AC109" s="446"/>
      <c r="AD109" s="446"/>
      <c r="AE109" s="446"/>
      <c r="AF109" s="446"/>
      <c r="AG109" s="446"/>
      <c r="AH109" s="446"/>
      <c r="AI109" s="446"/>
      <c r="AJ109" s="446"/>
      <c r="AK109" s="446"/>
      <c r="AL109" s="446"/>
      <c r="AM109" s="446"/>
      <c r="AN109" s="446"/>
      <c r="AO109" s="446"/>
      <c r="AP109" s="446"/>
      <c r="AQ109" s="446"/>
      <c r="AR109" s="446"/>
      <c r="AS109" s="446"/>
      <c r="AT109" s="446"/>
      <c r="AU109" s="446"/>
      <c r="AV109" s="446"/>
      <c r="AW109" s="446"/>
      <c r="AX109" s="446"/>
      <c r="AY109" s="446"/>
      <c r="AZ109" s="446"/>
      <c r="BA109" s="446"/>
      <c r="BB109" s="446"/>
      <c r="BC109" s="446"/>
      <c r="BD109" s="446"/>
      <c r="BE109" s="446"/>
      <c r="BF109" s="446"/>
      <c r="BG109" s="446"/>
      <c r="BH109" s="446"/>
      <c r="BI109" s="446"/>
      <c r="BJ109" s="446"/>
      <c r="BK109" s="446"/>
      <c r="BL109" s="446"/>
    </row>
    <row r="110" spans="4:64" x14ac:dyDescent="0.2">
      <c r="D110" s="446"/>
      <c r="E110" s="446"/>
      <c r="F110" s="446"/>
      <c r="G110" s="446"/>
      <c r="H110" s="446"/>
      <c r="I110" s="446"/>
      <c r="J110" s="446"/>
      <c r="K110" s="446"/>
      <c r="L110" s="446"/>
      <c r="M110" s="446"/>
      <c r="N110" s="446"/>
      <c r="O110" s="446"/>
      <c r="P110" s="446"/>
      <c r="Q110" s="446"/>
      <c r="R110" s="446"/>
      <c r="S110" s="446"/>
      <c r="T110" s="446"/>
      <c r="U110" s="446"/>
      <c r="V110" s="446"/>
      <c r="W110" s="446"/>
      <c r="X110" s="446"/>
      <c r="Y110" s="446"/>
      <c r="Z110" s="446"/>
      <c r="AA110" s="446"/>
      <c r="AB110" s="446"/>
      <c r="AC110" s="446"/>
      <c r="AD110" s="446"/>
      <c r="AE110" s="446"/>
      <c r="AF110" s="446"/>
      <c r="AG110" s="446"/>
      <c r="AH110" s="446"/>
      <c r="AI110" s="446"/>
      <c r="AJ110" s="446"/>
      <c r="AK110" s="446"/>
      <c r="AL110" s="446"/>
      <c r="AM110" s="446"/>
      <c r="AN110" s="446"/>
      <c r="AO110" s="446"/>
      <c r="AP110" s="446"/>
      <c r="AQ110" s="446"/>
      <c r="AR110" s="446"/>
      <c r="AS110" s="446"/>
      <c r="AT110" s="446"/>
      <c r="AU110" s="446"/>
      <c r="AV110" s="446"/>
      <c r="AW110" s="446"/>
      <c r="AX110" s="446"/>
      <c r="AY110" s="446"/>
      <c r="AZ110" s="446"/>
      <c r="BA110" s="446"/>
      <c r="BB110" s="446"/>
      <c r="BC110" s="446"/>
      <c r="BD110" s="446"/>
      <c r="BE110" s="446"/>
      <c r="BF110" s="446"/>
      <c r="BG110" s="446"/>
      <c r="BH110" s="446"/>
      <c r="BI110" s="446"/>
      <c r="BJ110" s="446"/>
      <c r="BK110" s="446"/>
      <c r="BL110" s="446"/>
    </row>
    <row r="111" spans="4:64" x14ac:dyDescent="0.2">
      <c r="D111" s="446"/>
      <c r="E111" s="446"/>
      <c r="F111" s="446"/>
      <c r="G111" s="446"/>
      <c r="H111" s="446"/>
      <c r="I111" s="446"/>
      <c r="J111" s="446"/>
      <c r="K111" s="446"/>
      <c r="L111" s="446"/>
      <c r="M111" s="446"/>
      <c r="N111" s="446"/>
      <c r="O111" s="446"/>
      <c r="P111" s="446"/>
      <c r="Q111" s="446"/>
      <c r="R111" s="446"/>
      <c r="S111" s="446"/>
      <c r="T111" s="446"/>
      <c r="U111" s="446"/>
      <c r="V111" s="446"/>
      <c r="W111" s="446"/>
      <c r="X111" s="446"/>
      <c r="Y111" s="446"/>
      <c r="Z111" s="446"/>
      <c r="AA111" s="446"/>
      <c r="AB111" s="446"/>
      <c r="AC111" s="446"/>
      <c r="AD111" s="446"/>
      <c r="AE111" s="446"/>
      <c r="AF111" s="446"/>
      <c r="AG111" s="446"/>
      <c r="AH111" s="446"/>
      <c r="AI111" s="446"/>
      <c r="AJ111" s="446"/>
      <c r="AK111" s="446"/>
      <c r="AL111" s="446"/>
      <c r="AM111" s="446"/>
      <c r="AN111" s="446"/>
      <c r="AO111" s="446"/>
      <c r="AP111" s="446"/>
      <c r="AQ111" s="446"/>
      <c r="AR111" s="446"/>
      <c r="AS111" s="446"/>
      <c r="AT111" s="446"/>
      <c r="AU111" s="446"/>
      <c r="AV111" s="446"/>
      <c r="AW111" s="446"/>
      <c r="AX111" s="446"/>
      <c r="AY111" s="446"/>
      <c r="AZ111" s="446"/>
      <c r="BA111" s="446"/>
      <c r="BB111" s="446"/>
      <c r="BC111" s="446"/>
      <c r="BD111" s="446"/>
      <c r="BE111" s="446"/>
      <c r="BF111" s="446"/>
      <c r="BG111" s="446"/>
      <c r="BH111" s="446"/>
      <c r="BI111" s="446"/>
      <c r="BJ111" s="446"/>
      <c r="BK111" s="446"/>
      <c r="BL111" s="446"/>
    </row>
    <row r="112" spans="4:64" x14ac:dyDescent="0.2">
      <c r="D112" s="446"/>
      <c r="E112" s="446"/>
      <c r="F112" s="446"/>
      <c r="G112" s="446"/>
      <c r="H112" s="446"/>
      <c r="I112" s="446"/>
      <c r="J112" s="446"/>
      <c r="K112" s="446"/>
      <c r="L112" s="446"/>
      <c r="M112" s="446"/>
      <c r="N112" s="446"/>
      <c r="O112" s="446"/>
      <c r="P112" s="446"/>
      <c r="Q112" s="446"/>
      <c r="R112" s="446"/>
      <c r="S112" s="446"/>
      <c r="T112" s="446"/>
      <c r="U112" s="446"/>
      <c r="V112" s="446"/>
      <c r="W112" s="446"/>
      <c r="X112" s="446"/>
      <c r="Y112" s="446"/>
      <c r="Z112" s="446"/>
      <c r="AA112" s="446"/>
      <c r="AB112" s="446"/>
      <c r="AC112" s="446"/>
      <c r="AD112" s="446"/>
      <c r="AE112" s="446"/>
      <c r="AF112" s="446"/>
      <c r="AG112" s="446"/>
      <c r="AH112" s="446"/>
      <c r="AI112" s="446"/>
      <c r="AJ112" s="446"/>
      <c r="AK112" s="446"/>
      <c r="AL112" s="446"/>
      <c r="AM112" s="446"/>
      <c r="AN112" s="446"/>
      <c r="AO112" s="446"/>
      <c r="AP112" s="446"/>
      <c r="AQ112" s="446"/>
      <c r="AR112" s="446"/>
      <c r="AS112" s="446"/>
      <c r="AT112" s="446"/>
      <c r="AU112" s="446"/>
      <c r="AV112" s="446"/>
      <c r="AW112" s="446"/>
      <c r="AX112" s="446"/>
      <c r="AY112" s="446"/>
      <c r="AZ112" s="446"/>
      <c r="BA112" s="446"/>
      <c r="BB112" s="446"/>
      <c r="BC112" s="446"/>
      <c r="BD112" s="446"/>
      <c r="BE112" s="446"/>
      <c r="BF112" s="446"/>
      <c r="BG112" s="446"/>
      <c r="BH112" s="446"/>
      <c r="BI112" s="446"/>
      <c r="BJ112" s="446"/>
      <c r="BK112" s="446"/>
      <c r="BL112" s="446"/>
    </row>
    <row r="113" spans="4:64" x14ac:dyDescent="0.2">
      <c r="D113" s="446"/>
      <c r="E113" s="446"/>
      <c r="F113" s="446"/>
      <c r="G113" s="446"/>
      <c r="H113" s="446"/>
      <c r="I113" s="446"/>
      <c r="J113" s="446"/>
      <c r="K113" s="446"/>
      <c r="L113" s="446"/>
      <c r="M113" s="446"/>
      <c r="N113" s="446"/>
      <c r="O113" s="446"/>
      <c r="P113" s="446"/>
      <c r="Q113" s="446"/>
      <c r="R113" s="446"/>
      <c r="S113" s="446"/>
      <c r="T113" s="446"/>
      <c r="U113" s="446"/>
      <c r="V113" s="446"/>
      <c r="W113" s="446"/>
      <c r="X113" s="446"/>
      <c r="Y113" s="446"/>
      <c r="Z113" s="446"/>
      <c r="AA113" s="446"/>
      <c r="AB113" s="446"/>
      <c r="AC113" s="446"/>
      <c r="AD113" s="446"/>
      <c r="AE113" s="446"/>
      <c r="AF113" s="446"/>
      <c r="AG113" s="446"/>
      <c r="AH113" s="446"/>
      <c r="AI113" s="446"/>
      <c r="AJ113" s="446"/>
      <c r="AK113" s="446"/>
      <c r="AL113" s="446"/>
      <c r="AM113" s="446"/>
      <c r="AN113" s="446"/>
      <c r="AO113" s="446"/>
      <c r="AP113" s="446"/>
      <c r="AQ113" s="446"/>
      <c r="AR113" s="446"/>
      <c r="AS113" s="446"/>
      <c r="AT113" s="446"/>
      <c r="AU113" s="446"/>
      <c r="AV113" s="446"/>
      <c r="AW113" s="446"/>
      <c r="AX113" s="446"/>
      <c r="AY113" s="446"/>
      <c r="AZ113" s="446"/>
      <c r="BA113" s="446"/>
      <c r="BB113" s="446"/>
      <c r="BC113" s="446"/>
      <c r="BD113" s="446"/>
      <c r="BE113" s="446"/>
      <c r="BF113" s="446"/>
      <c r="BG113" s="446"/>
      <c r="BH113" s="446"/>
      <c r="BI113" s="446"/>
      <c r="BJ113" s="446"/>
      <c r="BK113" s="446"/>
      <c r="BL113" s="446"/>
    </row>
    <row r="114" spans="4:64" x14ac:dyDescent="0.2">
      <c r="D114" s="446"/>
      <c r="E114" s="446"/>
      <c r="F114" s="446"/>
      <c r="G114" s="446"/>
      <c r="H114" s="446"/>
      <c r="I114" s="446"/>
      <c r="J114" s="446"/>
      <c r="K114" s="446"/>
      <c r="L114" s="446"/>
      <c r="M114" s="446"/>
      <c r="N114" s="446"/>
      <c r="O114" s="446"/>
      <c r="P114" s="446"/>
      <c r="Q114" s="446"/>
      <c r="R114" s="446"/>
      <c r="S114" s="446"/>
      <c r="T114" s="446"/>
      <c r="U114" s="446"/>
      <c r="V114" s="446"/>
      <c r="W114" s="446"/>
      <c r="X114" s="446"/>
      <c r="Y114" s="446"/>
      <c r="Z114" s="446"/>
      <c r="AA114" s="446"/>
      <c r="AB114" s="446"/>
      <c r="AC114" s="446"/>
      <c r="AD114" s="446"/>
      <c r="AE114" s="446"/>
      <c r="AF114" s="446"/>
      <c r="AG114" s="446"/>
      <c r="AH114" s="446"/>
      <c r="AI114" s="446"/>
      <c r="AJ114" s="446"/>
      <c r="AK114" s="446"/>
      <c r="AL114" s="446"/>
      <c r="AM114" s="446"/>
      <c r="AN114" s="446"/>
      <c r="AO114" s="446"/>
      <c r="AP114" s="446"/>
      <c r="AQ114" s="446"/>
      <c r="AR114" s="446"/>
      <c r="AS114" s="446"/>
      <c r="AT114" s="446"/>
      <c r="AU114" s="446"/>
      <c r="AV114" s="446"/>
      <c r="AW114" s="446"/>
      <c r="AX114" s="446"/>
      <c r="AY114" s="446"/>
      <c r="AZ114" s="446"/>
      <c r="BA114" s="446"/>
      <c r="BB114" s="446"/>
      <c r="BC114" s="446"/>
      <c r="BD114" s="446"/>
      <c r="BE114" s="446"/>
      <c r="BF114" s="446"/>
      <c r="BG114" s="446"/>
      <c r="BH114" s="446"/>
      <c r="BI114" s="446"/>
      <c r="BJ114" s="446"/>
      <c r="BK114" s="446"/>
      <c r="BL114" s="446"/>
    </row>
    <row r="115" spans="4:64" x14ac:dyDescent="0.2">
      <c r="D115" s="446"/>
      <c r="E115" s="446"/>
      <c r="F115" s="446"/>
      <c r="G115" s="446"/>
      <c r="H115" s="446"/>
      <c r="I115" s="446"/>
      <c r="J115" s="446"/>
      <c r="K115" s="446"/>
      <c r="L115" s="446"/>
      <c r="M115" s="446"/>
      <c r="N115" s="446"/>
      <c r="O115" s="446"/>
      <c r="P115" s="446"/>
      <c r="Q115" s="446"/>
      <c r="R115" s="446"/>
      <c r="S115" s="446"/>
      <c r="T115" s="446"/>
      <c r="U115" s="446"/>
      <c r="V115" s="446"/>
      <c r="W115" s="446"/>
      <c r="X115" s="446"/>
      <c r="Y115" s="446"/>
      <c r="Z115" s="446"/>
      <c r="AA115" s="446"/>
      <c r="AB115" s="446"/>
      <c r="AC115" s="446"/>
      <c r="AD115" s="446"/>
      <c r="AE115" s="446"/>
      <c r="AF115" s="446"/>
      <c r="AG115" s="446"/>
      <c r="AH115" s="446"/>
      <c r="AI115" s="446"/>
      <c r="AJ115" s="446"/>
      <c r="AK115" s="446"/>
      <c r="AL115" s="446"/>
      <c r="AM115" s="446"/>
      <c r="AN115" s="446"/>
      <c r="AO115" s="446"/>
      <c r="AP115" s="446"/>
      <c r="AQ115" s="446"/>
      <c r="AR115" s="446"/>
      <c r="AS115" s="446"/>
      <c r="AT115" s="446"/>
      <c r="AU115" s="446"/>
      <c r="AV115" s="446"/>
      <c r="AW115" s="446"/>
      <c r="AX115" s="446"/>
      <c r="AY115" s="446"/>
      <c r="AZ115" s="446"/>
      <c r="BA115" s="446"/>
      <c r="BB115" s="446"/>
      <c r="BC115" s="446"/>
      <c r="BD115" s="446"/>
      <c r="BE115" s="446"/>
      <c r="BF115" s="446"/>
      <c r="BG115" s="446"/>
      <c r="BH115" s="446"/>
      <c r="BI115" s="446"/>
      <c r="BJ115" s="446"/>
      <c r="BK115" s="446"/>
      <c r="BL115" s="446"/>
    </row>
    <row r="116" spans="4:64" x14ac:dyDescent="0.2">
      <c r="D116" s="446"/>
      <c r="E116" s="446"/>
      <c r="F116" s="446"/>
      <c r="G116" s="446"/>
      <c r="H116" s="446"/>
      <c r="I116" s="446"/>
      <c r="J116" s="446"/>
      <c r="K116" s="446"/>
      <c r="L116" s="446"/>
      <c r="M116" s="446"/>
      <c r="N116" s="446"/>
      <c r="O116" s="446"/>
      <c r="P116" s="446"/>
      <c r="Q116" s="446"/>
      <c r="R116" s="446"/>
      <c r="S116" s="446"/>
      <c r="T116" s="446"/>
      <c r="U116" s="446"/>
      <c r="V116" s="446"/>
      <c r="W116" s="446"/>
      <c r="X116" s="446"/>
      <c r="Y116" s="446"/>
      <c r="Z116" s="446"/>
      <c r="AA116" s="446"/>
      <c r="AB116" s="446"/>
      <c r="AC116" s="446"/>
      <c r="AD116" s="446"/>
      <c r="AE116" s="446"/>
      <c r="AF116" s="446"/>
      <c r="AG116" s="446"/>
      <c r="AH116" s="446"/>
      <c r="AI116" s="446"/>
      <c r="AJ116" s="446"/>
      <c r="AK116" s="446"/>
      <c r="AL116" s="446"/>
      <c r="AM116" s="446"/>
      <c r="AN116" s="446"/>
      <c r="AO116" s="446"/>
      <c r="AP116" s="446"/>
      <c r="AQ116" s="446"/>
      <c r="AR116" s="446"/>
      <c r="AS116" s="446"/>
      <c r="AT116" s="446"/>
      <c r="AU116" s="446"/>
      <c r="AV116" s="446"/>
      <c r="AW116" s="446"/>
      <c r="AX116" s="446"/>
      <c r="AY116" s="446"/>
      <c r="AZ116" s="446"/>
      <c r="BA116" s="446"/>
      <c r="BB116" s="446"/>
      <c r="BC116" s="446"/>
      <c r="BD116" s="446"/>
      <c r="BE116" s="446"/>
      <c r="BF116" s="446"/>
      <c r="BG116" s="446"/>
      <c r="BH116" s="446"/>
      <c r="BI116" s="446"/>
      <c r="BJ116" s="446"/>
      <c r="BK116" s="446"/>
      <c r="BL116" s="446"/>
    </row>
    <row r="117" spans="4:64" x14ac:dyDescent="0.2">
      <c r="D117" s="446"/>
      <c r="E117" s="446"/>
      <c r="F117" s="446"/>
      <c r="G117" s="446"/>
      <c r="H117" s="446"/>
      <c r="I117" s="446"/>
      <c r="J117" s="446"/>
      <c r="K117" s="446"/>
      <c r="L117" s="446"/>
      <c r="M117" s="446"/>
      <c r="N117" s="446"/>
      <c r="O117" s="446"/>
      <c r="P117" s="446"/>
      <c r="Q117" s="446"/>
      <c r="R117" s="446"/>
      <c r="S117" s="446"/>
      <c r="T117" s="446"/>
      <c r="U117" s="446"/>
      <c r="V117" s="446"/>
      <c r="W117" s="446"/>
      <c r="X117" s="446"/>
      <c r="Y117" s="446"/>
      <c r="Z117" s="446"/>
      <c r="AA117" s="446"/>
      <c r="AB117" s="446"/>
      <c r="AC117" s="446"/>
      <c r="AD117" s="446"/>
      <c r="AE117" s="446"/>
      <c r="AF117" s="446"/>
      <c r="AG117" s="446"/>
      <c r="AH117" s="446"/>
      <c r="AI117" s="446"/>
      <c r="AJ117" s="446"/>
      <c r="AK117" s="446"/>
      <c r="AL117" s="446"/>
      <c r="AM117" s="446"/>
      <c r="AN117" s="446"/>
      <c r="AO117" s="446"/>
      <c r="AP117" s="446"/>
      <c r="AQ117" s="446"/>
      <c r="AR117" s="446"/>
      <c r="AS117" s="446"/>
      <c r="AT117" s="446"/>
      <c r="AU117" s="446"/>
      <c r="AV117" s="446"/>
      <c r="AW117" s="446"/>
      <c r="AX117" s="446"/>
      <c r="AY117" s="446"/>
      <c r="AZ117" s="446"/>
      <c r="BA117" s="446"/>
      <c r="BB117" s="446"/>
      <c r="BC117" s="446"/>
      <c r="BD117" s="446"/>
      <c r="BE117" s="446"/>
      <c r="BF117" s="446"/>
      <c r="BG117" s="446"/>
      <c r="BH117" s="446"/>
      <c r="BI117" s="446"/>
      <c r="BJ117" s="446"/>
      <c r="BK117" s="446"/>
      <c r="BL117" s="446"/>
    </row>
    <row r="118" spans="4:64" x14ac:dyDescent="0.2">
      <c r="D118" s="446"/>
      <c r="E118" s="446"/>
      <c r="F118" s="446"/>
      <c r="G118" s="446"/>
      <c r="H118" s="446"/>
      <c r="I118" s="446"/>
      <c r="J118" s="446"/>
      <c r="K118" s="446"/>
      <c r="L118" s="446"/>
      <c r="M118" s="446"/>
      <c r="N118" s="446"/>
      <c r="O118" s="446"/>
      <c r="P118" s="446"/>
      <c r="Q118" s="446"/>
      <c r="R118" s="446"/>
      <c r="S118" s="446"/>
      <c r="T118" s="446"/>
      <c r="U118" s="446"/>
      <c r="V118" s="446"/>
      <c r="W118" s="446"/>
      <c r="X118" s="446"/>
      <c r="Y118" s="446"/>
      <c r="Z118" s="446"/>
      <c r="AA118" s="446"/>
      <c r="AB118" s="446"/>
      <c r="AC118" s="446"/>
      <c r="AD118" s="446"/>
      <c r="AE118" s="446"/>
      <c r="AF118" s="446"/>
      <c r="AG118" s="446"/>
      <c r="AH118" s="446"/>
      <c r="AI118" s="446"/>
      <c r="AJ118" s="446"/>
      <c r="AK118" s="446"/>
      <c r="AL118" s="446"/>
      <c r="AM118" s="446"/>
      <c r="AN118" s="446"/>
      <c r="AO118" s="446"/>
      <c r="AP118" s="446"/>
      <c r="AQ118" s="446"/>
      <c r="AR118" s="446"/>
      <c r="AS118" s="446"/>
      <c r="AT118" s="446"/>
      <c r="AU118" s="446"/>
      <c r="AV118" s="446"/>
      <c r="AW118" s="446"/>
      <c r="AX118" s="446"/>
      <c r="AY118" s="446"/>
      <c r="AZ118" s="446"/>
      <c r="BA118" s="446"/>
      <c r="BB118" s="446"/>
      <c r="BC118" s="446"/>
      <c r="BD118" s="446"/>
      <c r="BE118" s="446"/>
      <c r="BF118" s="446"/>
      <c r="BG118" s="446"/>
      <c r="BH118" s="446"/>
      <c r="BI118" s="446"/>
      <c r="BJ118" s="446"/>
      <c r="BK118" s="446"/>
      <c r="BL118" s="446"/>
    </row>
    <row r="119" spans="4:64" x14ac:dyDescent="0.2">
      <c r="D119" s="446"/>
      <c r="E119" s="446"/>
      <c r="F119" s="446"/>
      <c r="G119" s="446"/>
      <c r="H119" s="446"/>
      <c r="I119" s="446"/>
      <c r="J119" s="446"/>
      <c r="K119" s="446"/>
      <c r="L119" s="446"/>
      <c r="M119" s="446"/>
      <c r="N119" s="446"/>
      <c r="O119" s="446"/>
      <c r="P119" s="446"/>
      <c r="Q119" s="446"/>
      <c r="R119" s="446"/>
      <c r="S119" s="446"/>
      <c r="T119" s="446"/>
      <c r="U119" s="446"/>
      <c r="V119" s="446"/>
      <c r="W119" s="446"/>
      <c r="X119" s="446"/>
      <c r="Y119" s="446"/>
      <c r="Z119" s="446"/>
      <c r="AA119" s="446"/>
      <c r="AB119" s="446"/>
      <c r="AC119" s="446"/>
      <c r="AD119" s="446"/>
      <c r="AE119" s="446"/>
      <c r="AF119" s="446"/>
      <c r="AG119" s="446"/>
      <c r="AH119" s="446"/>
      <c r="AI119" s="446"/>
      <c r="AJ119" s="446"/>
      <c r="AK119" s="446"/>
      <c r="AL119" s="446"/>
      <c r="AM119" s="446"/>
      <c r="AN119" s="446"/>
      <c r="AO119" s="446"/>
      <c r="AP119" s="446"/>
      <c r="AQ119" s="446"/>
      <c r="AR119" s="446"/>
      <c r="AS119" s="446"/>
      <c r="AT119" s="446"/>
      <c r="AU119" s="446"/>
      <c r="AV119" s="446"/>
      <c r="AW119" s="446"/>
      <c r="AX119" s="446"/>
      <c r="AY119" s="446"/>
      <c r="AZ119" s="446"/>
      <c r="BA119" s="446"/>
      <c r="BB119" s="446"/>
      <c r="BC119" s="446"/>
      <c r="BD119" s="446"/>
      <c r="BE119" s="446"/>
      <c r="BF119" s="446"/>
      <c r="BG119" s="446"/>
      <c r="BH119" s="446"/>
      <c r="BI119" s="446"/>
      <c r="BJ119" s="446"/>
      <c r="BK119" s="446"/>
      <c r="BL119" s="446"/>
    </row>
    <row r="120" spans="4:64" x14ac:dyDescent="0.2">
      <c r="D120" s="446"/>
      <c r="E120" s="446"/>
      <c r="F120" s="446"/>
      <c r="G120" s="446"/>
      <c r="H120" s="446"/>
      <c r="I120" s="446"/>
      <c r="J120" s="446"/>
      <c r="K120" s="446"/>
      <c r="L120" s="446"/>
      <c r="M120" s="446"/>
      <c r="N120" s="446"/>
      <c r="O120" s="446"/>
      <c r="P120" s="446"/>
      <c r="Q120" s="446"/>
      <c r="R120" s="446"/>
      <c r="S120" s="446"/>
      <c r="T120" s="446"/>
      <c r="U120" s="446"/>
      <c r="V120" s="446"/>
      <c r="W120" s="446"/>
      <c r="X120" s="446"/>
      <c r="Y120" s="446"/>
      <c r="Z120" s="446"/>
      <c r="AA120" s="446"/>
      <c r="AB120" s="446"/>
      <c r="AC120" s="446"/>
      <c r="AD120" s="446"/>
      <c r="AE120" s="446"/>
      <c r="AF120" s="446"/>
      <c r="AG120" s="446"/>
      <c r="AH120" s="446"/>
      <c r="AI120" s="446"/>
      <c r="AJ120" s="446"/>
      <c r="AK120" s="446"/>
      <c r="AL120" s="446"/>
      <c r="AM120" s="446"/>
      <c r="AN120" s="446"/>
      <c r="AO120" s="446"/>
      <c r="AP120" s="446"/>
      <c r="AQ120" s="446"/>
      <c r="AR120" s="446"/>
      <c r="AS120" s="446"/>
      <c r="AT120" s="446"/>
      <c r="AU120" s="446"/>
      <c r="AV120" s="446"/>
      <c r="AW120" s="446"/>
      <c r="AX120" s="446"/>
      <c r="AY120" s="446"/>
      <c r="AZ120" s="446"/>
      <c r="BA120" s="446"/>
      <c r="BB120" s="446"/>
      <c r="BC120" s="446"/>
      <c r="BD120" s="446"/>
      <c r="BE120" s="446"/>
      <c r="BF120" s="446"/>
      <c r="BG120" s="446"/>
      <c r="BH120" s="446"/>
      <c r="BI120" s="446"/>
      <c r="BJ120" s="446"/>
      <c r="BK120" s="446"/>
      <c r="BL120" s="446"/>
    </row>
    <row r="121" spans="4:64" x14ac:dyDescent="0.2">
      <c r="D121" s="446"/>
      <c r="E121" s="446"/>
      <c r="F121" s="446"/>
      <c r="G121" s="446"/>
      <c r="H121" s="446"/>
      <c r="I121" s="446"/>
      <c r="J121" s="446"/>
      <c r="K121" s="446"/>
      <c r="L121" s="446"/>
      <c r="M121" s="446"/>
      <c r="N121" s="446"/>
      <c r="O121" s="446"/>
      <c r="P121" s="446"/>
      <c r="Q121" s="446"/>
      <c r="R121" s="446"/>
      <c r="S121" s="446"/>
      <c r="T121" s="446"/>
      <c r="U121" s="446"/>
      <c r="V121" s="446"/>
      <c r="W121" s="446"/>
      <c r="X121" s="446"/>
      <c r="Y121" s="446"/>
      <c r="Z121" s="446"/>
      <c r="AA121" s="446"/>
      <c r="AB121" s="446"/>
      <c r="AC121" s="446"/>
      <c r="AD121" s="446"/>
      <c r="AE121" s="446"/>
      <c r="AF121" s="446"/>
      <c r="AG121" s="446"/>
      <c r="AH121" s="446"/>
      <c r="AI121" s="446"/>
      <c r="AJ121" s="446"/>
      <c r="AK121" s="446"/>
      <c r="AL121" s="446"/>
      <c r="AM121" s="446"/>
      <c r="AN121" s="446"/>
      <c r="AO121" s="446"/>
      <c r="AP121" s="446"/>
      <c r="AQ121" s="446"/>
      <c r="AR121" s="446"/>
      <c r="AS121" s="446"/>
      <c r="AT121" s="446"/>
      <c r="AU121" s="446"/>
      <c r="AV121" s="446"/>
      <c r="AW121" s="446"/>
      <c r="AX121" s="446"/>
      <c r="AY121" s="446"/>
      <c r="AZ121" s="446"/>
      <c r="BA121" s="446"/>
      <c r="BB121" s="446"/>
      <c r="BC121" s="446"/>
      <c r="BD121" s="446"/>
      <c r="BE121" s="446"/>
      <c r="BF121" s="446"/>
      <c r="BG121" s="446"/>
      <c r="BH121" s="446"/>
      <c r="BI121" s="446"/>
      <c r="BJ121" s="446"/>
      <c r="BK121" s="446"/>
      <c r="BL121" s="446"/>
    </row>
    <row r="122" spans="4:64" x14ac:dyDescent="0.2">
      <c r="D122" s="446"/>
      <c r="E122" s="446"/>
      <c r="F122" s="446"/>
      <c r="G122" s="446"/>
      <c r="H122" s="446"/>
      <c r="I122" s="446"/>
      <c r="J122" s="446"/>
      <c r="K122" s="446"/>
      <c r="L122" s="446"/>
      <c r="M122" s="446"/>
      <c r="N122" s="446"/>
      <c r="O122" s="446"/>
      <c r="P122" s="446"/>
      <c r="Q122" s="446"/>
      <c r="R122" s="446"/>
      <c r="S122" s="446"/>
      <c r="T122" s="446"/>
      <c r="U122" s="446"/>
      <c r="V122" s="446"/>
      <c r="W122" s="446"/>
      <c r="X122" s="446"/>
      <c r="Y122" s="446"/>
      <c r="Z122" s="446"/>
      <c r="AA122" s="446"/>
      <c r="AB122" s="446"/>
      <c r="AC122" s="446"/>
      <c r="AD122" s="446"/>
      <c r="AE122" s="446"/>
      <c r="AF122" s="446"/>
      <c r="AG122" s="446"/>
      <c r="AH122" s="446"/>
      <c r="AI122" s="446"/>
      <c r="AJ122" s="446"/>
      <c r="AK122" s="446"/>
      <c r="AL122" s="446"/>
      <c r="AM122" s="446"/>
      <c r="AN122" s="446"/>
      <c r="AO122" s="446"/>
      <c r="AP122" s="446"/>
      <c r="AQ122" s="446"/>
      <c r="AR122" s="446"/>
      <c r="AS122" s="446"/>
      <c r="AT122" s="446"/>
      <c r="AU122" s="446"/>
      <c r="AV122" s="446"/>
      <c r="AW122" s="446"/>
      <c r="AX122" s="446"/>
      <c r="AY122" s="446"/>
      <c r="AZ122" s="446"/>
      <c r="BA122" s="446"/>
      <c r="BB122" s="446"/>
      <c r="BC122" s="446"/>
      <c r="BD122" s="446"/>
      <c r="BE122" s="446"/>
      <c r="BF122" s="446"/>
      <c r="BG122" s="446"/>
      <c r="BH122" s="446"/>
      <c r="BI122" s="446"/>
      <c r="BJ122" s="446"/>
      <c r="BK122" s="446"/>
      <c r="BL122" s="446"/>
    </row>
    <row r="123" spans="4:64" x14ac:dyDescent="0.2">
      <c r="D123" s="446"/>
      <c r="E123" s="446"/>
      <c r="F123" s="446"/>
      <c r="G123" s="446"/>
      <c r="H123" s="446"/>
      <c r="I123" s="446"/>
      <c r="J123" s="446"/>
      <c r="K123" s="446"/>
      <c r="L123" s="446"/>
      <c r="M123" s="446"/>
      <c r="N123" s="446"/>
      <c r="O123" s="446"/>
      <c r="P123" s="446"/>
      <c r="Q123" s="446"/>
      <c r="R123" s="446"/>
      <c r="S123" s="446"/>
      <c r="T123" s="446"/>
      <c r="U123" s="446"/>
      <c r="V123" s="446"/>
      <c r="W123" s="446"/>
      <c r="X123" s="446"/>
      <c r="Y123" s="446"/>
      <c r="Z123" s="446"/>
      <c r="AA123" s="446"/>
      <c r="AB123" s="446"/>
      <c r="AC123" s="446"/>
      <c r="AD123" s="446"/>
      <c r="AE123" s="446"/>
      <c r="AF123" s="446"/>
      <c r="AG123" s="446"/>
      <c r="AH123" s="446"/>
      <c r="AI123" s="446"/>
      <c r="AJ123" s="446"/>
      <c r="AK123" s="446"/>
      <c r="AL123" s="446"/>
      <c r="AM123" s="446"/>
      <c r="AN123" s="446"/>
      <c r="AO123" s="446"/>
      <c r="AP123" s="446"/>
      <c r="AQ123" s="446"/>
      <c r="AR123" s="446"/>
      <c r="AS123" s="446"/>
      <c r="AT123" s="446"/>
      <c r="AU123" s="446"/>
      <c r="AV123" s="446"/>
      <c r="AW123" s="446"/>
      <c r="AX123" s="446"/>
      <c r="AY123" s="446"/>
      <c r="AZ123" s="446"/>
      <c r="BA123" s="446"/>
      <c r="BB123" s="446"/>
      <c r="BC123" s="446"/>
      <c r="BD123" s="446"/>
      <c r="BE123" s="446"/>
      <c r="BF123" s="446"/>
      <c r="BG123" s="446"/>
      <c r="BH123" s="446"/>
      <c r="BI123" s="446"/>
      <c r="BJ123" s="446"/>
      <c r="BK123" s="446"/>
      <c r="BL123" s="446"/>
    </row>
    <row r="124" spans="4:64" x14ac:dyDescent="0.2">
      <c r="D124" s="446"/>
      <c r="E124" s="446"/>
      <c r="F124" s="446"/>
      <c r="G124" s="446"/>
      <c r="H124" s="446"/>
      <c r="I124" s="446"/>
      <c r="J124" s="446"/>
      <c r="K124" s="446"/>
      <c r="L124" s="446"/>
      <c r="M124" s="446"/>
      <c r="N124" s="446"/>
      <c r="O124" s="446"/>
      <c r="P124" s="446"/>
      <c r="Q124" s="446"/>
      <c r="R124" s="446"/>
      <c r="S124" s="446"/>
      <c r="T124" s="446"/>
      <c r="U124" s="446"/>
      <c r="V124" s="446"/>
      <c r="W124" s="446"/>
      <c r="X124" s="446"/>
      <c r="Y124" s="446"/>
      <c r="Z124" s="446"/>
      <c r="AA124" s="446"/>
      <c r="AB124" s="446"/>
      <c r="AC124" s="446"/>
      <c r="AD124" s="446"/>
      <c r="AE124" s="446"/>
      <c r="AF124" s="446"/>
      <c r="AG124" s="446"/>
      <c r="AH124" s="446"/>
      <c r="AI124" s="446"/>
      <c r="AJ124" s="446"/>
      <c r="AK124" s="446"/>
      <c r="AL124" s="446"/>
      <c r="AM124" s="446"/>
      <c r="AN124" s="446"/>
      <c r="AO124" s="446"/>
      <c r="AP124" s="446"/>
      <c r="AQ124" s="446"/>
      <c r="AR124" s="446"/>
      <c r="AS124" s="446"/>
      <c r="AT124" s="446"/>
      <c r="AU124" s="446"/>
      <c r="AV124" s="446"/>
      <c r="AW124" s="446"/>
      <c r="AX124" s="446"/>
      <c r="AY124" s="446"/>
      <c r="AZ124" s="446"/>
      <c r="BA124" s="446"/>
      <c r="BB124" s="446"/>
      <c r="BC124" s="446"/>
      <c r="BD124" s="446"/>
      <c r="BE124" s="446"/>
      <c r="BF124" s="446"/>
      <c r="BG124" s="446"/>
      <c r="BH124" s="446"/>
      <c r="BI124" s="446"/>
      <c r="BJ124" s="446"/>
      <c r="BK124" s="446"/>
      <c r="BL124" s="446"/>
    </row>
    <row r="125" spans="4:64" x14ac:dyDescent="0.2">
      <c r="D125" s="446"/>
      <c r="E125" s="446"/>
      <c r="F125" s="446"/>
      <c r="G125" s="446"/>
      <c r="H125" s="446"/>
      <c r="I125" s="446"/>
      <c r="J125" s="446"/>
      <c r="K125" s="446"/>
      <c r="L125" s="446"/>
      <c r="M125" s="446"/>
      <c r="N125" s="446"/>
      <c r="O125" s="446"/>
      <c r="P125" s="446"/>
      <c r="Q125" s="446"/>
      <c r="R125" s="446"/>
      <c r="S125" s="446"/>
      <c r="T125" s="446"/>
      <c r="U125" s="446"/>
      <c r="V125" s="446"/>
      <c r="W125" s="446"/>
      <c r="X125" s="446"/>
      <c r="Y125" s="446"/>
      <c r="Z125" s="446"/>
      <c r="AA125" s="446"/>
      <c r="AB125" s="446"/>
      <c r="AC125" s="446"/>
      <c r="AD125" s="446"/>
      <c r="AE125" s="446"/>
      <c r="AF125" s="446"/>
      <c r="AG125" s="446"/>
      <c r="AH125" s="446"/>
      <c r="AI125" s="446"/>
      <c r="AJ125" s="446"/>
      <c r="AK125" s="446"/>
      <c r="AL125" s="446"/>
      <c r="AM125" s="446"/>
      <c r="AN125" s="446"/>
      <c r="AO125" s="446"/>
      <c r="AP125" s="446"/>
      <c r="AQ125" s="446"/>
      <c r="AR125" s="446"/>
      <c r="AS125" s="446"/>
      <c r="AT125" s="446"/>
      <c r="AU125" s="446"/>
      <c r="AV125" s="446"/>
      <c r="AW125" s="446"/>
      <c r="AX125" s="446"/>
      <c r="AY125" s="446"/>
      <c r="AZ125" s="446"/>
      <c r="BA125" s="446"/>
      <c r="BB125" s="446"/>
      <c r="BC125" s="446"/>
      <c r="BD125" s="446"/>
      <c r="BE125" s="446"/>
      <c r="BF125" s="446"/>
      <c r="BG125" s="446"/>
      <c r="BH125" s="446"/>
      <c r="BI125" s="446"/>
      <c r="BJ125" s="446"/>
      <c r="BK125" s="446"/>
      <c r="BL125" s="446"/>
    </row>
    <row r="126" spans="4:64" x14ac:dyDescent="0.2">
      <c r="D126" s="446"/>
      <c r="E126" s="446"/>
      <c r="F126" s="446"/>
      <c r="G126" s="446"/>
      <c r="H126" s="446"/>
      <c r="I126" s="446"/>
      <c r="J126" s="446"/>
      <c r="K126" s="446"/>
      <c r="L126" s="446"/>
      <c r="M126" s="446"/>
      <c r="N126" s="446"/>
      <c r="O126" s="446"/>
      <c r="P126" s="446"/>
      <c r="Q126" s="446"/>
      <c r="R126" s="446"/>
      <c r="S126" s="446"/>
      <c r="T126" s="446"/>
      <c r="U126" s="446"/>
      <c r="V126" s="446"/>
      <c r="W126" s="446"/>
      <c r="X126" s="446"/>
      <c r="Y126" s="446"/>
      <c r="Z126" s="446"/>
      <c r="AA126" s="446"/>
      <c r="AB126" s="446"/>
      <c r="AC126" s="446"/>
      <c r="AD126" s="446"/>
      <c r="AE126" s="446"/>
      <c r="AF126" s="446"/>
      <c r="AG126" s="446"/>
      <c r="AH126" s="446"/>
      <c r="AI126" s="446"/>
      <c r="AJ126" s="446"/>
      <c r="AK126" s="446"/>
      <c r="AL126" s="446"/>
      <c r="AM126" s="446"/>
      <c r="AN126" s="446"/>
      <c r="AO126" s="446"/>
      <c r="AP126" s="446"/>
      <c r="AQ126" s="446"/>
      <c r="AR126" s="446"/>
      <c r="AS126" s="446"/>
      <c r="AT126" s="446"/>
      <c r="AU126" s="446"/>
      <c r="AV126" s="446"/>
      <c r="AW126" s="446"/>
      <c r="AX126" s="446"/>
      <c r="AY126" s="446"/>
      <c r="AZ126" s="446"/>
      <c r="BA126" s="446"/>
      <c r="BB126" s="446"/>
      <c r="BC126" s="446"/>
      <c r="BD126" s="446"/>
      <c r="BE126" s="446"/>
      <c r="BF126" s="446"/>
      <c r="BG126" s="446"/>
      <c r="BH126" s="446"/>
      <c r="BI126" s="446"/>
      <c r="BJ126" s="446"/>
      <c r="BK126" s="446"/>
      <c r="BL126" s="446"/>
    </row>
    <row r="127" spans="4:64" x14ac:dyDescent="0.2">
      <c r="D127" s="446"/>
      <c r="E127" s="446"/>
      <c r="F127" s="446"/>
      <c r="G127" s="446"/>
      <c r="H127" s="446"/>
      <c r="I127" s="446"/>
      <c r="J127" s="446"/>
      <c r="K127" s="446"/>
      <c r="L127" s="446"/>
      <c r="M127" s="446"/>
      <c r="N127" s="446"/>
      <c r="O127" s="446"/>
      <c r="P127" s="446"/>
      <c r="Q127" s="446"/>
      <c r="R127" s="446"/>
      <c r="S127" s="446"/>
      <c r="T127" s="446"/>
      <c r="U127" s="446"/>
      <c r="V127" s="446"/>
      <c r="W127" s="446"/>
      <c r="X127" s="446"/>
      <c r="Y127" s="446"/>
      <c r="Z127" s="446"/>
      <c r="AA127" s="446"/>
      <c r="AB127" s="446"/>
      <c r="AC127" s="446"/>
      <c r="AD127" s="446"/>
      <c r="AE127" s="446"/>
      <c r="AF127" s="446"/>
      <c r="AG127" s="446"/>
      <c r="AH127" s="446"/>
      <c r="AI127" s="446"/>
      <c r="AJ127" s="446"/>
      <c r="AK127" s="446"/>
      <c r="AL127" s="446"/>
      <c r="AM127" s="446"/>
      <c r="AN127" s="446"/>
      <c r="AO127" s="446"/>
      <c r="AP127" s="446"/>
      <c r="AQ127" s="446"/>
      <c r="AR127" s="446"/>
      <c r="AS127" s="446"/>
      <c r="AT127" s="446"/>
      <c r="AU127" s="446"/>
      <c r="AV127" s="446"/>
      <c r="AW127" s="446"/>
      <c r="AX127" s="446"/>
      <c r="AY127" s="446"/>
      <c r="AZ127" s="446"/>
      <c r="BA127" s="446"/>
      <c r="BB127" s="446"/>
      <c r="BC127" s="446"/>
      <c r="BD127" s="446"/>
      <c r="BE127" s="446"/>
      <c r="BF127" s="446"/>
      <c r="BG127" s="446"/>
      <c r="BH127" s="446"/>
      <c r="BI127" s="446"/>
      <c r="BJ127" s="446"/>
      <c r="BK127" s="446"/>
      <c r="BL127" s="446"/>
    </row>
    <row r="128" spans="4:64" x14ac:dyDescent="0.2">
      <c r="D128" s="446"/>
      <c r="E128" s="446"/>
      <c r="F128" s="446"/>
      <c r="G128" s="446"/>
      <c r="H128" s="446"/>
      <c r="I128" s="446"/>
      <c r="J128" s="446"/>
      <c r="K128" s="446"/>
      <c r="L128" s="446"/>
      <c r="M128" s="446"/>
      <c r="N128" s="446"/>
      <c r="O128" s="446"/>
      <c r="P128" s="446"/>
      <c r="Q128" s="446"/>
      <c r="R128" s="446"/>
      <c r="S128" s="446"/>
      <c r="T128" s="446"/>
      <c r="U128" s="446"/>
      <c r="V128" s="446"/>
      <c r="W128" s="446"/>
      <c r="X128" s="446"/>
      <c r="Y128" s="446"/>
      <c r="Z128" s="446"/>
      <c r="AA128" s="446"/>
      <c r="AB128" s="446"/>
      <c r="AC128" s="446"/>
      <c r="AD128" s="446"/>
      <c r="AE128" s="446"/>
      <c r="AF128" s="446"/>
      <c r="AG128" s="446"/>
      <c r="AH128" s="446"/>
      <c r="AI128" s="446"/>
      <c r="AJ128" s="446"/>
      <c r="AK128" s="446"/>
      <c r="AL128" s="446"/>
      <c r="AM128" s="446"/>
      <c r="AN128" s="446"/>
      <c r="AO128" s="446"/>
      <c r="AP128" s="446"/>
      <c r="AQ128" s="446"/>
      <c r="AR128" s="446"/>
      <c r="AS128" s="446"/>
      <c r="AT128" s="446"/>
      <c r="AU128" s="446"/>
      <c r="AV128" s="446"/>
      <c r="AW128" s="446"/>
      <c r="AX128" s="446"/>
      <c r="AY128" s="446"/>
      <c r="AZ128" s="446"/>
      <c r="BA128" s="446"/>
      <c r="BB128" s="446"/>
      <c r="BC128" s="446"/>
      <c r="BD128" s="446"/>
      <c r="BE128" s="446"/>
      <c r="BF128" s="446"/>
      <c r="BG128" s="446"/>
      <c r="BH128" s="446"/>
      <c r="BI128" s="446"/>
      <c r="BJ128" s="446"/>
      <c r="BK128" s="446"/>
      <c r="BL128" s="446"/>
    </row>
    <row r="129" spans="4:64" x14ac:dyDescent="0.2">
      <c r="D129" s="446"/>
      <c r="E129" s="446"/>
      <c r="F129" s="446"/>
      <c r="G129" s="446"/>
      <c r="H129" s="446"/>
      <c r="I129" s="446"/>
      <c r="J129" s="446"/>
      <c r="K129" s="446"/>
      <c r="L129" s="446"/>
      <c r="M129" s="446"/>
      <c r="N129" s="446"/>
      <c r="O129" s="446"/>
      <c r="P129" s="446"/>
      <c r="Q129" s="446"/>
      <c r="R129" s="446"/>
      <c r="S129" s="446"/>
      <c r="T129" s="446"/>
      <c r="U129" s="446"/>
      <c r="V129" s="446"/>
      <c r="W129" s="446"/>
      <c r="X129" s="446"/>
      <c r="Y129" s="446"/>
      <c r="Z129" s="446"/>
      <c r="AA129" s="446"/>
      <c r="AB129" s="446"/>
      <c r="AC129" s="446"/>
      <c r="AD129" s="446"/>
      <c r="AE129" s="446"/>
      <c r="AF129" s="446"/>
      <c r="AG129" s="446"/>
      <c r="AH129" s="446"/>
      <c r="AI129" s="446"/>
      <c r="AJ129" s="446"/>
      <c r="AK129" s="446"/>
      <c r="AL129" s="446"/>
      <c r="AM129" s="446"/>
      <c r="AN129" s="446"/>
      <c r="AO129" s="446"/>
      <c r="AP129" s="446"/>
      <c r="AQ129" s="446"/>
      <c r="AR129" s="446"/>
      <c r="AS129" s="446"/>
      <c r="AT129" s="446"/>
      <c r="AU129" s="446"/>
      <c r="AV129" s="446"/>
      <c r="AW129" s="446"/>
      <c r="AX129" s="446"/>
      <c r="AY129" s="446"/>
      <c r="AZ129" s="446"/>
      <c r="BA129" s="446"/>
      <c r="BB129" s="446"/>
      <c r="BC129" s="446"/>
      <c r="BD129" s="446"/>
      <c r="BE129" s="446"/>
      <c r="BF129" s="446"/>
      <c r="BG129" s="446"/>
      <c r="BH129" s="446"/>
      <c r="BI129" s="446"/>
      <c r="BJ129" s="446"/>
      <c r="BK129" s="446"/>
      <c r="BL129" s="446"/>
    </row>
    <row r="130" spans="4:64" x14ac:dyDescent="0.2">
      <c r="D130" s="446"/>
      <c r="E130" s="446"/>
      <c r="F130" s="446"/>
      <c r="G130" s="446"/>
      <c r="H130" s="446"/>
      <c r="I130" s="446"/>
      <c r="J130" s="446"/>
      <c r="K130" s="446"/>
      <c r="L130" s="446"/>
      <c r="M130" s="446"/>
      <c r="N130" s="446"/>
      <c r="O130" s="446"/>
      <c r="P130" s="446"/>
      <c r="Q130" s="446"/>
      <c r="R130" s="446"/>
      <c r="S130" s="446"/>
      <c r="T130" s="446"/>
      <c r="U130" s="446"/>
      <c r="V130" s="446"/>
      <c r="W130" s="446"/>
      <c r="X130" s="446"/>
      <c r="Y130" s="446"/>
      <c r="Z130" s="446"/>
      <c r="AA130" s="446"/>
      <c r="AB130" s="446"/>
      <c r="AC130" s="446"/>
      <c r="AD130" s="446"/>
      <c r="AE130" s="446"/>
      <c r="AF130" s="446"/>
      <c r="AG130" s="446"/>
      <c r="AH130" s="446"/>
      <c r="AI130" s="446"/>
      <c r="AJ130" s="446"/>
      <c r="AK130" s="446"/>
      <c r="AL130" s="446"/>
      <c r="AM130" s="446"/>
      <c r="AN130" s="446"/>
      <c r="AO130" s="446"/>
      <c r="AP130" s="446"/>
      <c r="AQ130" s="446"/>
      <c r="AR130" s="446"/>
      <c r="AS130" s="446"/>
      <c r="AT130" s="446"/>
      <c r="AU130" s="446"/>
      <c r="AV130" s="446"/>
      <c r="AW130" s="446"/>
      <c r="AX130" s="446"/>
      <c r="AY130" s="446"/>
      <c r="AZ130" s="446"/>
      <c r="BA130" s="446"/>
      <c r="BB130" s="446"/>
      <c r="BC130" s="446"/>
      <c r="BD130" s="446"/>
      <c r="BE130" s="446"/>
      <c r="BF130" s="446"/>
      <c r="BG130" s="446"/>
      <c r="BH130" s="446"/>
      <c r="BI130" s="446"/>
      <c r="BJ130" s="446"/>
      <c r="BK130" s="446"/>
      <c r="BL130" s="446"/>
    </row>
    <row r="131" spans="4:64" x14ac:dyDescent="0.2">
      <c r="D131" s="446"/>
      <c r="E131" s="446"/>
      <c r="F131" s="446"/>
      <c r="G131" s="446"/>
      <c r="H131" s="446"/>
      <c r="I131" s="446"/>
      <c r="J131" s="446"/>
      <c r="K131" s="446"/>
      <c r="L131" s="446"/>
      <c r="M131" s="446"/>
      <c r="N131" s="446"/>
      <c r="O131" s="446"/>
      <c r="P131" s="446"/>
      <c r="Q131" s="446"/>
      <c r="R131" s="446"/>
      <c r="S131" s="446"/>
      <c r="T131" s="446"/>
      <c r="U131" s="446"/>
      <c r="V131" s="446"/>
      <c r="W131" s="446"/>
      <c r="X131" s="446"/>
      <c r="Y131" s="446"/>
      <c r="Z131" s="446"/>
      <c r="AA131" s="446"/>
      <c r="AB131" s="446"/>
      <c r="AC131" s="446"/>
      <c r="AD131" s="446"/>
      <c r="AE131" s="446"/>
      <c r="AF131" s="446"/>
      <c r="AG131" s="446"/>
      <c r="AH131" s="446"/>
      <c r="AI131" s="446"/>
      <c r="AJ131" s="446"/>
      <c r="AK131" s="446"/>
      <c r="AL131" s="446"/>
      <c r="AM131" s="446"/>
      <c r="AN131" s="446"/>
      <c r="AO131" s="446"/>
      <c r="AP131" s="446"/>
      <c r="AQ131" s="446"/>
      <c r="AR131" s="446"/>
      <c r="AS131" s="446"/>
      <c r="AT131" s="446"/>
      <c r="AU131" s="446"/>
      <c r="AV131" s="446"/>
      <c r="AW131" s="446"/>
      <c r="AX131" s="446"/>
      <c r="AY131" s="446"/>
      <c r="AZ131" s="446"/>
      <c r="BA131" s="446"/>
      <c r="BB131" s="446"/>
      <c r="BC131" s="446"/>
      <c r="BD131" s="446"/>
      <c r="BE131" s="446"/>
      <c r="BF131" s="446"/>
      <c r="BG131" s="446"/>
      <c r="BH131" s="446"/>
      <c r="BI131" s="446"/>
      <c r="BJ131" s="446"/>
      <c r="BK131" s="446"/>
      <c r="BL131" s="446"/>
    </row>
    <row r="132" spans="4:64" x14ac:dyDescent="0.2">
      <c r="D132" s="446"/>
      <c r="E132" s="446"/>
      <c r="F132" s="446"/>
      <c r="G132" s="446"/>
      <c r="H132" s="446"/>
      <c r="I132" s="446"/>
      <c r="J132" s="446"/>
      <c r="K132" s="446"/>
      <c r="L132" s="446"/>
      <c r="M132" s="446"/>
      <c r="N132" s="446"/>
      <c r="O132" s="446"/>
      <c r="P132" s="446"/>
      <c r="Q132" s="446"/>
      <c r="R132" s="446"/>
      <c r="S132" s="446"/>
      <c r="T132" s="446"/>
      <c r="U132" s="446"/>
      <c r="V132" s="446"/>
      <c r="W132" s="446"/>
      <c r="X132" s="446"/>
      <c r="Y132" s="446"/>
      <c r="Z132" s="446"/>
      <c r="AA132" s="446"/>
      <c r="AB132" s="446"/>
      <c r="AC132" s="446"/>
      <c r="AD132" s="446"/>
      <c r="AE132" s="446"/>
      <c r="AF132" s="446"/>
      <c r="AG132" s="446"/>
      <c r="AH132" s="446"/>
      <c r="AI132" s="446"/>
      <c r="AJ132" s="446"/>
      <c r="AK132" s="446"/>
      <c r="AL132" s="446"/>
      <c r="AM132" s="446"/>
      <c r="AN132" s="446"/>
      <c r="AO132" s="446"/>
      <c r="AP132" s="446"/>
      <c r="AQ132" s="446"/>
      <c r="AR132" s="446"/>
      <c r="AS132" s="446"/>
      <c r="AT132" s="446"/>
      <c r="AU132" s="446"/>
      <c r="AV132" s="446"/>
      <c r="AW132" s="446"/>
      <c r="AX132" s="446"/>
      <c r="AY132" s="446"/>
      <c r="AZ132" s="446"/>
      <c r="BA132" s="446"/>
      <c r="BB132" s="446"/>
      <c r="BC132" s="446"/>
      <c r="BD132" s="446"/>
      <c r="BE132" s="446"/>
      <c r="BF132" s="446"/>
      <c r="BG132" s="446"/>
      <c r="BH132" s="446"/>
      <c r="BI132" s="446"/>
      <c r="BJ132" s="446"/>
      <c r="BK132" s="446"/>
      <c r="BL132" s="446"/>
    </row>
    <row r="133" spans="4:64" x14ac:dyDescent="0.2">
      <c r="D133" s="446"/>
      <c r="E133" s="446"/>
      <c r="F133" s="446"/>
      <c r="G133" s="446"/>
      <c r="H133" s="446"/>
      <c r="I133" s="446"/>
      <c r="J133" s="446"/>
      <c r="K133" s="446"/>
      <c r="L133" s="446"/>
      <c r="M133" s="446"/>
      <c r="N133" s="446"/>
      <c r="O133" s="446"/>
      <c r="P133" s="446"/>
      <c r="Q133" s="446"/>
      <c r="R133" s="446"/>
      <c r="S133" s="446"/>
      <c r="T133" s="446"/>
      <c r="U133" s="446"/>
      <c r="V133" s="446"/>
      <c r="W133" s="446"/>
      <c r="X133" s="446"/>
      <c r="Y133" s="446"/>
      <c r="Z133" s="446"/>
      <c r="AA133" s="446"/>
      <c r="AB133" s="446"/>
      <c r="AC133" s="446"/>
      <c r="AD133" s="446"/>
      <c r="AE133" s="446"/>
      <c r="AF133" s="446"/>
      <c r="AG133" s="446"/>
      <c r="AH133" s="446"/>
      <c r="AI133" s="446"/>
      <c r="AJ133" s="446"/>
      <c r="AK133" s="446"/>
      <c r="AL133" s="446"/>
      <c r="AM133" s="446"/>
      <c r="AN133" s="446"/>
      <c r="AO133" s="446"/>
      <c r="AP133" s="446"/>
      <c r="AQ133" s="446"/>
      <c r="AR133" s="446"/>
      <c r="AS133" s="446"/>
      <c r="AT133" s="446"/>
      <c r="AU133" s="446"/>
      <c r="AV133" s="446"/>
      <c r="AW133" s="446"/>
      <c r="AX133" s="446"/>
      <c r="AY133" s="446"/>
      <c r="AZ133" s="446"/>
      <c r="BA133" s="446"/>
      <c r="BB133" s="446"/>
      <c r="BC133" s="446"/>
      <c r="BD133" s="446"/>
      <c r="BE133" s="446"/>
      <c r="BF133" s="446"/>
      <c r="BG133" s="446"/>
      <c r="BH133" s="446"/>
      <c r="BI133" s="446"/>
      <c r="BJ133" s="446"/>
      <c r="BK133" s="446"/>
      <c r="BL133" s="446"/>
    </row>
    <row r="134" spans="4:64" x14ac:dyDescent="0.2">
      <c r="D134" s="446"/>
      <c r="E134" s="446"/>
      <c r="F134" s="446"/>
      <c r="G134" s="446"/>
      <c r="H134" s="446"/>
      <c r="I134" s="446"/>
      <c r="J134" s="446"/>
      <c r="K134" s="446"/>
      <c r="L134" s="446"/>
      <c r="M134" s="446"/>
      <c r="N134" s="446"/>
      <c r="O134" s="446"/>
      <c r="P134" s="446"/>
      <c r="Q134" s="446"/>
      <c r="R134" s="446"/>
      <c r="S134" s="446"/>
      <c r="T134" s="446"/>
      <c r="U134" s="446"/>
      <c r="V134" s="446"/>
      <c r="W134" s="446"/>
      <c r="X134" s="446"/>
      <c r="Y134" s="446"/>
      <c r="Z134" s="446"/>
      <c r="AA134" s="446"/>
      <c r="AB134" s="446"/>
      <c r="AC134" s="446"/>
      <c r="AD134" s="446"/>
      <c r="AE134" s="446"/>
      <c r="AF134" s="446"/>
      <c r="AG134" s="446"/>
      <c r="AH134" s="446"/>
      <c r="AI134" s="446"/>
      <c r="AJ134" s="446"/>
      <c r="AK134" s="446"/>
      <c r="AL134" s="446"/>
      <c r="AM134" s="446"/>
      <c r="AN134" s="446"/>
      <c r="AO134" s="446"/>
      <c r="AP134" s="446"/>
      <c r="AQ134" s="446"/>
      <c r="AR134" s="446"/>
      <c r="AS134" s="446"/>
      <c r="AT134" s="446"/>
      <c r="AU134" s="446"/>
      <c r="AV134" s="446"/>
      <c r="AW134" s="446"/>
      <c r="AX134" s="446"/>
      <c r="AY134" s="446"/>
      <c r="AZ134" s="446"/>
      <c r="BA134" s="446"/>
      <c r="BB134" s="446"/>
      <c r="BC134" s="446"/>
      <c r="BD134" s="446"/>
      <c r="BE134" s="446"/>
      <c r="BF134" s="446"/>
      <c r="BG134" s="446"/>
      <c r="BH134" s="446"/>
      <c r="BI134" s="446"/>
      <c r="BJ134" s="446"/>
      <c r="BK134" s="446"/>
      <c r="BL134" s="446"/>
    </row>
    <row r="135" spans="4:64" x14ac:dyDescent="0.2">
      <c r="D135" s="446"/>
      <c r="E135" s="446"/>
      <c r="F135" s="446"/>
      <c r="G135" s="446"/>
      <c r="H135" s="446"/>
      <c r="I135" s="446"/>
      <c r="J135" s="446"/>
      <c r="K135" s="446"/>
      <c r="L135" s="446"/>
      <c r="M135" s="446"/>
      <c r="N135" s="446"/>
      <c r="O135" s="446"/>
      <c r="P135" s="446"/>
      <c r="Q135" s="446"/>
      <c r="R135" s="446"/>
      <c r="S135" s="446"/>
      <c r="T135" s="446"/>
      <c r="U135" s="446"/>
      <c r="V135" s="446"/>
      <c r="W135" s="446"/>
      <c r="X135" s="446"/>
      <c r="Y135" s="446"/>
      <c r="Z135" s="446"/>
      <c r="AA135" s="446"/>
      <c r="AB135" s="446"/>
      <c r="AC135" s="446"/>
      <c r="AD135" s="446"/>
      <c r="AE135" s="446"/>
      <c r="AF135" s="446"/>
      <c r="AG135" s="446"/>
      <c r="AH135" s="446"/>
      <c r="AI135" s="446"/>
      <c r="AJ135" s="446"/>
      <c r="AK135" s="446"/>
      <c r="AL135" s="446"/>
      <c r="AM135" s="446"/>
      <c r="AN135" s="446"/>
      <c r="AO135" s="446"/>
      <c r="AP135" s="446"/>
      <c r="AQ135" s="446"/>
      <c r="AR135" s="446"/>
      <c r="AS135" s="446"/>
      <c r="AT135" s="446"/>
      <c r="AU135" s="446"/>
      <c r="AV135" s="446"/>
      <c r="AW135" s="446"/>
      <c r="AX135" s="446"/>
      <c r="AY135" s="446"/>
      <c r="AZ135" s="446"/>
      <c r="BA135" s="446"/>
      <c r="BB135" s="446"/>
      <c r="BC135" s="446"/>
      <c r="BD135" s="446"/>
      <c r="BE135" s="446"/>
      <c r="BF135" s="446"/>
      <c r="BG135" s="446"/>
      <c r="BH135" s="446"/>
      <c r="BI135" s="446"/>
      <c r="BJ135" s="446"/>
      <c r="BK135" s="446"/>
      <c r="BL135" s="446"/>
    </row>
    <row r="136" spans="4:64" x14ac:dyDescent="0.2">
      <c r="D136" s="446"/>
      <c r="E136" s="446"/>
      <c r="F136" s="446"/>
      <c r="G136" s="446"/>
      <c r="H136" s="446"/>
      <c r="I136" s="446"/>
      <c r="J136" s="446"/>
      <c r="K136" s="446"/>
      <c r="L136" s="446"/>
      <c r="M136" s="446"/>
      <c r="N136" s="446"/>
      <c r="O136" s="446"/>
      <c r="P136" s="446"/>
      <c r="Q136" s="446"/>
      <c r="R136" s="446"/>
      <c r="S136" s="446"/>
      <c r="T136" s="446"/>
      <c r="U136" s="446"/>
      <c r="V136" s="446"/>
      <c r="W136" s="446"/>
      <c r="X136" s="446"/>
      <c r="Y136" s="446"/>
      <c r="Z136" s="446"/>
      <c r="AA136" s="446"/>
      <c r="AB136" s="446"/>
      <c r="AC136" s="446"/>
      <c r="AD136" s="446"/>
      <c r="AE136" s="446"/>
      <c r="AF136" s="446"/>
      <c r="AG136" s="446"/>
      <c r="AH136" s="446"/>
      <c r="AI136" s="446"/>
      <c r="AJ136" s="446"/>
      <c r="AK136" s="446"/>
      <c r="AL136" s="446"/>
      <c r="AM136" s="446"/>
      <c r="AN136" s="446"/>
      <c r="AO136" s="446"/>
      <c r="AP136" s="446"/>
      <c r="AQ136" s="446"/>
      <c r="AR136" s="446"/>
      <c r="AS136" s="446"/>
      <c r="AT136" s="446"/>
      <c r="AU136" s="446"/>
      <c r="AV136" s="446"/>
      <c r="AW136" s="446"/>
      <c r="AX136" s="446"/>
      <c r="AY136" s="446"/>
      <c r="AZ136" s="446"/>
      <c r="BA136" s="446"/>
      <c r="BB136" s="446"/>
      <c r="BC136" s="446"/>
      <c r="BD136" s="446"/>
      <c r="BE136" s="446"/>
      <c r="BF136" s="446"/>
      <c r="BG136" s="446"/>
      <c r="BH136" s="446"/>
      <c r="BI136" s="446"/>
      <c r="BJ136" s="446"/>
      <c r="BK136" s="446"/>
      <c r="BL136" s="446"/>
    </row>
    <row r="137" spans="4:64" x14ac:dyDescent="0.2">
      <c r="D137" s="446"/>
      <c r="E137" s="446"/>
      <c r="F137" s="446"/>
      <c r="G137" s="446"/>
      <c r="H137" s="446"/>
      <c r="I137" s="446"/>
      <c r="J137" s="446"/>
      <c r="K137" s="446"/>
      <c r="L137" s="446"/>
      <c r="M137" s="446"/>
      <c r="N137" s="446"/>
      <c r="O137" s="446"/>
      <c r="P137" s="446"/>
      <c r="Q137" s="446"/>
      <c r="R137" s="446"/>
      <c r="S137" s="446"/>
      <c r="T137" s="446"/>
      <c r="U137" s="446"/>
      <c r="V137" s="446"/>
      <c r="W137" s="446"/>
      <c r="X137" s="446"/>
      <c r="Y137" s="446"/>
      <c r="Z137" s="446"/>
      <c r="AA137" s="446"/>
      <c r="AB137" s="446"/>
      <c r="AC137" s="446"/>
      <c r="AD137" s="446"/>
      <c r="AE137" s="446"/>
      <c r="AF137" s="446"/>
      <c r="AG137" s="446"/>
      <c r="AH137" s="446"/>
      <c r="AI137" s="446"/>
      <c r="AJ137" s="446"/>
      <c r="AK137" s="446"/>
      <c r="AL137" s="446"/>
      <c r="AM137" s="446"/>
      <c r="AN137" s="446"/>
      <c r="AO137" s="446"/>
      <c r="AP137" s="446"/>
      <c r="AQ137" s="446"/>
      <c r="AR137" s="446"/>
      <c r="AS137" s="446"/>
      <c r="AT137" s="446"/>
      <c r="AU137" s="446"/>
      <c r="AV137" s="446"/>
      <c r="AW137" s="446"/>
      <c r="AX137" s="446"/>
      <c r="AY137" s="446"/>
      <c r="AZ137" s="446"/>
      <c r="BA137" s="446"/>
      <c r="BB137" s="446"/>
      <c r="BC137" s="446"/>
      <c r="BD137" s="446"/>
      <c r="BE137" s="446"/>
      <c r="BF137" s="446"/>
      <c r="BG137" s="446"/>
      <c r="BH137" s="446"/>
      <c r="BI137" s="446"/>
      <c r="BJ137" s="446"/>
      <c r="BK137" s="446"/>
      <c r="BL137" s="446"/>
    </row>
    <row r="138" spans="4:64" x14ac:dyDescent="0.2">
      <c r="D138" s="446"/>
      <c r="E138" s="446"/>
      <c r="F138" s="446"/>
      <c r="G138" s="446"/>
      <c r="H138" s="446"/>
      <c r="I138" s="446"/>
      <c r="J138" s="446"/>
      <c r="K138" s="446"/>
      <c r="L138" s="446"/>
      <c r="M138" s="446"/>
      <c r="N138" s="446"/>
      <c r="O138" s="446"/>
      <c r="P138" s="446"/>
      <c r="Q138" s="446"/>
      <c r="R138" s="446"/>
      <c r="S138" s="446"/>
      <c r="T138" s="446"/>
      <c r="U138" s="446"/>
      <c r="V138" s="446"/>
      <c r="W138" s="446"/>
      <c r="X138" s="446"/>
      <c r="Y138" s="446"/>
      <c r="Z138" s="446"/>
      <c r="AA138" s="446"/>
      <c r="AB138" s="446"/>
      <c r="AC138" s="446"/>
      <c r="AD138" s="446"/>
      <c r="AE138" s="446"/>
      <c r="AF138" s="446"/>
      <c r="AG138" s="446"/>
      <c r="AH138" s="446"/>
      <c r="AI138" s="446"/>
      <c r="AJ138" s="446"/>
      <c r="AK138" s="446"/>
      <c r="AL138" s="446"/>
      <c r="AM138" s="446"/>
      <c r="AN138" s="446"/>
      <c r="AO138" s="446"/>
      <c r="AP138" s="446"/>
      <c r="AQ138" s="446"/>
      <c r="AR138" s="446"/>
      <c r="AS138" s="446"/>
      <c r="AT138" s="446"/>
      <c r="AU138" s="446"/>
      <c r="AV138" s="446"/>
      <c r="AW138" s="446"/>
      <c r="AX138" s="446"/>
      <c r="AY138" s="446"/>
      <c r="AZ138" s="446"/>
      <c r="BA138" s="446"/>
      <c r="BB138" s="446"/>
      <c r="BC138" s="446"/>
      <c r="BD138" s="446"/>
      <c r="BE138" s="446"/>
      <c r="BF138" s="446"/>
      <c r="BG138" s="446"/>
      <c r="BH138" s="446"/>
      <c r="BI138" s="446"/>
      <c r="BJ138" s="446"/>
      <c r="BK138" s="446"/>
      <c r="BL138" s="446"/>
    </row>
    <row r="139" spans="4:64" x14ac:dyDescent="0.2">
      <c r="D139" s="446"/>
      <c r="E139" s="446"/>
      <c r="F139" s="446"/>
      <c r="G139" s="446"/>
      <c r="H139" s="446"/>
      <c r="I139" s="446"/>
      <c r="J139" s="446"/>
      <c r="K139" s="446"/>
      <c r="L139" s="446"/>
      <c r="M139" s="446"/>
      <c r="N139" s="446"/>
      <c r="O139" s="446"/>
      <c r="P139" s="446"/>
      <c r="Q139" s="446"/>
      <c r="R139" s="446"/>
      <c r="S139" s="446"/>
      <c r="T139" s="446"/>
      <c r="U139" s="446"/>
      <c r="V139" s="446"/>
      <c r="W139" s="446"/>
      <c r="X139" s="446"/>
      <c r="Y139" s="446"/>
      <c r="Z139" s="446"/>
      <c r="AA139" s="446"/>
      <c r="AB139" s="446"/>
      <c r="AC139" s="446"/>
      <c r="AD139" s="446"/>
      <c r="AE139" s="446"/>
      <c r="AF139" s="446"/>
      <c r="AG139" s="446"/>
      <c r="AH139" s="446"/>
      <c r="AI139" s="446"/>
      <c r="AJ139" s="446"/>
      <c r="AK139" s="446"/>
      <c r="AL139" s="446"/>
      <c r="AM139" s="446"/>
      <c r="AN139" s="446"/>
      <c r="AO139" s="446"/>
      <c r="AP139" s="446"/>
      <c r="AQ139" s="446"/>
      <c r="AR139" s="446"/>
      <c r="AS139" s="446"/>
      <c r="AT139" s="446"/>
      <c r="AU139" s="446"/>
      <c r="AV139" s="446"/>
      <c r="AW139" s="446"/>
      <c r="AX139" s="446"/>
      <c r="AY139" s="446"/>
      <c r="AZ139" s="446"/>
      <c r="BA139" s="446"/>
      <c r="BB139" s="446"/>
      <c r="BC139" s="446"/>
      <c r="BD139" s="446"/>
      <c r="BE139" s="446"/>
      <c r="BF139" s="446"/>
      <c r="BG139" s="446"/>
      <c r="BH139" s="446"/>
      <c r="BI139" s="446"/>
      <c r="BJ139" s="446"/>
      <c r="BK139" s="446"/>
      <c r="BL139" s="446"/>
    </row>
    <row r="140" spans="4:64" x14ac:dyDescent="0.2">
      <c r="D140" s="446"/>
      <c r="E140" s="446"/>
      <c r="F140" s="446"/>
      <c r="G140" s="446"/>
      <c r="H140" s="446"/>
      <c r="I140" s="446"/>
      <c r="J140" s="446"/>
      <c r="K140" s="446"/>
      <c r="L140" s="446"/>
      <c r="M140" s="446"/>
      <c r="N140" s="446"/>
      <c r="O140" s="446"/>
      <c r="P140" s="446"/>
      <c r="Q140" s="446"/>
      <c r="R140" s="446"/>
      <c r="S140" s="446"/>
      <c r="T140" s="446"/>
      <c r="U140" s="446"/>
      <c r="V140" s="446"/>
      <c r="W140" s="446"/>
      <c r="X140" s="446"/>
      <c r="Y140" s="446"/>
      <c r="Z140" s="446"/>
      <c r="AA140" s="446"/>
      <c r="AB140" s="446"/>
      <c r="AC140" s="446"/>
      <c r="AD140" s="446"/>
      <c r="AE140" s="446"/>
      <c r="AF140" s="446"/>
      <c r="AG140" s="446"/>
      <c r="AH140" s="446"/>
      <c r="AI140" s="446"/>
      <c r="AJ140" s="446"/>
      <c r="AK140" s="446"/>
      <c r="AL140" s="446"/>
      <c r="AM140" s="446"/>
      <c r="AN140" s="446"/>
      <c r="AO140" s="446"/>
      <c r="AP140" s="446"/>
      <c r="AQ140" s="446"/>
      <c r="AR140" s="446"/>
      <c r="AS140" s="446"/>
      <c r="AT140" s="446"/>
      <c r="AU140" s="446"/>
      <c r="AV140" s="446"/>
      <c r="AW140" s="446"/>
      <c r="AX140" s="446"/>
      <c r="AY140" s="446"/>
      <c r="AZ140" s="446"/>
      <c r="BA140" s="446"/>
      <c r="BB140" s="446"/>
      <c r="BC140" s="446"/>
      <c r="BD140" s="446"/>
      <c r="BE140" s="446"/>
      <c r="BF140" s="446"/>
      <c r="BG140" s="446"/>
      <c r="BH140" s="446"/>
      <c r="BI140" s="446"/>
      <c r="BJ140" s="446"/>
      <c r="BK140" s="446"/>
      <c r="BL140" s="446"/>
    </row>
    <row r="141" spans="4:64" x14ac:dyDescent="0.2">
      <c r="D141" s="446"/>
      <c r="E141" s="446"/>
      <c r="F141" s="446"/>
      <c r="G141" s="446"/>
      <c r="H141" s="446"/>
      <c r="I141" s="446"/>
      <c r="J141" s="446"/>
      <c r="K141" s="446"/>
      <c r="L141" s="446"/>
      <c r="M141" s="446"/>
      <c r="N141" s="446"/>
      <c r="O141" s="446"/>
      <c r="P141" s="446"/>
      <c r="Q141" s="446"/>
      <c r="R141" s="446"/>
      <c r="S141" s="446"/>
      <c r="T141" s="446"/>
      <c r="U141" s="446"/>
      <c r="V141" s="446"/>
      <c r="W141" s="446"/>
      <c r="X141" s="446"/>
      <c r="Y141" s="446"/>
      <c r="Z141" s="446"/>
      <c r="AA141" s="446"/>
      <c r="AB141" s="446"/>
      <c r="AC141" s="446"/>
      <c r="AD141" s="446"/>
      <c r="AE141" s="446"/>
      <c r="AF141" s="446"/>
      <c r="AG141" s="446"/>
      <c r="AH141" s="446"/>
      <c r="AI141" s="446"/>
      <c r="AJ141" s="446"/>
      <c r="AK141" s="446"/>
      <c r="AL141" s="446"/>
      <c r="AM141" s="446"/>
      <c r="AN141" s="446"/>
      <c r="AO141" s="446"/>
      <c r="AP141" s="446"/>
      <c r="AQ141" s="446"/>
      <c r="AR141" s="446"/>
      <c r="AS141" s="446"/>
      <c r="AT141" s="446"/>
      <c r="AU141" s="446"/>
      <c r="AV141" s="446"/>
      <c r="AW141" s="446"/>
      <c r="AX141" s="446"/>
      <c r="AY141" s="446"/>
      <c r="AZ141" s="446"/>
      <c r="BA141" s="446"/>
      <c r="BB141" s="446"/>
      <c r="BC141" s="446"/>
      <c r="BD141" s="446"/>
      <c r="BE141" s="446"/>
      <c r="BF141" s="446"/>
      <c r="BG141" s="446"/>
      <c r="BH141" s="446"/>
      <c r="BI141" s="446"/>
      <c r="BJ141" s="446"/>
      <c r="BK141" s="446"/>
      <c r="BL141" s="446"/>
    </row>
    <row r="142" spans="4:64" x14ac:dyDescent="0.2">
      <c r="D142" s="446"/>
      <c r="E142" s="446"/>
      <c r="F142" s="446"/>
      <c r="G142" s="446"/>
      <c r="H142" s="446"/>
      <c r="I142" s="446"/>
      <c r="J142" s="446"/>
      <c r="K142" s="446"/>
      <c r="L142" s="446"/>
      <c r="M142" s="446"/>
      <c r="N142" s="446"/>
      <c r="O142" s="446"/>
      <c r="P142" s="446"/>
      <c r="Q142" s="446"/>
      <c r="R142" s="446"/>
      <c r="S142" s="446"/>
      <c r="T142" s="446"/>
      <c r="U142" s="446"/>
      <c r="V142" s="446"/>
      <c r="W142" s="446"/>
      <c r="X142" s="446"/>
      <c r="Y142" s="446"/>
      <c r="Z142" s="446"/>
      <c r="AA142" s="446"/>
      <c r="AB142" s="446"/>
      <c r="AC142" s="446"/>
      <c r="AD142" s="446"/>
      <c r="AE142" s="446"/>
      <c r="AF142" s="446"/>
      <c r="AG142" s="446"/>
      <c r="AH142" s="446"/>
      <c r="AI142" s="446"/>
      <c r="AJ142" s="446"/>
      <c r="AK142" s="446"/>
      <c r="AL142" s="446"/>
      <c r="AM142" s="446"/>
      <c r="AN142" s="446"/>
      <c r="AO142" s="446"/>
      <c r="AP142" s="446"/>
      <c r="AQ142" s="446"/>
      <c r="AR142" s="446"/>
      <c r="AS142" s="446"/>
      <c r="AT142" s="446"/>
      <c r="AU142" s="446"/>
      <c r="AV142" s="446"/>
      <c r="AW142" s="446"/>
      <c r="AX142" s="446"/>
      <c r="AY142" s="446"/>
      <c r="AZ142" s="446"/>
      <c r="BA142" s="446"/>
      <c r="BB142" s="446"/>
      <c r="BC142" s="446"/>
      <c r="BD142" s="446"/>
      <c r="BE142" s="446"/>
      <c r="BF142" s="446"/>
      <c r="BG142" s="446"/>
      <c r="BH142" s="446"/>
      <c r="BI142" s="446"/>
      <c r="BJ142" s="446"/>
      <c r="BK142" s="446"/>
      <c r="BL142" s="446"/>
    </row>
    <row r="143" spans="4:64" x14ac:dyDescent="0.2">
      <c r="D143" s="446"/>
      <c r="E143" s="446"/>
      <c r="F143" s="446"/>
      <c r="G143" s="446"/>
      <c r="H143" s="446"/>
      <c r="I143" s="446"/>
      <c r="J143" s="446"/>
      <c r="K143" s="446"/>
      <c r="L143" s="446"/>
      <c r="M143" s="446"/>
      <c r="N143" s="446"/>
      <c r="O143" s="446"/>
      <c r="P143" s="446"/>
      <c r="Q143" s="446"/>
      <c r="R143" s="446"/>
      <c r="S143" s="446"/>
      <c r="T143" s="446"/>
      <c r="U143" s="446"/>
      <c r="V143" s="446"/>
      <c r="W143" s="446"/>
      <c r="X143" s="446"/>
      <c r="Y143" s="446"/>
      <c r="Z143" s="446"/>
      <c r="AA143" s="446"/>
      <c r="AB143" s="446"/>
      <c r="AC143" s="446"/>
      <c r="AD143" s="446"/>
      <c r="AE143" s="446"/>
      <c r="AF143" s="446"/>
      <c r="AG143" s="446"/>
      <c r="AH143" s="446"/>
      <c r="AI143" s="446"/>
      <c r="AJ143" s="446"/>
      <c r="AK143" s="446"/>
      <c r="AL143" s="446"/>
      <c r="AM143" s="446"/>
      <c r="AN143" s="446"/>
      <c r="AO143" s="446"/>
      <c r="AP143" s="446"/>
      <c r="AQ143" s="446"/>
      <c r="AR143" s="446"/>
      <c r="AS143" s="446"/>
      <c r="AT143" s="446"/>
      <c r="AU143" s="446"/>
      <c r="AV143" s="446"/>
      <c r="AW143" s="446"/>
      <c r="AX143" s="446"/>
      <c r="AY143" s="446"/>
      <c r="AZ143" s="446"/>
      <c r="BA143" s="446"/>
      <c r="BB143" s="446"/>
      <c r="BC143" s="446"/>
      <c r="BD143" s="446"/>
      <c r="BE143" s="446"/>
      <c r="BF143" s="446"/>
      <c r="BG143" s="446"/>
      <c r="BH143" s="446"/>
      <c r="BI143" s="446"/>
      <c r="BJ143" s="446"/>
      <c r="BK143" s="446"/>
      <c r="BL143" s="446"/>
    </row>
    <row r="144" spans="4:64" x14ac:dyDescent="0.2">
      <c r="D144" s="446"/>
      <c r="E144" s="446"/>
      <c r="F144" s="446"/>
      <c r="G144" s="446"/>
      <c r="H144" s="446"/>
      <c r="I144" s="446"/>
      <c r="J144" s="446"/>
      <c r="K144" s="446"/>
      <c r="L144" s="446"/>
      <c r="M144" s="446"/>
      <c r="N144" s="446"/>
      <c r="O144" s="446"/>
      <c r="P144" s="446"/>
      <c r="Q144" s="446"/>
      <c r="R144" s="446"/>
      <c r="S144" s="446"/>
      <c r="T144" s="446"/>
      <c r="U144" s="446"/>
      <c r="V144" s="446"/>
      <c r="W144" s="446"/>
      <c r="X144" s="446"/>
      <c r="Y144" s="446"/>
      <c r="Z144" s="446"/>
      <c r="AA144" s="446"/>
      <c r="AB144" s="446"/>
      <c r="AC144" s="446"/>
      <c r="AD144" s="446"/>
      <c r="AE144" s="446"/>
      <c r="AF144" s="446"/>
      <c r="AG144" s="446"/>
      <c r="AH144" s="446"/>
      <c r="AI144" s="446"/>
      <c r="AJ144" s="446"/>
      <c r="AK144" s="446"/>
      <c r="AL144" s="446"/>
      <c r="AM144" s="446"/>
      <c r="AN144" s="446"/>
      <c r="AO144" s="446"/>
      <c r="AP144" s="446"/>
      <c r="AQ144" s="446"/>
      <c r="AR144" s="446"/>
      <c r="AS144" s="446"/>
      <c r="AT144" s="446"/>
      <c r="AU144" s="446"/>
      <c r="AV144" s="446"/>
      <c r="AW144" s="446"/>
      <c r="AX144" s="446"/>
      <c r="AY144" s="446"/>
      <c r="AZ144" s="446"/>
      <c r="BA144" s="446"/>
      <c r="BB144" s="446"/>
      <c r="BC144" s="446"/>
      <c r="BD144" s="446"/>
      <c r="BE144" s="446"/>
      <c r="BF144" s="446"/>
      <c r="BG144" s="446"/>
      <c r="BH144" s="446"/>
      <c r="BI144" s="446"/>
      <c r="BJ144" s="446"/>
      <c r="BK144" s="446"/>
      <c r="BL144" s="446"/>
    </row>
    <row r="145" spans="4:64" x14ac:dyDescent="0.2">
      <c r="D145" s="446"/>
      <c r="E145" s="446"/>
      <c r="F145" s="446"/>
      <c r="G145" s="446"/>
      <c r="H145" s="446"/>
      <c r="I145" s="446"/>
      <c r="J145" s="446"/>
      <c r="K145" s="446"/>
      <c r="L145" s="446"/>
      <c r="M145" s="446"/>
      <c r="N145" s="446"/>
      <c r="O145" s="446"/>
      <c r="P145" s="446"/>
      <c r="Q145" s="446"/>
      <c r="R145" s="446"/>
      <c r="S145" s="446"/>
      <c r="T145" s="446"/>
      <c r="U145" s="446"/>
      <c r="V145" s="446"/>
      <c r="W145" s="446"/>
      <c r="X145" s="446"/>
      <c r="Y145" s="446"/>
      <c r="Z145" s="446"/>
      <c r="AA145" s="446"/>
      <c r="AB145" s="446"/>
      <c r="AC145" s="446"/>
      <c r="AD145" s="446"/>
      <c r="AE145" s="446"/>
      <c r="AF145" s="446"/>
      <c r="AG145" s="446"/>
      <c r="AH145" s="446"/>
      <c r="AI145" s="446"/>
      <c r="AJ145" s="446"/>
      <c r="AK145" s="446"/>
      <c r="AL145" s="446"/>
      <c r="AM145" s="446"/>
      <c r="AN145" s="446"/>
      <c r="AO145" s="446"/>
      <c r="AP145" s="446"/>
      <c r="AQ145" s="446"/>
      <c r="AR145" s="446"/>
      <c r="AS145" s="446"/>
      <c r="AT145" s="446"/>
      <c r="AU145" s="446"/>
      <c r="AV145" s="446"/>
      <c r="AW145" s="446"/>
      <c r="AX145" s="446"/>
      <c r="AY145" s="446"/>
      <c r="AZ145" s="446"/>
      <c r="BA145" s="446"/>
      <c r="BB145" s="446"/>
      <c r="BC145" s="446"/>
      <c r="BD145" s="446"/>
      <c r="BE145" s="446"/>
      <c r="BF145" s="446"/>
      <c r="BG145" s="446"/>
      <c r="BH145" s="446"/>
      <c r="BI145" s="446"/>
      <c r="BJ145" s="446"/>
      <c r="BK145" s="446"/>
      <c r="BL145" s="446"/>
    </row>
    <row r="146" spans="4:64" x14ac:dyDescent="0.2">
      <c r="D146" s="446"/>
      <c r="E146" s="446"/>
      <c r="F146" s="446"/>
      <c r="G146" s="446"/>
      <c r="H146" s="446"/>
      <c r="I146" s="446"/>
      <c r="J146" s="446"/>
      <c r="K146" s="446"/>
      <c r="L146" s="446"/>
      <c r="M146" s="446"/>
      <c r="N146" s="446"/>
      <c r="O146" s="446"/>
      <c r="P146" s="446"/>
      <c r="Q146" s="446"/>
      <c r="R146" s="446"/>
      <c r="S146" s="446"/>
      <c r="T146" s="446"/>
      <c r="U146" s="446"/>
      <c r="V146" s="446"/>
      <c r="W146" s="446"/>
      <c r="X146" s="446"/>
      <c r="Y146" s="446"/>
      <c r="Z146" s="446"/>
      <c r="AA146" s="446"/>
      <c r="AB146" s="446"/>
      <c r="AC146" s="446"/>
      <c r="AD146" s="446"/>
      <c r="AE146" s="446"/>
      <c r="AF146" s="446"/>
      <c r="AG146" s="446"/>
      <c r="AH146" s="446"/>
      <c r="AI146" s="446"/>
      <c r="AJ146" s="446"/>
      <c r="AK146" s="446"/>
      <c r="AL146" s="446"/>
      <c r="AM146" s="446"/>
      <c r="AN146" s="446"/>
      <c r="AO146" s="446"/>
      <c r="AP146" s="446"/>
      <c r="AQ146" s="446"/>
      <c r="AR146" s="446"/>
      <c r="AS146" s="446"/>
      <c r="AT146" s="446"/>
      <c r="AU146" s="446"/>
      <c r="AV146" s="446"/>
      <c r="AW146" s="446"/>
      <c r="AX146" s="446"/>
      <c r="AY146" s="446"/>
      <c r="AZ146" s="446"/>
      <c r="BA146" s="446"/>
      <c r="BB146" s="446"/>
      <c r="BC146" s="446"/>
      <c r="BD146" s="446"/>
      <c r="BE146" s="446"/>
      <c r="BF146" s="446"/>
      <c r="BG146" s="446"/>
      <c r="BH146" s="446"/>
      <c r="BI146" s="446"/>
      <c r="BJ146" s="446"/>
      <c r="BK146" s="446"/>
      <c r="BL146" s="446"/>
    </row>
    <row r="147" spans="4:64" x14ac:dyDescent="0.2">
      <c r="D147" s="446"/>
      <c r="E147" s="446"/>
      <c r="F147" s="446"/>
      <c r="G147" s="446"/>
      <c r="H147" s="446"/>
      <c r="I147" s="446"/>
      <c r="J147" s="446"/>
      <c r="K147" s="446"/>
      <c r="L147" s="446"/>
      <c r="M147" s="446"/>
      <c r="N147" s="446"/>
      <c r="O147" s="446"/>
      <c r="P147" s="446"/>
      <c r="Q147" s="446"/>
      <c r="R147" s="446"/>
      <c r="S147" s="446"/>
      <c r="T147" s="446"/>
      <c r="U147" s="446"/>
      <c r="V147" s="446"/>
      <c r="W147" s="446"/>
      <c r="X147" s="446"/>
      <c r="Y147" s="446"/>
      <c r="Z147" s="446"/>
      <c r="AA147" s="446"/>
      <c r="AB147" s="446"/>
      <c r="AC147" s="446"/>
      <c r="AD147" s="446"/>
      <c r="AE147" s="446"/>
      <c r="AF147" s="446"/>
      <c r="AG147" s="446"/>
      <c r="AH147" s="446"/>
      <c r="AI147" s="446"/>
      <c r="AJ147" s="446"/>
      <c r="AK147" s="446"/>
      <c r="AL147" s="446"/>
      <c r="AM147" s="446"/>
      <c r="AN147" s="446"/>
      <c r="AO147" s="446"/>
      <c r="AP147" s="446"/>
      <c r="AQ147" s="446"/>
      <c r="AR147" s="446"/>
      <c r="AS147" s="446"/>
      <c r="AT147" s="446"/>
      <c r="AU147" s="446"/>
      <c r="AV147" s="446"/>
      <c r="AW147" s="446"/>
      <c r="AX147" s="446"/>
      <c r="AY147" s="446"/>
      <c r="AZ147" s="446"/>
      <c r="BA147" s="446"/>
      <c r="BB147" s="446"/>
      <c r="BC147" s="446"/>
      <c r="BD147" s="446"/>
      <c r="BE147" s="446"/>
      <c r="BF147" s="446"/>
      <c r="BG147" s="446"/>
      <c r="BH147" s="446"/>
      <c r="BI147" s="446"/>
      <c r="BJ147" s="446"/>
      <c r="BK147" s="446"/>
      <c r="BL147" s="446"/>
    </row>
    <row r="148" spans="4:64" x14ac:dyDescent="0.2">
      <c r="D148" s="446"/>
      <c r="E148" s="446"/>
      <c r="F148" s="446"/>
      <c r="G148" s="446"/>
      <c r="H148" s="446"/>
      <c r="I148" s="446"/>
      <c r="J148" s="446"/>
      <c r="K148" s="446"/>
      <c r="L148" s="446"/>
      <c r="M148" s="446"/>
      <c r="N148" s="446"/>
      <c r="O148" s="446"/>
      <c r="P148" s="446"/>
      <c r="Q148" s="446"/>
      <c r="R148" s="446"/>
      <c r="S148" s="446"/>
      <c r="T148" s="446"/>
      <c r="U148" s="446"/>
      <c r="V148" s="446"/>
      <c r="W148" s="446"/>
      <c r="X148" s="446"/>
      <c r="Y148" s="446"/>
      <c r="Z148" s="446"/>
      <c r="AA148" s="446"/>
      <c r="AB148" s="446"/>
      <c r="AC148" s="446"/>
      <c r="AD148" s="446"/>
      <c r="AE148" s="446"/>
      <c r="AF148" s="446"/>
      <c r="AG148" s="446"/>
      <c r="AH148" s="446"/>
      <c r="AI148" s="446"/>
      <c r="AJ148" s="446"/>
      <c r="AK148" s="446"/>
      <c r="AL148" s="446"/>
      <c r="AM148" s="446"/>
      <c r="AN148" s="446"/>
      <c r="AO148" s="446"/>
      <c r="AP148" s="446"/>
      <c r="AQ148" s="446"/>
      <c r="AR148" s="446"/>
      <c r="AS148" s="446"/>
      <c r="AT148" s="446"/>
      <c r="AU148" s="446"/>
      <c r="AV148" s="446"/>
      <c r="AW148" s="446"/>
      <c r="AX148" s="446"/>
      <c r="AY148" s="446"/>
      <c r="AZ148" s="446"/>
      <c r="BA148" s="446"/>
      <c r="BB148" s="446"/>
      <c r="BC148" s="446"/>
      <c r="BD148" s="446"/>
      <c r="BE148" s="446"/>
      <c r="BF148" s="446"/>
      <c r="BG148" s="446"/>
      <c r="BH148" s="446"/>
      <c r="BI148" s="446"/>
      <c r="BJ148" s="446"/>
      <c r="BK148" s="446"/>
      <c r="BL148" s="446"/>
    </row>
    <row r="149" spans="4:64" x14ac:dyDescent="0.2">
      <c r="D149" s="446"/>
      <c r="E149" s="446"/>
      <c r="F149" s="446"/>
      <c r="G149" s="446"/>
      <c r="H149" s="446"/>
      <c r="I149" s="446"/>
      <c r="J149" s="446"/>
      <c r="K149" s="446"/>
      <c r="L149" s="446"/>
      <c r="M149" s="446"/>
      <c r="N149" s="446"/>
      <c r="O149" s="446"/>
      <c r="P149" s="446"/>
      <c r="Q149" s="446"/>
      <c r="R149" s="446"/>
      <c r="S149" s="446"/>
      <c r="T149" s="446"/>
      <c r="U149" s="446"/>
      <c r="V149" s="446"/>
      <c r="W149" s="446"/>
      <c r="X149" s="446"/>
      <c r="Y149" s="446"/>
      <c r="Z149" s="446"/>
      <c r="AA149" s="446"/>
      <c r="AB149" s="446"/>
      <c r="AC149" s="446"/>
      <c r="AD149" s="446"/>
      <c r="AE149" s="446"/>
      <c r="AF149" s="446"/>
      <c r="AG149" s="446"/>
      <c r="AH149" s="446"/>
      <c r="AI149" s="446"/>
      <c r="AJ149" s="446"/>
      <c r="AK149" s="446"/>
      <c r="AL149" s="446"/>
      <c r="AM149" s="446"/>
      <c r="AN149" s="446"/>
      <c r="AO149" s="446"/>
      <c r="AP149" s="446"/>
      <c r="AQ149" s="446"/>
      <c r="AR149" s="446"/>
      <c r="AS149" s="446"/>
      <c r="AT149" s="446"/>
      <c r="AU149" s="446"/>
      <c r="AV149" s="446"/>
      <c r="AW149" s="446"/>
      <c r="AX149" s="446"/>
      <c r="AY149" s="446"/>
      <c r="AZ149" s="446"/>
      <c r="BA149" s="446"/>
      <c r="BB149" s="446"/>
      <c r="BC149" s="446"/>
      <c r="BD149" s="446"/>
      <c r="BE149" s="446"/>
      <c r="BF149" s="446"/>
      <c r="BG149" s="446"/>
      <c r="BH149" s="446"/>
      <c r="BI149" s="446"/>
      <c r="BJ149" s="446"/>
      <c r="BK149" s="446"/>
      <c r="BL149" s="446"/>
    </row>
    <row r="150" spans="4:64" x14ac:dyDescent="0.2">
      <c r="D150" s="446"/>
      <c r="E150" s="446"/>
      <c r="F150" s="446"/>
      <c r="G150" s="446"/>
      <c r="H150" s="446"/>
      <c r="I150" s="446"/>
      <c r="J150" s="446"/>
      <c r="K150" s="446"/>
      <c r="L150" s="446"/>
      <c r="M150" s="446"/>
      <c r="N150" s="446"/>
      <c r="O150" s="446"/>
      <c r="P150" s="446"/>
      <c r="Q150" s="446"/>
      <c r="R150" s="446"/>
      <c r="S150" s="446"/>
      <c r="T150" s="446"/>
      <c r="U150" s="446"/>
      <c r="V150" s="446"/>
      <c r="W150" s="446"/>
      <c r="X150" s="446"/>
      <c r="Y150" s="446"/>
      <c r="Z150" s="446"/>
      <c r="AA150" s="446"/>
      <c r="AB150" s="446"/>
      <c r="AC150" s="446"/>
      <c r="AD150" s="446"/>
      <c r="AE150" s="446"/>
      <c r="AF150" s="446"/>
      <c r="AG150" s="446"/>
      <c r="AH150" s="446"/>
      <c r="AI150" s="446"/>
      <c r="AJ150" s="446"/>
      <c r="AK150" s="446"/>
      <c r="AL150" s="446"/>
      <c r="AM150" s="446"/>
      <c r="AN150" s="446"/>
      <c r="AO150" s="446"/>
      <c r="AP150" s="446"/>
      <c r="AQ150" s="446"/>
      <c r="AR150" s="446"/>
      <c r="AS150" s="446"/>
      <c r="AT150" s="446"/>
      <c r="AU150" s="446"/>
      <c r="AV150" s="446"/>
      <c r="AW150" s="446"/>
      <c r="AX150" s="446"/>
      <c r="AY150" s="446"/>
      <c r="AZ150" s="446"/>
      <c r="BA150" s="446"/>
      <c r="BB150" s="446"/>
      <c r="BC150" s="446"/>
      <c r="BD150" s="446"/>
      <c r="BE150" s="446"/>
      <c r="BF150" s="446"/>
      <c r="BG150" s="446"/>
      <c r="BH150" s="446"/>
      <c r="BI150" s="446"/>
      <c r="BJ150" s="446"/>
      <c r="BK150" s="446"/>
      <c r="BL150" s="446"/>
    </row>
    <row r="151" spans="4:64" x14ac:dyDescent="0.2">
      <c r="D151" s="446"/>
      <c r="E151" s="446"/>
      <c r="F151" s="446"/>
      <c r="G151" s="446"/>
      <c r="H151" s="446"/>
      <c r="I151" s="446"/>
      <c r="J151" s="446"/>
      <c r="K151" s="446"/>
      <c r="L151" s="446"/>
      <c r="M151" s="446"/>
      <c r="N151" s="446"/>
      <c r="O151" s="446"/>
      <c r="P151" s="446"/>
      <c r="Q151" s="446"/>
      <c r="R151" s="446"/>
      <c r="S151" s="446"/>
      <c r="T151" s="446"/>
      <c r="U151" s="446"/>
      <c r="V151" s="446"/>
      <c r="W151" s="446"/>
      <c r="X151" s="446"/>
      <c r="Y151" s="446"/>
      <c r="Z151" s="446"/>
      <c r="AA151" s="446"/>
      <c r="AB151" s="446"/>
      <c r="AC151" s="446"/>
      <c r="AD151" s="446"/>
      <c r="AE151" s="446"/>
      <c r="AF151" s="446"/>
      <c r="AG151" s="446"/>
      <c r="AH151" s="446"/>
      <c r="AI151" s="446"/>
      <c r="AJ151" s="446"/>
      <c r="AK151" s="446"/>
      <c r="AL151" s="446"/>
      <c r="AM151" s="446"/>
      <c r="AN151" s="446"/>
      <c r="AO151" s="446"/>
      <c r="AP151" s="446"/>
      <c r="AQ151" s="446"/>
      <c r="AR151" s="446"/>
      <c r="AS151" s="446"/>
      <c r="AT151" s="446"/>
      <c r="AU151" s="446"/>
      <c r="AV151" s="446"/>
      <c r="AW151" s="446"/>
      <c r="AX151" s="446"/>
      <c r="AY151" s="446"/>
      <c r="AZ151" s="446"/>
      <c r="BA151" s="446"/>
      <c r="BB151" s="446"/>
      <c r="BC151" s="446"/>
      <c r="BD151" s="446"/>
      <c r="BE151" s="446"/>
      <c r="BF151" s="446"/>
      <c r="BG151" s="446"/>
      <c r="BH151" s="446"/>
      <c r="BI151" s="446"/>
      <c r="BJ151" s="446"/>
      <c r="BK151" s="446"/>
      <c r="BL151" s="446"/>
    </row>
    <row r="152" spans="4:64" x14ac:dyDescent="0.2">
      <c r="D152" s="446"/>
      <c r="E152" s="446"/>
      <c r="F152" s="446"/>
      <c r="G152" s="446"/>
      <c r="H152" s="446"/>
      <c r="I152" s="446"/>
      <c r="J152" s="446"/>
      <c r="K152" s="446"/>
      <c r="L152" s="446"/>
      <c r="M152" s="446"/>
      <c r="N152" s="446"/>
      <c r="O152" s="446"/>
      <c r="P152" s="446"/>
      <c r="Q152" s="446"/>
      <c r="R152" s="446"/>
      <c r="S152" s="446"/>
      <c r="T152" s="446"/>
      <c r="U152" s="446"/>
      <c r="V152" s="446"/>
      <c r="W152" s="446"/>
      <c r="X152" s="446"/>
      <c r="Y152" s="446"/>
      <c r="Z152" s="446"/>
      <c r="AA152" s="446"/>
      <c r="AB152" s="446"/>
      <c r="AC152" s="446"/>
      <c r="AD152" s="446"/>
      <c r="AE152" s="446"/>
      <c r="AF152" s="446"/>
      <c r="AG152" s="446"/>
      <c r="AH152" s="446"/>
      <c r="AI152" s="446"/>
      <c r="AJ152" s="446"/>
      <c r="AK152" s="446"/>
      <c r="AL152" s="446"/>
      <c r="AM152" s="446"/>
      <c r="AN152" s="446"/>
      <c r="AO152" s="446"/>
      <c r="AP152" s="446"/>
      <c r="AQ152" s="446"/>
      <c r="AR152" s="446"/>
      <c r="AS152" s="446"/>
      <c r="AT152" s="446"/>
      <c r="AU152" s="446"/>
      <c r="AV152" s="446"/>
      <c r="AW152" s="446"/>
      <c r="AX152" s="446"/>
      <c r="AY152" s="446"/>
      <c r="AZ152" s="446"/>
      <c r="BA152" s="446"/>
      <c r="BB152" s="446"/>
      <c r="BC152" s="446"/>
      <c r="BD152" s="446"/>
      <c r="BE152" s="446"/>
      <c r="BF152" s="446"/>
      <c r="BG152" s="446"/>
      <c r="BH152" s="446"/>
      <c r="BI152" s="446"/>
      <c r="BJ152" s="446"/>
      <c r="BK152" s="446"/>
      <c r="BL152" s="446"/>
    </row>
    <row r="153" spans="4:64" x14ac:dyDescent="0.2">
      <c r="D153" s="446"/>
      <c r="E153" s="446"/>
      <c r="F153" s="446"/>
      <c r="G153" s="446"/>
      <c r="H153" s="446"/>
      <c r="I153" s="446"/>
      <c r="J153" s="446"/>
      <c r="K153" s="446"/>
      <c r="L153" s="446"/>
      <c r="M153" s="446"/>
      <c r="N153" s="446"/>
      <c r="O153" s="446"/>
      <c r="P153" s="446"/>
      <c r="Q153" s="446"/>
      <c r="R153" s="446"/>
      <c r="S153" s="446"/>
      <c r="T153" s="446"/>
      <c r="U153" s="446"/>
      <c r="V153" s="446"/>
      <c r="W153" s="446"/>
      <c r="X153" s="446"/>
      <c r="Y153" s="446"/>
      <c r="Z153" s="446"/>
      <c r="AA153" s="446"/>
      <c r="AB153" s="446"/>
      <c r="AC153" s="446"/>
      <c r="AD153" s="446"/>
      <c r="AE153" s="446"/>
      <c r="AF153" s="446"/>
      <c r="AG153" s="446"/>
      <c r="AH153" s="446"/>
      <c r="AI153" s="446"/>
      <c r="AJ153" s="446"/>
      <c r="AK153" s="446"/>
      <c r="AL153" s="446"/>
      <c r="AM153" s="446"/>
      <c r="AN153" s="446"/>
      <c r="AO153" s="446"/>
      <c r="AP153" s="446"/>
      <c r="AQ153" s="446"/>
      <c r="AR153" s="446"/>
      <c r="AS153" s="446"/>
      <c r="AT153" s="446"/>
      <c r="AU153" s="446"/>
      <c r="AV153" s="446"/>
      <c r="AW153" s="446"/>
      <c r="AX153" s="446"/>
      <c r="AY153" s="446"/>
      <c r="AZ153" s="446"/>
      <c r="BA153" s="446"/>
      <c r="BB153" s="446"/>
      <c r="BC153" s="446"/>
      <c r="BD153" s="446"/>
      <c r="BE153" s="446"/>
      <c r="BF153" s="446"/>
      <c r="BG153" s="446"/>
      <c r="BH153" s="446"/>
      <c r="BI153" s="446"/>
      <c r="BJ153" s="446"/>
      <c r="BK153" s="446"/>
      <c r="BL153" s="446"/>
    </row>
    <row r="154" spans="4:64" x14ac:dyDescent="0.2">
      <c r="D154" s="446"/>
      <c r="E154" s="446"/>
      <c r="F154" s="446"/>
      <c r="G154" s="446"/>
      <c r="H154" s="446"/>
      <c r="I154" s="446"/>
      <c r="J154" s="446"/>
      <c r="K154" s="446"/>
      <c r="L154" s="446"/>
      <c r="M154" s="446"/>
      <c r="N154" s="446"/>
      <c r="O154" s="446"/>
      <c r="P154" s="446"/>
      <c r="Q154" s="446"/>
      <c r="R154" s="446"/>
      <c r="S154" s="446"/>
      <c r="T154" s="446"/>
      <c r="U154" s="446"/>
      <c r="V154" s="446"/>
      <c r="W154" s="446"/>
      <c r="X154" s="446"/>
      <c r="Y154" s="446"/>
      <c r="Z154" s="446"/>
      <c r="AA154" s="446"/>
      <c r="AB154" s="446"/>
      <c r="AC154" s="446"/>
      <c r="AD154" s="446"/>
      <c r="AE154" s="446"/>
      <c r="AF154" s="446"/>
      <c r="AG154" s="446"/>
      <c r="AH154" s="446"/>
      <c r="AI154" s="446"/>
      <c r="AJ154" s="446"/>
      <c r="AK154" s="446"/>
      <c r="AL154" s="446"/>
      <c r="AM154" s="446"/>
      <c r="AN154" s="446"/>
      <c r="AO154" s="446"/>
      <c r="AP154" s="446"/>
      <c r="AQ154" s="446"/>
      <c r="AR154" s="446"/>
      <c r="AS154" s="446"/>
      <c r="AT154" s="446"/>
      <c r="AU154" s="446"/>
      <c r="AV154" s="446"/>
      <c r="AW154" s="446"/>
      <c r="AX154" s="446"/>
      <c r="AY154" s="446"/>
      <c r="AZ154" s="446"/>
      <c r="BA154" s="446"/>
      <c r="BB154" s="446"/>
      <c r="BC154" s="446"/>
      <c r="BD154" s="446"/>
      <c r="BE154" s="446"/>
      <c r="BF154" s="446"/>
      <c r="BG154" s="446"/>
      <c r="BH154" s="446"/>
      <c r="BI154" s="446"/>
      <c r="BJ154" s="446"/>
      <c r="BK154" s="446"/>
      <c r="BL154" s="446"/>
    </row>
    <row r="155" spans="4:64" x14ac:dyDescent="0.2">
      <c r="D155" s="446"/>
      <c r="E155" s="446"/>
      <c r="F155" s="446"/>
      <c r="G155" s="446"/>
      <c r="H155" s="446"/>
      <c r="I155" s="446"/>
      <c r="J155" s="446"/>
      <c r="K155" s="446"/>
      <c r="L155" s="446"/>
      <c r="M155" s="446"/>
      <c r="N155" s="446"/>
      <c r="O155" s="446"/>
      <c r="P155" s="446"/>
      <c r="Q155" s="446"/>
      <c r="R155" s="446"/>
      <c r="S155" s="446"/>
      <c r="T155" s="446"/>
      <c r="U155" s="446"/>
      <c r="V155" s="446"/>
      <c r="W155" s="446"/>
      <c r="X155" s="446"/>
      <c r="Y155" s="446"/>
      <c r="Z155" s="446"/>
      <c r="AA155" s="446"/>
      <c r="AB155" s="446"/>
      <c r="AC155" s="446"/>
      <c r="AD155" s="446"/>
      <c r="AE155" s="446"/>
      <c r="AF155" s="446"/>
      <c r="AG155" s="446"/>
      <c r="AH155" s="446"/>
      <c r="AI155" s="446"/>
      <c r="AJ155" s="446"/>
      <c r="AK155" s="446"/>
      <c r="AL155" s="446"/>
      <c r="AM155" s="446"/>
      <c r="AN155" s="446"/>
      <c r="AO155" s="446"/>
      <c r="AP155" s="446"/>
      <c r="AQ155" s="446"/>
      <c r="AR155" s="446"/>
      <c r="AS155" s="446"/>
      <c r="AT155" s="446"/>
      <c r="AU155" s="446"/>
      <c r="AV155" s="446"/>
      <c r="AW155" s="446"/>
      <c r="AX155" s="446"/>
      <c r="AY155" s="446"/>
      <c r="AZ155" s="446"/>
      <c r="BA155" s="446"/>
      <c r="BB155" s="446"/>
      <c r="BC155" s="446"/>
      <c r="BD155" s="446"/>
      <c r="BE155" s="446"/>
      <c r="BF155" s="446"/>
      <c r="BG155" s="446"/>
      <c r="BH155" s="446"/>
      <c r="BI155" s="446"/>
      <c r="BJ155" s="446"/>
      <c r="BK155" s="446"/>
      <c r="BL155" s="446"/>
    </row>
    <row r="156" spans="4:64" x14ac:dyDescent="0.2">
      <c r="D156" s="446"/>
      <c r="E156" s="446"/>
      <c r="F156" s="446"/>
      <c r="G156" s="446"/>
      <c r="H156" s="446"/>
      <c r="I156" s="446"/>
      <c r="J156" s="446"/>
      <c r="K156" s="446"/>
      <c r="L156" s="446"/>
      <c r="M156" s="446"/>
      <c r="N156" s="446"/>
      <c r="O156" s="446"/>
      <c r="P156" s="446"/>
      <c r="Q156" s="446"/>
      <c r="R156" s="446"/>
      <c r="S156" s="446"/>
      <c r="T156" s="446"/>
      <c r="U156" s="446"/>
      <c r="V156" s="446"/>
      <c r="W156" s="446"/>
      <c r="X156" s="446"/>
      <c r="Y156" s="446"/>
      <c r="Z156" s="446"/>
      <c r="AA156" s="446"/>
      <c r="AB156" s="446"/>
      <c r="AC156" s="446"/>
      <c r="AD156" s="446"/>
      <c r="AE156" s="446"/>
      <c r="AF156" s="446"/>
      <c r="AG156" s="446"/>
      <c r="AH156" s="446"/>
      <c r="AI156" s="446"/>
      <c r="AJ156" s="446"/>
      <c r="AK156" s="446"/>
      <c r="AL156" s="446"/>
      <c r="AM156" s="446"/>
      <c r="AN156" s="446"/>
      <c r="AO156" s="446"/>
      <c r="AP156" s="446"/>
      <c r="AQ156" s="446"/>
      <c r="AR156" s="446"/>
      <c r="AS156" s="446"/>
      <c r="AT156" s="446"/>
      <c r="AU156" s="446"/>
      <c r="AV156" s="446"/>
      <c r="AW156" s="446"/>
      <c r="AX156" s="446"/>
      <c r="AY156" s="446"/>
      <c r="AZ156" s="446"/>
      <c r="BA156" s="446"/>
      <c r="BB156" s="446"/>
      <c r="BC156" s="446"/>
      <c r="BD156" s="446"/>
      <c r="BE156" s="446"/>
      <c r="BF156" s="446"/>
      <c r="BG156" s="446"/>
      <c r="BH156" s="446"/>
      <c r="BI156" s="446"/>
      <c r="BJ156" s="446"/>
      <c r="BK156" s="446"/>
      <c r="BL156" s="446"/>
    </row>
    <row r="157" spans="4:64" x14ac:dyDescent="0.2">
      <c r="D157" s="446"/>
      <c r="E157" s="446"/>
      <c r="F157" s="446"/>
      <c r="G157" s="446"/>
      <c r="H157" s="446"/>
      <c r="I157" s="446"/>
      <c r="J157" s="446"/>
      <c r="K157" s="446"/>
      <c r="L157" s="446"/>
      <c r="M157" s="446"/>
      <c r="N157" s="446"/>
      <c r="O157" s="446"/>
      <c r="P157" s="446"/>
      <c r="Q157" s="446"/>
      <c r="R157" s="446"/>
      <c r="S157" s="446"/>
      <c r="T157" s="446"/>
      <c r="U157" s="446"/>
      <c r="V157" s="446"/>
      <c r="W157" s="446"/>
      <c r="X157" s="446"/>
      <c r="Y157" s="446"/>
      <c r="Z157" s="446"/>
      <c r="AA157" s="446"/>
      <c r="AB157" s="446"/>
      <c r="AC157" s="446"/>
      <c r="AD157" s="446"/>
      <c r="AE157" s="446"/>
      <c r="AF157" s="446"/>
      <c r="AG157" s="446"/>
      <c r="AH157" s="446"/>
      <c r="AI157" s="446"/>
      <c r="AJ157" s="446"/>
      <c r="AK157" s="446"/>
      <c r="AL157" s="446"/>
      <c r="AM157" s="446"/>
      <c r="AN157" s="446"/>
      <c r="AO157" s="446"/>
      <c r="AP157" s="446"/>
      <c r="AQ157" s="446"/>
      <c r="AR157" s="446"/>
      <c r="AS157" s="446"/>
      <c r="AT157" s="446"/>
      <c r="AU157" s="446"/>
      <c r="AV157" s="446"/>
      <c r="AW157" s="446"/>
      <c r="AX157" s="446"/>
      <c r="AY157" s="446"/>
      <c r="AZ157" s="446"/>
      <c r="BA157" s="446"/>
      <c r="BB157" s="446"/>
      <c r="BC157" s="446"/>
      <c r="BD157" s="446"/>
      <c r="BE157" s="446"/>
      <c r="BF157" s="446"/>
      <c r="BG157" s="446"/>
      <c r="BH157" s="446"/>
      <c r="BI157" s="446"/>
      <c r="BJ157" s="446"/>
      <c r="BK157" s="446"/>
      <c r="BL157" s="446"/>
    </row>
    <row r="158" spans="4:64" x14ac:dyDescent="0.2">
      <c r="D158" s="446"/>
      <c r="E158" s="446"/>
      <c r="F158" s="446"/>
      <c r="G158" s="446"/>
      <c r="H158" s="446"/>
      <c r="I158" s="446"/>
      <c r="J158" s="446"/>
      <c r="K158" s="446"/>
      <c r="L158" s="446"/>
      <c r="M158" s="446"/>
      <c r="N158" s="446"/>
      <c r="O158" s="446"/>
      <c r="P158" s="446"/>
      <c r="Q158" s="446"/>
      <c r="R158" s="446"/>
      <c r="S158" s="446"/>
      <c r="T158" s="446"/>
      <c r="U158" s="446"/>
      <c r="V158" s="446"/>
      <c r="W158" s="446"/>
      <c r="X158" s="446"/>
      <c r="Y158" s="446"/>
      <c r="Z158" s="446"/>
      <c r="AA158" s="446"/>
      <c r="AB158" s="446"/>
      <c r="AC158" s="446"/>
      <c r="AD158" s="446"/>
      <c r="AE158" s="446"/>
      <c r="AF158" s="446"/>
      <c r="AG158" s="446"/>
      <c r="AH158" s="446"/>
      <c r="AI158" s="446"/>
      <c r="AJ158" s="446"/>
      <c r="AK158" s="446"/>
      <c r="AL158" s="446"/>
      <c r="AM158" s="446"/>
      <c r="AN158" s="446"/>
      <c r="AO158" s="446"/>
      <c r="AP158" s="446"/>
      <c r="AQ158" s="446"/>
      <c r="AR158" s="446"/>
      <c r="AS158" s="446"/>
      <c r="AT158" s="446"/>
      <c r="AU158" s="446"/>
      <c r="AV158" s="446"/>
      <c r="AW158" s="446"/>
      <c r="AX158" s="446"/>
      <c r="AY158" s="446"/>
      <c r="AZ158" s="446"/>
      <c r="BA158" s="446"/>
      <c r="BB158" s="446"/>
      <c r="BC158" s="446"/>
      <c r="BD158" s="446"/>
      <c r="BE158" s="446"/>
      <c r="BF158" s="446"/>
      <c r="BG158" s="446"/>
      <c r="BH158" s="446"/>
      <c r="BI158" s="446"/>
      <c r="BJ158" s="446"/>
      <c r="BK158" s="446"/>
      <c r="BL158" s="446"/>
    </row>
    <row r="159" spans="4:64" x14ac:dyDescent="0.2">
      <c r="D159" s="446"/>
      <c r="E159" s="446"/>
      <c r="F159" s="446"/>
      <c r="G159" s="446"/>
      <c r="H159" s="446"/>
      <c r="I159" s="446"/>
      <c r="J159" s="446"/>
      <c r="K159" s="446"/>
      <c r="L159" s="446"/>
      <c r="M159" s="446"/>
      <c r="N159" s="446"/>
      <c r="O159" s="446"/>
      <c r="P159" s="446"/>
      <c r="Q159" s="446"/>
      <c r="R159" s="446"/>
      <c r="S159" s="446"/>
      <c r="T159" s="446"/>
      <c r="U159" s="446"/>
      <c r="V159" s="446"/>
      <c r="W159" s="446"/>
      <c r="X159" s="446"/>
      <c r="Y159" s="446"/>
      <c r="Z159" s="446"/>
      <c r="AA159" s="446"/>
      <c r="AB159" s="446"/>
      <c r="AC159" s="446"/>
      <c r="AD159" s="446"/>
      <c r="AE159" s="446"/>
      <c r="AF159" s="446"/>
      <c r="AG159" s="446"/>
      <c r="AH159" s="446"/>
      <c r="AI159" s="446"/>
      <c r="AJ159" s="446"/>
      <c r="AK159" s="446"/>
      <c r="AL159" s="446"/>
      <c r="AM159" s="446"/>
      <c r="AN159" s="446"/>
      <c r="AO159" s="446"/>
      <c r="AP159" s="446"/>
      <c r="AQ159" s="446"/>
      <c r="AR159" s="446"/>
      <c r="AS159" s="446"/>
      <c r="AT159" s="446"/>
      <c r="AU159" s="446"/>
      <c r="AV159" s="446"/>
      <c r="AW159" s="446"/>
      <c r="AX159" s="446"/>
      <c r="AY159" s="446"/>
      <c r="AZ159" s="446"/>
      <c r="BA159" s="446"/>
      <c r="BB159" s="446"/>
      <c r="BC159" s="446"/>
      <c r="BD159" s="446"/>
      <c r="BE159" s="446"/>
      <c r="BF159" s="446"/>
      <c r="BG159" s="446"/>
      <c r="BH159" s="446"/>
      <c r="BI159" s="446"/>
      <c r="BJ159" s="446"/>
      <c r="BK159" s="446"/>
      <c r="BL159" s="446"/>
    </row>
    <row r="160" spans="4:64" x14ac:dyDescent="0.2">
      <c r="D160" s="446"/>
      <c r="E160" s="446"/>
      <c r="F160" s="446"/>
      <c r="G160" s="446"/>
      <c r="H160" s="446"/>
      <c r="I160" s="446"/>
      <c r="J160" s="446"/>
      <c r="K160" s="446"/>
      <c r="L160" s="446"/>
      <c r="M160" s="446"/>
      <c r="N160" s="446"/>
      <c r="O160" s="446"/>
      <c r="P160" s="446"/>
      <c r="Q160" s="446"/>
      <c r="R160" s="446"/>
      <c r="S160" s="446"/>
      <c r="T160" s="446"/>
      <c r="U160" s="446"/>
      <c r="V160" s="446"/>
      <c r="W160" s="446"/>
      <c r="X160" s="446"/>
      <c r="Y160" s="446"/>
      <c r="Z160" s="446"/>
      <c r="AA160" s="446"/>
      <c r="AB160" s="446"/>
      <c r="AC160" s="446"/>
      <c r="AD160" s="446"/>
      <c r="AE160" s="446"/>
      <c r="AF160" s="446"/>
      <c r="AG160" s="446"/>
      <c r="AH160" s="446"/>
      <c r="AI160" s="446"/>
      <c r="AJ160" s="446"/>
      <c r="AK160" s="446"/>
      <c r="AL160" s="446"/>
      <c r="AM160" s="446"/>
      <c r="AN160" s="446"/>
      <c r="AO160" s="446"/>
      <c r="AP160" s="446"/>
      <c r="AQ160" s="446"/>
      <c r="AR160" s="446"/>
      <c r="AS160" s="446"/>
      <c r="AT160" s="446"/>
      <c r="AU160" s="446"/>
      <c r="AV160" s="446"/>
      <c r="AW160" s="446"/>
      <c r="AX160" s="446"/>
      <c r="AY160" s="446"/>
      <c r="AZ160" s="446"/>
      <c r="BA160" s="446"/>
      <c r="BB160" s="446"/>
      <c r="BC160" s="446"/>
      <c r="BD160" s="446"/>
      <c r="BE160" s="446"/>
      <c r="BF160" s="446"/>
      <c r="BG160" s="446"/>
      <c r="BH160" s="446"/>
      <c r="BI160" s="446"/>
      <c r="BJ160" s="446"/>
      <c r="BK160" s="446"/>
      <c r="BL160" s="446"/>
    </row>
    <row r="161" spans="4:64" x14ac:dyDescent="0.2">
      <c r="D161" s="446"/>
      <c r="E161" s="446"/>
      <c r="F161" s="446"/>
      <c r="G161" s="446"/>
      <c r="H161" s="446"/>
      <c r="I161" s="446"/>
      <c r="J161" s="446"/>
      <c r="K161" s="446"/>
      <c r="L161" s="446"/>
      <c r="M161" s="446"/>
      <c r="N161" s="446"/>
      <c r="O161" s="446"/>
      <c r="P161" s="446"/>
      <c r="Q161" s="446"/>
      <c r="R161" s="446"/>
      <c r="S161" s="446"/>
      <c r="T161" s="446"/>
      <c r="U161" s="446"/>
      <c r="V161" s="446"/>
      <c r="W161" s="446"/>
      <c r="X161" s="446"/>
      <c r="Y161" s="446"/>
      <c r="Z161" s="446"/>
      <c r="AA161" s="446"/>
      <c r="AB161" s="446"/>
      <c r="AC161" s="446"/>
      <c r="AD161" s="446"/>
      <c r="AE161" s="446"/>
      <c r="AF161" s="446"/>
      <c r="AG161" s="446"/>
      <c r="AH161" s="446"/>
      <c r="AI161" s="446"/>
      <c r="AJ161" s="446"/>
      <c r="AK161" s="446"/>
      <c r="AL161" s="446"/>
      <c r="AM161" s="446"/>
      <c r="AN161" s="446"/>
      <c r="AO161" s="446"/>
      <c r="AP161" s="446"/>
      <c r="AQ161" s="446"/>
      <c r="AR161" s="446"/>
      <c r="AS161" s="446"/>
      <c r="AT161" s="446"/>
      <c r="AU161" s="446"/>
      <c r="AV161" s="446"/>
      <c r="AW161" s="446"/>
      <c r="AX161" s="446"/>
      <c r="AY161" s="446"/>
      <c r="AZ161" s="446"/>
      <c r="BA161" s="446"/>
      <c r="BB161" s="446"/>
      <c r="BC161" s="446"/>
      <c r="BD161" s="446"/>
      <c r="BE161" s="446"/>
      <c r="BF161" s="446"/>
      <c r="BG161" s="446"/>
      <c r="BH161" s="446"/>
      <c r="BI161" s="446"/>
      <c r="BJ161" s="446"/>
      <c r="BK161" s="446"/>
      <c r="BL161" s="446"/>
    </row>
    <row r="162" spans="4:64" x14ac:dyDescent="0.2">
      <c r="D162" s="446"/>
      <c r="E162" s="446"/>
      <c r="F162" s="446"/>
      <c r="G162" s="446"/>
      <c r="H162" s="446"/>
      <c r="I162" s="446"/>
      <c r="J162" s="446"/>
      <c r="K162" s="446"/>
      <c r="L162" s="446"/>
      <c r="M162" s="446"/>
      <c r="N162" s="446"/>
      <c r="O162" s="446"/>
      <c r="P162" s="446"/>
      <c r="Q162" s="446"/>
      <c r="R162" s="446"/>
      <c r="S162" s="446"/>
      <c r="T162" s="446"/>
      <c r="U162" s="446"/>
      <c r="V162" s="446"/>
      <c r="W162" s="446"/>
      <c r="X162" s="446"/>
      <c r="Y162" s="446"/>
      <c r="Z162" s="446"/>
      <c r="AA162" s="446"/>
      <c r="AB162" s="446"/>
      <c r="AC162" s="446"/>
      <c r="AD162" s="446"/>
      <c r="AE162" s="446"/>
      <c r="AF162" s="446"/>
      <c r="AG162" s="446"/>
      <c r="AH162" s="446"/>
      <c r="AI162" s="446"/>
      <c r="AJ162" s="446"/>
      <c r="AK162" s="446"/>
      <c r="AL162" s="446"/>
      <c r="AM162" s="446"/>
      <c r="AN162" s="446"/>
      <c r="AO162" s="446"/>
      <c r="AP162" s="446"/>
      <c r="AQ162" s="446"/>
      <c r="AR162" s="446"/>
      <c r="AS162" s="446"/>
      <c r="AT162" s="446"/>
      <c r="AU162" s="446"/>
      <c r="AV162" s="446"/>
      <c r="AW162" s="446"/>
      <c r="AX162" s="446"/>
      <c r="AY162" s="446"/>
      <c r="AZ162" s="446"/>
      <c r="BA162" s="446"/>
      <c r="BB162" s="446"/>
      <c r="BC162" s="446"/>
      <c r="BD162" s="446"/>
      <c r="BE162" s="446"/>
      <c r="BF162" s="446"/>
      <c r="BG162" s="446"/>
      <c r="BH162" s="446"/>
      <c r="BI162" s="446"/>
      <c r="BJ162" s="446"/>
      <c r="BK162" s="446"/>
      <c r="BL162" s="446"/>
    </row>
    <row r="163" spans="4:64" x14ac:dyDescent="0.2">
      <c r="D163" s="446"/>
      <c r="E163" s="446"/>
      <c r="F163" s="446"/>
      <c r="G163" s="446"/>
      <c r="H163" s="446"/>
      <c r="I163" s="446"/>
      <c r="J163" s="446"/>
      <c r="K163" s="446"/>
      <c r="L163" s="446"/>
      <c r="M163" s="446"/>
      <c r="N163" s="446"/>
      <c r="O163" s="446"/>
      <c r="P163" s="446"/>
      <c r="Q163" s="446"/>
      <c r="R163" s="446"/>
      <c r="S163" s="446"/>
      <c r="T163" s="446"/>
      <c r="U163" s="446"/>
      <c r="V163" s="446"/>
      <c r="W163" s="446"/>
      <c r="X163" s="446"/>
      <c r="Y163" s="446"/>
      <c r="Z163" s="446"/>
      <c r="AA163" s="446"/>
      <c r="AB163" s="446"/>
      <c r="AC163" s="446"/>
      <c r="AD163" s="446"/>
      <c r="AE163" s="446"/>
      <c r="AF163" s="446"/>
      <c r="AG163" s="446"/>
      <c r="AH163" s="446"/>
      <c r="AI163" s="446"/>
      <c r="AJ163" s="446"/>
      <c r="AK163" s="446"/>
      <c r="AL163" s="446"/>
      <c r="AM163" s="446"/>
      <c r="AN163" s="446"/>
      <c r="AO163" s="446"/>
      <c r="AP163" s="446"/>
      <c r="AQ163" s="446"/>
      <c r="AR163" s="446"/>
      <c r="AS163" s="446"/>
      <c r="AT163" s="446"/>
      <c r="AU163" s="446"/>
      <c r="AV163" s="446"/>
      <c r="AW163" s="446"/>
      <c r="AX163" s="446"/>
      <c r="AY163" s="446"/>
      <c r="AZ163" s="446"/>
      <c r="BA163" s="446"/>
      <c r="BB163" s="446"/>
      <c r="BC163" s="446"/>
      <c r="BD163" s="446"/>
      <c r="BE163" s="446"/>
      <c r="BF163" s="446"/>
      <c r="BG163" s="446"/>
      <c r="BH163" s="446"/>
      <c r="BI163" s="446"/>
      <c r="BJ163" s="446"/>
      <c r="BK163" s="446"/>
      <c r="BL163" s="446"/>
    </row>
    <row r="164" spans="4:64" x14ac:dyDescent="0.2">
      <c r="D164" s="446"/>
      <c r="E164" s="446"/>
      <c r="F164" s="446"/>
      <c r="G164" s="446"/>
      <c r="H164" s="446"/>
      <c r="I164" s="446"/>
      <c r="J164" s="446"/>
      <c r="K164" s="446"/>
      <c r="L164" s="446"/>
      <c r="M164" s="446"/>
      <c r="N164" s="446"/>
      <c r="O164" s="446"/>
      <c r="P164" s="446"/>
      <c r="Q164" s="446"/>
      <c r="R164" s="446"/>
      <c r="S164" s="446"/>
      <c r="T164" s="446"/>
      <c r="U164" s="446"/>
      <c r="V164" s="446"/>
      <c r="W164" s="446"/>
      <c r="X164" s="446"/>
      <c r="Y164" s="446"/>
      <c r="Z164" s="446"/>
      <c r="AA164" s="446"/>
      <c r="AB164" s="446"/>
      <c r="AC164" s="446"/>
      <c r="AD164" s="446"/>
      <c r="AE164" s="446"/>
      <c r="AF164" s="446"/>
      <c r="AG164" s="446"/>
      <c r="AH164" s="446"/>
      <c r="AI164" s="446"/>
      <c r="AJ164" s="446"/>
      <c r="AK164" s="446"/>
      <c r="AL164" s="446"/>
      <c r="AM164" s="446"/>
      <c r="AN164" s="446"/>
      <c r="AO164" s="446"/>
      <c r="AP164" s="446"/>
      <c r="AQ164" s="446"/>
      <c r="AR164" s="446"/>
      <c r="AS164" s="446"/>
      <c r="AT164" s="446"/>
      <c r="AU164" s="446"/>
      <c r="AV164" s="446"/>
      <c r="AW164" s="446"/>
      <c r="AX164" s="446"/>
      <c r="AY164" s="446"/>
      <c r="AZ164" s="446"/>
      <c r="BA164" s="446"/>
      <c r="BB164" s="446"/>
      <c r="BC164" s="446"/>
      <c r="BD164" s="446"/>
      <c r="BE164" s="446"/>
      <c r="BF164" s="446"/>
      <c r="BG164" s="446"/>
      <c r="BH164" s="446"/>
      <c r="BI164" s="446"/>
      <c r="BJ164" s="446"/>
      <c r="BK164" s="446"/>
      <c r="BL164" s="446"/>
    </row>
    <row r="165" spans="4:64" x14ac:dyDescent="0.2">
      <c r="D165" s="446"/>
      <c r="E165" s="446"/>
      <c r="F165" s="446"/>
      <c r="G165" s="446"/>
      <c r="H165" s="446"/>
      <c r="I165" s="446"/>
      <c r="J165" s="446"/>
      <c r="K165" s="446"/>
      <c r="L165" s="446"/>
      <c r="M165" s="446"/>
      <c r="N165" s="446"/>
      <c r="O165" s="446"/>
      <c r="P165" s="446"/>
      <c r="Q165" s="446"/>
      <c r="R165" s="446"/>
      <c r="S165" s="446"/>
      <c r="T165" s="446"/>
      <c r="U165" s="446"/>
      <c r="V165" s="446"/>
      <c r="W165" s="446"/>
      <c r="X165" s="446"/>
      <c r="Y165" s="446"/>
      <c r="Z165" s="446"/>
      <c r="AA165" s="446"/>
      <c r="AB165" s="446"/>
      <c r="AC165" s="446"/>
      <c r="AD165" s="446"/>
      <c r="AE165" s="446"/>
      <c r="AF165" s="446"/>
      <c r="AG165" s="446"/>
      <c r="AH165" s="446"/>
      <c r="AI165" s="446"/>
      <c r="AJ165" s="446"/>
      <c r="AK165" s="446"/>
      <c r="AL165" s="446"/>
      <c r="AM165" s="446"/>
      <c r="AN165" s="446"/>
      <c r="AO165" s="446"/>
      <c r="AP165" s="446"/>
      <c r="AQ165" s="446"/>
      <c r="AR165" s="446"/>
      <c r="AS165" s="446"/>
      <c r="AT165" s="446"/>
      <c r="AU165" s="446"/>
      <c r="AV165" s="446"/>
      <c r="AW165" s="446"/>
      <c r="AX165" s="446"/>
      <c r="AY165" s="446"/>
      <c r="AZ165" s="446"/>
      <c r="BA165" s="446"/>
      <c r="BB165" s="446"/>
      <c r="BC165" s="446"/>
      <c r="BD165" s="446"/>
      <c r="BE165" s="446"/>
      <c r="BF165" s="446"/>
      <c r="BG165" s="446"/>
      <c r="BH165" s="446"/>
      <c r="BI165" s="446"/>
      <c r="BJ165" s="446"/>
      <c r="BK165" s="446"/>
      <c r="BL165" s="446"/>
    </row>
    <row r="166" spans="4:64" x14ac:dyDescent="0.2">
      <c r="D166" s="446"/>
      <c r="E166" s="446"/>
      <c r="F166" s="446"/>
      <c r="G166" s="446"/>
      <c r="H166" s="446"/>
      <c r="I166" s="446"/>
      <c r="J166" s="446"/>
      <c r="K166" s="446"/>
      <c r="L166" s="446"/>
      <c r="M166" s="446"/>
      <c r="N166" s="446"/>
      <c r="O166" s="446"/>
      <c r="P166" s="446"/>
      <c r="Q166" s="446"/>
      <c r="R166" s="446"/>
      <c r="S166" s="446"/>
      <c r="T166" s="446"/>
      <c r="U166" s="446"/>
      <c r="V166" s="446"/>
      <c r="W166" s="446"/>
      <c r="X166" s="446"/>
      <c r="Y166" s="446"/>
      <c r="Z166" s="446"/>
      <c r="AA166" s="446"/>
      <c r="AB166" s="446"/>
      <c r="AC166" s="446"/>
      <c r="AD166" s="446"/>
      <c r="AE166" s="446"/>
      <c r="AF166" s="446"/>
      <c r="AG166" s="446"/>
      <c r="AH166" s="446"/>
      <c r="AI166" s="446"/>
      <c r="AJ166" s="446"/>
      <c r="AK166" s="446"/>
      <c r="AL166" s="446"/>
      <c r="AM166" s="446"/>
      <c r="AN166" s="446"/>
      <c r="AO166" s="446"/>
      <c r="AP166" s="446"/>
      <c r="AQ166" s="446"/>
      <c r="AR166" s="446"/>
      <c r="AS166" s="446"/>
      <c r="AT166" s="446"/>
      <c r="AU166" s="446"/>
      <c r="AV166" s="446"/>
      <c r="AW166" s="446"/>
      <c r="AX166" s="446"/>
      <c r="AY166" s="446"/>
      <c r="AZ166" s="446"/>
      <c r="BA166" s="446"/>
      <c r="BB166" s="446"/>
      <c r="BC166" s="446"/>
      <c r="BD166" s="446"/>
      <c r="BE166" s="446"/>
      <c r="BF166" s="446"/>
      <c r="BG166" s="446"/>
      <c r="BH166" s="446"/>
      <c r="BI166" s="446"/>
      <c r="BJ166" s="446"/>
      <c r="BK166" s="446"/>
      <c r="BL166" s="446"/>
    </row>
    <row r="167" spans="4:64" x14ac:dyDescent="0.2">
      <c r="D167" s="446"/>
      <c r="E167" s="446"/>
      <c r="F167" s="446"/>
      <c r="G167" s="446"/>
      <c r="H167" s="446"/>
      <c r="I167" s="446"/>
      <c r="J167" s="446"/>
      <c r="K167" s="446"/>
      <c r="L167" s="446"/>
      <c r="M167" s="446"/>
      <c r="N167" s="446"/>
      <c r="O167" s="446"/>
      <c r="P167" s="446"/>
      <c r="Q167" s="446"/>
      <c r="R167" s="446"/>
      <c r="S167" s="446"/>
      <c r="T167" s="446"/>
      <c r="U167" s="446"/>
      <c r="V167" s="446"/>
      <c r="W167" s="446"/>
      <c r="X167" s="446"/>
      <c r="Y167" s="446"/>
      <c r="Z167" s="446"/>
      <c r="AA167" s="446"/>
      <c r="AB167" s="446"/>
      <c r="AC167" s="446"/>
      <c r="AD167" s="446"/>
      <c r="AE167" s="446"/>
      <c r="AF167" s="446"/>
      <c r="AG167" s="446"/>
      <c r="AH167" s="446"/>
      <c r="AI167" s="446"/>
      <c r="AJ167" s="446"/>
      <c r="AK167" s="446"/>
      <c r="AL167" s="446"/>
      <c r="AM167" s="446"/>
      <c r="AN167" s="446"/>
      <c r="AO167" s="446"/>
      <c r="AP167" s="446"/>
      <c r="AQ167" s="446"/>
      <c r="AR167" s="446"/>
      <c r="AS167" s="446"/>
      <c r="AT167" s="446"/>
      <c r="AU167" s="446"/>
      <c r="AV167" s="446"/>
      <c r="AW167" s="446"/>
      <c r="AX167" s="446"/>
      <c r="AY167" s="446"/>
      <c r="AZ167" s="446"/>
      <c r="BA167" s="446"/>
      <c r="BB167" s="446"/>
      <c r="BC167" s="446"/>
      <c r="BD167" s="446"/>
      <c r="BE167" s="446"/>
      <c r="BF167" s="446"/>
      <c r="BG167" s="446"/>
      <c r="BH167" s="446"/>
      <c r="BI167" s="446"/>
      <c r="BJ167" s="446"/>
      <c r="BK167" s="446"/>
      <c r="BL167" s="446"/>
    </row>
    <row r="168" spans="4:64" x14ac:dyDescent="0.2">
      <c r="D168" s="446"/>
      <c r="E168" s="446"/>
      <c r="F168" s="446"/>
      <c r="G168" s="446"/>
      <c r="H168" s="446"/>
      <c r="I168" s="446"/>
      <c r="J168" s="446"/>
      <c r="K168" s="446"/>
      <c r="L168" s="446"/>
      <c r="M168" s="446"/>
      <c r="N168" s="446"/>
      <c r="O168" s="446"/>
      <c r="P168" s="446"/>
      <c r="Q168" s="446"/>
      <c r="R168" s="446"/>
      <c r="S168" s="446"/>
      <c r="T168" s="446"/>
      <c r="U168" s="446"/>
      <c r="V168" s="446"/>
      <c r="W168" s="446"/>
      <c r="X168" s="446"/>
      <c r="Y168" s="446"/>
      <c r="Z168" s="446"/>
      <c r="AA168" s="446"/>
      <c r="AB168" s="446"/>
      <c r="AC168" s="446"/>
      <c r="AD168" s="446"/>
      <c r="AE168" s="446"/>
      <c r="AF168" s="446"/>
      <c r="AG168" s="446"/>
      <c r="AH168" s="446"/>
      <c r="AI168" s="446"/>
      <c r="AJ168" s="446"/>
      <c r="AK168" s="446"/>
      <c r="AL168" s="446"/>
      <c r="AM168" s="446"/>
      <c r="AN168" s="446"/>
      <c r="AO168" s="446"/>
      <c r="AP168" s="446"/>
      <c r="AQ168" s="446"/>
      <c r="AR168" s="446"/>
      <c r="AS168" s="446"/>
      <c r="AT168" s="446"/>
      <c r="AU168" s="446"/>
      <c r="AV168" s="446"/>
      <c r="AW168" s="446"/>
      <c r="AX168" s="446"/>
      <c r="AY168" s="446"/>
      <c r="AZ168" s="446"/>
      <c r="BA168" s="446"/>
      <c r="BB168" s="446"/>
      <c r="BC168" s="446"/>
      <c r="BD168" s="446"/>
      <c r="BE168" s="446"/>
      <c r="BF168" s="446"/>
      <c r="BG168" s="446"/>
      <c r="BH168" s="446"/>
      <c r="BI168" s="446"/>
      <c r="BJ168" s="446"/>
      <c r="BK168" s="446"/>
      <c r="BL168" s="446"/>
    </row>
    <row r="169" spans="4:64" x14ac:dyDescent="0.2">
      <c r="D169" s="446"/>
      <c r="E169" s="446"/>
      <c r="F169" s="446"/>
      <c r="G169" s="446"/>
      <c r="H169" s="446"/>
      <c r="I169" s="446"/>
      <c r="J169" s="446"/>
      <c r="K169" s="446"/>
      <c r="L169" s="446"/>
      <c r="M169" s="446"/>
      <c r="N169" s="446"/>
      <c r="O169" s="446"/>
      <c r="P169" s="446"/>
      <c r="Q169" s="446"/>
      <c r="R169" s="446"/>
      <c r="S169" s="446"/>
      <c r="T169" s="446"/>
      <c r="U169" s="446"/>
      <c r="V169" s="446"/>
      <c r="W169" s="446"/>
      <c r="X169" s="446"/>
      <c r="Y169" s="446"/>
      <c r="Z169" s="446"/>
      <c r="AA169" s="446"/>
      <c r="AB169" s="446"/>
      <c r="AC169" s="446"/>
      <c r="AD169" s="446"/>
      <c r="AE169" s="446"/>
      <c r="AF169" s="446"/>
      <c r="AG169" s="446"/>
      <c r="AH169" s="446"/>
      <c r="AI169" s="446"/>
      <c r="AJ169" s="446"/>
      <c r="AK169" s="446"/>
      <c r="AL169" s="446"/>
      <c r="AM169" s="446"/>
      <c r="AN169" s="446"/>
      <c r="AO169" s="446"/>
      <c r="AP169" s="446"/>
      <c r="AQ169" s="446"/>
      <c r="AR169" s="446"/>
      <c r="AS169" s="446"/>
      <c r="AT169" s="446"/>
      <c r="AU169" s="446"/>
      <c r="AV169" s="446"/>
      <c r="AW169" s="446"/>
      <c r="AX169" s="446"/>
      <c r="AY169" s="446"/>
      <c r="AZ169" s="446"/>
      <c r="BA169" s="446"/>
      <c r="BB169" s="446"/>
      <c r="BC169" s="446"/>
      <c r="BD169" s="446"/>
      <c r="BE169" s="446"/>
      <c r="BF169" s="446"/>
      <c r="BG169" s="446"/>
      <c r="BH169" s="446"/>
      <c r="BI169" s="446"/>
      <c r="BJ169" s="446"/>
      <c r="BK169" s="446"/>
      <c r="BL169" s="446"/>
    </row>
    <row r="170" spans="4:64" x14ac:dyDescent="0.2">
      <c r="D170" s="446"/>
      <c r="E170" s="446"/>
      <c r="F170" s="446"/>
      <c r="G170" s="446"/>
      <c r="H170" s="446"/>
      <c r="I170" s="446"/>
      <c r="J170" s="446"/>
      <c r="K170" s="446"/>
      <c r="L170" s="446"/>
      <c r="M170" s="446"/>
      <c r="N170" s="446"/>
      <c r="O170" s="446"/>
      <c r="P170" s="446"/>
      <c r="Q170" s="446"/>
      <c r="R170" s="446"/>
      <c r="S170" s="446"/>
      <c r="T170" s="446"/>
      <c r="U170" s="446"/>
      <c r="V170" s="446"/>
      <c r="W170" s="446"/>
      <c r="X170" s="446"/>
      <c r="Y170" s="446"/>
      <c r="Z170" s="446"/>
      <c r="AA170" s="446"/>
      <c r="AB170" s="446"/>
      <c r="AC170" s="446"/>
      <c r="AD170" s="446"/>
      <c r="AE170" s="446"/>
      <c r="AF170" s="446"/>
      <c r="AG170" s="446"/>
      <c r="AH170" s="446"/>
      <c r="AI170" s="446"/>
      <c r="AJ170" s="446"/>
      <c r="AK170" s="446"/>
      <c r="AL170" s="446"/>
      <c r="AM170" s="446"/>
      <c r="AN170" s="446"/>
      <c r="AO170" s="446"/>
      <c r="AP170" s="446"/>
      <c r="AQ170" s="446"/>
      <c r="AR170" s="446"/>
      <c r="AS170" s="446"/>
      <c r="AT170" s="446"/>
      <c r="AU170" s="446"/>
      <c r="AV170" s="446"/>
      <c r="AW170" s="446"/>
      <c r="AX170" s="446"/>
      <c r="AY170" s="446"/>
      <c r="AZ170" s="446"/>
      <c r="BA170" s="446"/>
      <c r="BB170" s="446"/>
      <c r="BC170" s="446"/>
      <c r="BD170" s="446"/>
      <c r="BE170" s="446"/>
      <c r="BF170" s="446"/>
      <c r="BG170" s="446"/>
      <c r="BH170" s="446"/>
      <c r="BI170" s="446"/>
      <c r="BJ170" s="446"/>
      <c r="BK170" s="446"/>
      <c r="BL170" s="446"/>
    </row>
    <row r="171" spans="4:64" x14ac:dyDescent="0.2">
      <c r="D171" s="446"/>
      <c r="E171" s="446"/>
      <c r="F171" s="446"/>
      <c r="G171" s="446"/>
      <c r="H171" s="446"/>
      <c r="I171" s="446"/>
      <c r="J171" s="446"/>
      <c r="K171" s="446"/>
      <c r="L171" s="446"/>
      <c r="M171" s="446"/>
      <c r="N171" s="446"/>
      <c r="O171" s="446"/>
      <c r="P171" s="446"/>
      <c r="Q171" s="446"/>
      <c r="R171" s="446"/>
      <c r="S171" s="446"/>
      <c r="T171" s="446"/>
      <c r="U171" s="446"/>
      <c r="V171" s="446"/>
      <c r="W171" s="446"/>
      <c r="X171" s="446"/>
      <c r="Y171" s="446"/>
      <c r="Z171" s="446"/>
      <c r="AA171" s="446"/>
      <c r="AB171" s="446"/>
      <c r="AC171" s="446"/>
      <c r="AD171" s="446"/>
      <c r="AE171" s="446"/>
      <c r="AF171" s="446"/>
      <c r="AG171" s="446"/>
      <c r="AH171" s="446"/>
      <c r="AI171" s="446"/>
      <c r="AJ171" s="446"/>
      <c r="AK171" s="446"/>
      <c r="AL171" s="446"/>
      <c r="AM171" s="446"/>
      <c r="AN171" s="446"/>
      <c r="AO171" s="446"/>
      <c r="AP171" s="446"/>
      <c r="AQ171" s="446"/>
      <c r="AR171" s="446"/>
      <c r="AS171" s="446"/>
      <c r="AT171" s="446"/>
      <c r="AU171" s="446"/>
      <c r="AV171" s="446"/>
      <c r="AW171" s="446"/>
      <c r="AX171" s="446"/>
      <c r="AY171" s="446"/>
      <c r="AZ171" s="446"/>
      <c r="BA171" s="446"/>
      <c r="BB171" s="446"/>
      <c r="BC171" s="446"/>
      <c r="BD171" s="446"/>
      <c r="BE171" s="446"/>
      <c r="BF171" s="446"/>
      <c r="BG171" s="446"/>
      <c r="BH171" s="446"/>
      <c r="BI171" s="446"/>
      <c r="BJ171" s="446"/>
      <c r="BK171" s="446"/>
      <c r="BL171" s="446"/>
    </row>
    <row r="172" spans="4:64" x14ac:dyDescent="0.2">
      <c r="D172" s="446"/>
      <c r="E172" s="446"/>
      <c r="F172" s="446"/>
      <c r="G172" s="446"/>
      <c r="H172" s="446"/>
      <c r="I172" s="446"/>
      <c r="J172" s="446"/>
      <c r="K172" s="446"/>
      <c r="L172" s="446"/>
      <c r="M172" s="446"/>
      <c r="N172" s="446"/>
      <c r="O172" s="446"/>
      <c r="P172" s="446"/>
      <c r="Q172" s="446"/>
      <c r="R172" s="446"/>
      <c r="S172" s="446"/>
      <c r="T172" s="446"/>
      <c r="U172" s="446"/>
      <c r="V172" s="446"/>
      <c r="W172" s="446"/>
      <c r="X172" s="446"/>
      <c r="Y172" s="446"/>
      <c r="Z172" s="446"/>
      <c r="AA172" s="446"/>
      <c r="AB172" s="446"/>
      <c r="AC172" s="446"/>
      <c r="AD172" s="446"/>
      <c r="AE172" s="446"/>
      <c r="AF172" s="446"/>
      <c r="AG172" s="446"/>
      <c r="AH172" s="446"/>
      <c r="AI172" s="446"/>
      <c r="AJ172" s="446"/>
      <c r="AK172" s="446"/>
      <c r="AL172" s="446"/>
      <c r="AM172" s="446"/>
      <c r="AN172" s="446"/>
      <c r="AO172" s="446"/>
      <c r="AP172" s="446"/>
      <c r="AQ172" s="446"/>
      <c r="AR172" s="446"/>
      <c r="AS172" s="446"/>
      <c r="AT172" s="446"/>
      <c r="AU172" s="446"/>
      <c r="AV172" s="446"/>
      <c r="AW172" s="446"/>
      <c r="AX172" s="446"/>
      <c r="AY172" s="446"/>
      <c r="AZ172" s="446"/>
      <c r="BA172" s="446"/>
      <c r="BB172" s="446"/>
      <c r="BC172" s="446"/>
      <c r="BD172" s="446"/>
      <c r="BE172" s="446"/>
      <c r="BF172" s="446"/>
      <c r="BG172" s="446"/>
      <c r="BH172" s="446"/>
      <c r="BI172" s="446"/>
      <c r="BJ172" s="446"/>
      <c r="BK172" s="446"/>
      <c r="BL172" s="446"/>
    </row>
    <row r="173" spans="4:64" x14ac:dyDescent="0.2">
      <c r="D173" s="446"/>
      <c r="E173" s="446"/>
      <c r="F173" s="446"/>
      <c r="G173" s="446"/>
      <c r="H173" s="446"/>
      <c r="I173" s="446"/>
      <c r="J173" s="446"/>
      <c r="K173" s="446"/>
      <c r="L173" s="446"/>
      <c r="M173" s="446"/>
      <c r="N173" s="446"/>
      <c r="O173" s="446"/>
      <c r="P173" s="446"/>
      <c r="Q173" s="446"/>
      <c r="R173" s="446"/>
      <c r="S173" s="446"/>
      <c r="T173" s="446"/>
      <c r="U173" s="446"/>
      <c r="V173" s="446"/>
      <c r="W173" s="446"/>
      <c r="X173" s="446"/>
      <c r="Y173" s="446"/>
      <c r="Z173" s="446"/>
      <c r="AA173" s="446"/>
      <c r="AB173" s="446"/>
      <c r="AC173" s="446"/>
      <c r="AD173" s="446"/>
      <c r="AE173" s="446"/>
      <c r="AF173" s="446"/>
      <c r="AG173" s="446"/>
      <c r="AH173" s="446"/>
      <c r="AI173" s="446"/>
      <c r="AJ173" s="446"/>
      <c r="AK173" s="446"/>
      <c r="AL173" s="446"/>
      <c r="AM173" s="446"/>
      <c r="AN173" s="446"/>
      <c r="AO173" s="446"/>
      <c r="AP173" s="446"/>
      <c r="AQ173" s="446"/>
      <c r="AR173" s="446"/>
      <c r="AS173" s="446"/>
      <c r="AT173" s="446"/>
      <c r="AU173" s="446"/>
      <c r="AV173" s="446"/>
      <c r="AW173" s="446"/>
      <c r="AX173" s="446"/>
      <c r="AY173" s="446"/>
      <c r="AZ173" s="446"/>
      <c r="BA173" s="446"/>
      <c r="BB173" s="446"/>
      <c r="BC173" s="446"/>
      <c r="BD173" s="446"/>
      <c r="BE173" s="446"/>
      <c r="BF173" s="446"/>
      <c r="BG173" s="446"/>
      <c r="BH173" s="446"/>
      <c r="BI173" s="446"/>
      <c r="BJ173" s="446"/>
      <c r="BK173" s="446"/>
      <c r="BL173" s="446"/>
    </row>
    <row r="174" spans="4:64" x14ac:dyDescent="0.2">
      <c r="D174" s="446"/>
      <c r="E174" s="446"/>
      <c r="F174" s="446"/>
      <c r="G174" s="446"/>
      <c r="H174" s="446"/>
      <c r="I174" s="446"/>
      <c r="J174" s="446"/>
      <c r="K174" s="446"/>
      <c r="L174" s="446"/>
      <c r="M174" s="446"/>
      <c r="N174" s="446"/>
      <c r="O174" s="446"/>
      <c r="P174" s="446"/>
      <c r="Q174" s="446"/>
      <c r="R174" s="446"/>
      <c r="S174" s="446"/>
      <c r="T174" s="446"/>
      <c r="U174" s="446"/>
      <c r="V174" s="446"/>
      <c r="W174" s="446"/>
      <c r="X174" s="446"/>
      <c r="Y174" s="446"/>
      <c r="Z174" s="446"/>
      <c r="AA174" s="446"/>
      <c r="AB174" s="446"/>
      <c r="AC174" s="446"/>
      <c r="AD174" s="446"/>
      <c r="AE174" s="446"/>
      <c r="AF174" s="446"/>
      <c r="AG174" s="446"/>
      <c r="AH174" s="446"/>
      <c r="AI174" s="446"/>
      <c r="AJ174" s="446"/>
      <c r="AK174" s="446"/>
      <c r="AL174" s="446"/>
      <c r="AM174" s="446"/>
      <c r="AN174" s="446"/>
      <c r="AO174" s="446"/>
      <c r="AP174" s="446"/>
      <c r="AQ174" s="446"/>
      <c r="AR174" s="446"/>
      <c r="AS174" s="446"/>
      <c r="AT174" s="446"/>
      <c r="AU174" s="446"/>
      <c r="AV174" s="446"/>
      <c r="AW174" s="446"/>
      <c r="AX174" s="446"/>
      <c r="AY174" s="446"/>
      <c r="AZ174" s="446"/>
      <c r="BA174" s="446"/>
      <c r="BB174" s="446"/>
      <c r="BC174" s="446"/>
      <c r="BD174" s="446"/>
      <c r="BE174" s="446"/>
      <c r="BF174" s="446"/>
      <c r="BG174" s="446"/>
      <c r="BH174" s="446"/>
      <c r="BI174" s="446"/>
      <c r="BJ174" s="446"/>
      <c r="BK174" s="446"/>
      <c r="BL174" s="446"/>
    </row>
    <row r="175" spans="4:64" x14ac:dyDescent="0.2">
      <c r="D175" s="446"/>
      <c r="E175" s="446"/>
      <c r="F175" s="446"/>
      <c r="G175" s="446"/>
      <c r="H175" s="446"/>
      <c r="I175" s="446"/>
      <c r="J175" s="446"/>
      <c r="K175" s="446"/>
      <c r="L175" s="446"/>
      <c r="M175" s="446"/>
      <c r="N175" s="446"/>
      <c r="O175" s="446"/>
      <c r="P175" s="446"/>
      <c r="Q175" s="446"/>
      <c r="R175" s="446"/>
      <c r="S175" s="446"/>
      <c r="T175" s="446"/>
      <c r="U175" s="446"/>
      <c r="V175" s="446"/>
      <c r="W175" s="446"/>
      <c r="X175" s="446"/>
      <c r="Y175" s="446"/>
      <c r="Z175" s="446"/>
      <c r="AA175" s="446"/>
      <c r="AB175" s="446"/>
      <c r="AC175" s="446"/>
      <c r="AD175" s="446"/>
      <c r="AE175" s="446"/>
      <c r="AF175" s="446"/>
      <c r="AG175" s="446"/>
      <c r="AH175" s="446"/>
      <c r="AI175" s="446"/>
      <c r="AJ175" s="446"/>
      <c r="AK175" s="446"/>
      <c r="AL175" s="446"/>
      <c r="AM175" s="446"/>
      <c r="AN175" s="446"/>
      <c r="AO175" s="446"/>
      <c r="AP175" s="446"/>
      <c r="AQ175" s="446"/>
      <c r="AR175" s="446"/>
      <c r="AS175" s="446"/>
      <c r="AT175" s="446"/>
      <c r="AU175" s="446"/>
      <c r="AV175" s="446"/>
      <c r="AW175" s="446"/>
      <c r="AX175" s="446"/>
      <c r="AY175" s="446"/>
      <c r="AZ175" s="446"/>
      <c r="BA175" s="446"/>
      <c r="BB175" s="446"/>
      <c r="BC175" s="446"/>
      <c r="BD175" s="446"/>
      <c r="BE175" s="446"/>
      <c r="BF175" s="446"/>
      <c r="BG175" s="446"/>
      <c r="BH175" s="446"/>
      <c r="BI175" s="446"/>
      <c r="BJ175" s="446"/>
      <c r="BK175" s="446"/>
      <c r="BL175" s="446"/>
    </row>
    <row r="176" spans="4:64" x14ac:dyDescent="0.2">
      <c r="D176" s="446"/>
      <c r="E176" s="446"/>
      <c r="F176" s="446"/>
      <c r="G176" s="446"/>
      <c r="H176" s="446"/>
      <c r="I176" s="446"/>
      <c r="J176" s="446"/>
      <c r="K176" s="446"/>
      <c r="L176" s="446"/>
      <c r="M176" s="446"/>
      <c r="N176" s="446"/>
      <c r="O176" s="446"/>
      <c r="P176" s="446"/>
      <c r="Q176" s="446"/>
      <c r="R176" s="446"/>
      <c r="S176" s="446"/>
      <c r="T176" s="446"/>
      <c r="U176" s="446"/>
      <c r="V176" s="446"/>
      <c r="W176" s="446"/>
      <c r="X176" s="446"/>
      <c r="Y176" s="446"/>
      <c r="Z176" s="446"/>
      <c r="AA176" s="446"/>
      <c r="AB176" s="446"/>
      <c r="AC176" s="446"/>
      <c r="AD176" s="446"/>
      <c r="AE176" s="446"/>
      <c r="AF176" s="446"/>
      <c r="AG176" s="446"/>
      <c r="AH176" s="446"/>
      <c r="AI176" s="446"/>
      <c r="AJ176" s="446"/>
      <c r="AK176" s="446"/>
      <c r="AL176" s="446"/>
      <c r="AM176" s="446"/>
      <c r="AN176" s="446"/>
      <c r="AO176" s="446"/>
      <c r="AP176" s="446"/>
      <c r="AQ176" s="446"/>
      <c r="AR176" s="446"/>
      <c r="AS176" s="446"/>
      <c r="AT176" s="446"/>
      <c r="AU176" s="446"/>
      <c r="AV176" s="446"/>
      <c r="AW176" s="446"/>
      <c r="AX176" s="446"/>
      <c r="AY176" s="446"/>
      <c r="AZ176" s="446"/>
      <c r="BA176" s="446"/>
      <c r="BB176" s="446"/>
      <c r="BC176" s="446"/>
      <c r="BD176" s="446"/>
      <c r="BE176" s="446"/>
      <c r="BF176" s="446"/>
      <c r="BG176" s="446"/>
      <c r="BH176" s="446"/>
      <c r="BI176" s="446"/>
      <c r="BJ176" s="446"/>
      <c r="BK176" s="446"/>
      <c r="BL176" s="446"/>
    </row>
    <row r="177" spans="4:64" x14ac:dyDescent="0.2">
      <c r="D177" s="446"/>
      <c r="E177" s="446"/>
      <c r="F177" s="446"/>
      <c r="G177" s="446"/>
      <c r="H177" s="446"/>
      <c r="I177" s="446"/>
      <c r="J177" s="446"/>
      <c r="K177" s="446"/>
      <c r="L177" s="446"/>
      <c r="M177" s="446"/>
      <c r="N177" s="446"/>
      <c r="O177" s="446"/>
      <c r="P177" s="446"/>
      <c r="Q177" s="446"/>
      <c r="R177" s="446"/>
      <c r="S177" s="446"/>
      <c r="T177" s="446"/>
      <c r="U177" s="446"/>
      <c r="V177" s="446"/>
      <c r="W177" s="446"/>
      <c r="X177" s="446"/>
      <c r="Y177" s="446"/>
      <c r="Z177" s="446"/>
      <c r="AA177" s="446"/>
      <c r="AB177" s="446"/>
      <c r="AC177" s="446"/>
      <c r="AD177" s="446"/>
      <c r="AE177" s="446"/>
      <c r="AF177" s="446"/>
      <c r="AG177" s="446"/>
      <c r="AH177" s="446"/>
      <c r="AI177" s="446"/>
      <c r="AJ177" s="446"/>
      <c r="AK177" s="446"/>
      <c r="AL177" s="446"/>
      <c r="AM177" s="446"/>
      <c r="AN177" s="446"/>
      <c r="AO177" s="446"/>
      <c r="AP177" s="446"/>
      <c r="AQ177" s="446"/>
      <c r="AR177" s="446"/>
      <c r="AS177" s="446"/>
      <c r="AT177" s="446"/>
      <c r="AU177" s="446"/>
      <c r="AV177" s="446"/>
      <c r="AW177" s="446"/>
      <c r="AX177" s="446"/>
      <c r="AY177" s="446"/>
      <c r="AZ177" s="446"/>
      <c r="BA177" s="446"/>
      <c r="BB177" s="446"/>
      <c r="BC177" s="446"/>
      <c r="BD177" s="446"/>
      <c r="BE177" s="446"/>
      <c r="BF177" s="446"/>
      <c r="BG177" s="446"/>
      <c r="BH177" s="446"/>
      <c r="BI177" s="446"/>
      <c r="BJ177" s="446"/>
      <c r="BK177" s="446"/>
      <c r="BL177" s="446"/>
    </row>
    <row r="178" spans="4:64" x14ac:dyDescent="0.2">
      <c r="D178" s="446"/>
      <c r="E178" s="446"/>
      <c r="F178" s="446"/>
      <c r="G178" s="446"/>
      <c r="H178" s="446"/>
      <c r="I178" s="446"/>
      <c r="J178" s="446"/>
      <c r="K178" s="446"/>
      <c r="L178" s="446"/>
      <c r="M178" s="446"/>
      <c r="N178" s="446"/>
      <c r="O178" s="446"/>
      <c r="P178" s="446"/>
      <c r="Q178" s="446"/>
      <c r="R178" s="446"/>
      <c r="S178" s="446"/>
      <c r="T178" s="446"/>
      <c r="U178" s="446"/>
      <c r="V178" s="446"/>
      <c r="W178" s="446"/>
      <c r="X178" s="446"/>
      <c r="Y178" s="446"/>
      <c r="Z178" s="446"/>
      <c r="AA178" s="446"/>
      <c r="AB178" s="446"/>
      <c r="AC178" s="446"/>
      <c r="AD178" s="446"/>
      <c r="AE178" s="446"/>
      <c r="AF178" s="446"/>
      <c r="AG178" s="446"/>
      <c r="AH178" s="446"/>
      <c r="AI178" s="446"/>
      <c r="AJ178" s="446"/>
      <c r="AK178" s="446"/>
      <c r="AL178" s="446"/>
      <c r="AM178" s="446"/>
      <c r="AN178" s="446"/>
      <c r="AO178" s="446"/>
      <c r="AP178" s="446"/>
      <c r="AQ178" s="446"/>
      <c r="AR178" s="446"/>
      <c r="AS178" s="446"/>
      <c r="AT178" s="446"/>
      <c r="AU178" s="446"/>
      <c r="AV178" s="446"/>
      <c r="AW178" s="446"/>
      <c r="AX178" s="446"/>
      <c r="AY178" s="446"/>
      <c r="AZ178" s="446"/>
      <c r="BA178" s="446"/>
      <c r="BB178" s="446"/>
      <c r="BC178" s="446"/>
      <c r="BD178" s="446"/>
      <c r="BE178" s="446"/>
      <c r="BF178" s="446"/>
      <c r="BG178" s="446"/>
      <c r="BH178" s="446"/>
      <c r="BI178" s="446"/>
      <c r="BJ178" s="446"/>
      <c r="BK178" s="446"/>
      <c r="BL178" s="446"/>
    </row>
    <row r="179" spans="4:64" x14ac:dyDescent="0.2">
      <c r="D179" s="446"/>
      <c r="E179" s="446"/>
      <c r="F179" s="446"/>
      <c r="G179" s="446"/>
      <c r="H179" s="446"/>
      <c r="I179" s="446"/>
      <c r="J179" s="446"/>
      <c r="K179" s="446"/>
      <c r="L179" s="446"/>
      <c r="M179" s="446"/>
      <c r="N179" s="446"/>
      <c r="O179" s="446"/>
      <c r="P179" s="446"/>
      <c r="Q179" s="446"/>
      <c r="R179" s="446"/>
      <c r="S179" s="446"/>
      <c r="T179" s="446"/>
      <c r="U179" s="446"/>
      <c r="V179" s="446"/>
      <c r="W179" s="446"/>
      <c r="X179" s="446"/>
      <c r="Y179" s="446"/>
      <c r="Z179" s="446"/>
      <c r="AA179" s="446"/>
      <c r="AB179" s="446"/>
      <c r="AC179" s="446"/>
      <c r="AD179" s="446"/>
      <c r="AE179" s="446"/>
      <c r="AF179" s="446"/>
      <c r="AG179" s="446"/>
      <c r="AH179" s="446"/>
      <c r="AI179" s="446"/>
      <c r="AJ179" s="446"/>
      <c r="AK179" s="446"/>
      <c r="AL179" s="446"/>
      <c r="AM179" s="446"/>
      <c r="AN179" s="446"/>
      <c r="AO179" s="446"/>
      <c r="AP179" s="446"/>
      <c r="AQ179" s="446"/>
      <c r="AR179" s="446"/>
      <c r="AS179" s="446"/>
      <c r="AT179" s="446"/>
      <c r="AU179" s="446"/>
      <c r="AV179" s="446"/>
      <c r="AW179" s="446"/>
      <c r="AX179" s="446"/>
      <c r="AY179" s="446"/>
      <c r="AZ179" s="446"/>
      <c r="BA179" s="446"/>
      <c r="BB179" s="446"/>
      <c r="BC179" s="446"/>
      <c r="BD179" s="446"/>
      <c r="BE179" s="446"/>
      <c r="BF179" s="446"/>
      <c r="BG179" s="446"/>
      <c r="BH179" s="446"/>
      <c r="BI179" s="446"/>
      <c r="BJ179" s="446"/>
      <c r="BK179" s="446"/>
      <c r="BL179" s="446"/>
    </row>
    <row r="180" spans="4:64" x14ac:dyDescent="0.2">
      <c r="D180" s="446"/>
      <c r="E180" s="446"/>
      <c r="F180" s="446"/>
      <c r="G180" s="446"/>
      <c r="H180" s="446"/>
      <c r="I180" s="446"/>
      <c r="J180" s="446"/>
      <c r="K180" s="446"/>
      <c r="L180" s="446"/>
      <c r="M180" s="446"/>
      <c r="N180" s="446"/>
      <c r="O180" s="446"/>
      <c r="P180" s="446"/>
      <c r="Q180" s="446"/>
      <c r="R180" s="446"/>
      <c r="S180" s="446"/>
      <c r="T180" s="446"/>
      <c r="U180" s="446"/>
      <c r="V180" s="446"/>
      <c r="W180" s="446"/>
      <c r="X180" s="446"/>
      <c r="Y180" s="446"/>
      <c r="Z180" s="446"/>
      <c r="AA180" s="446"/>
      <c r="AB180" s="446"/>
      <c r="AC180" s="446"/>
      <c r="AD180" s="446"/>
      <c r="AE180" s="446"/>
      <c r="AF180" s="446"/>
      <c r="AG180" s="446"/>
      <c r="AH180" s="446"/>
      <c r="AI180" s="446"/>
      <c r="AJ180" s="446"/>
      <c r="AK180" s="446"/>
      <c r="AL180" s="446"/>
      <c r="AM180" s="446"/>
      <c r="AN180" s="446"/>
      <c r="AO180" s="446"/>
      <c r="AP180" s="446"/>
      <c r="AQ180" s="446"/>
      <c r="AR180" s="446"/>
      <c r="AS180" s="446"/>
      <c r="AT180" s="446"/>
      <c r="AU180" s="446"/>
      <c r="AV180" s="446"/>
      <c r="AW180" s="446"/>
      <c r="AX180" s="446"/>
      <c r="AY180" s="446"/>
      <c r="AZ180" s="446"/>
      <c r="BA180" s="446"/>
      <c r="BB180" s="446"/>
      <c r="BC180" s="446"/>
      <c r="BD180" s="446"/>
      <c r="BE180" s="446"/>
      <c r="BF180" s="446"/>
      <c r="BG180" s="446"/>
      <c r="BH180" s="446"/>
      <c r="BI180" s="446"/>
      <c r="BJ180" s="446"/>
      <c r="BK180" s="446"/>
      <c r="BL180" s="446"/>
    </row>
    <row r="181" spans="4:64" x14ac:dyDescent="0.2">
      <c r="D181" s="446"/>
      <c r="E181" s="446"/>
      <c r="F181" s="446"/>
      <c r="G181" s="446"/>
      <c r="H181" s="446"/>
      <c r="I181" s="446"/>
      <c r="J181" s="446"/>
      <c r="K181" s="446"/>
      <c r="L181" s="446"/>
      <c r="M181" s="446"/>
      <c r="N181" s="446"/>
      <c r="O181" s="446"/>
      <c r="P181" s="446"/>
      <c r="Q181" s="446"/>
      <c r="R181" s="446"/>
      <c r="S181" s="446"/>
      <c r="T181" s="446"/>
      <c r="U181" s="446"/>
      <c r="V181" s="446"/>
      <c r="W181" s="446"/>
      <c r="X181" s="446"/>
      <c r="Y181" s="446"/>
      <c r="Z181" s="446"/>
      <c r="AA181" s="446"/>
      <c r="AB181" s="446"/>
      <c r="AC181" s="446"/>
      <c r="AD181" s="446"/>
      <c r="AE181" s="446"/>
      <c r="AF181" s="446"/>
      <c r="AG181" s="446"/>
      <c r="AH181" s="446"/>
      <c r="AI181" s="446"/>
      <c r="AJ181" s="446"/>
      <c r="AK181" s="446"/>
      <c r="AL181" s="446"/>
      <c r="AM181" s="446"/>
      <c r="AN181" s="446"/>
      <c r="AO181" s="446"/>
      <c r="AP181" s="446"/>
      <c r="AQ181" s="446"/>
      <c r="AR181" s="446"/>
      <c r="AS181" s="446"/>
      <c r="AT181" s="446"/>
      <c r="AU181" s="446"/>
      <c r="AV181" s="446"/>
      <c r="AW181" s="446"/>
      <c r="AX181" s="446"/>
      <c r="AY181" s="446"/>
      <c r="AZ181" s="446"/>
      <c r="BA181" s="446"/>
      <c r="BB181" s="446"/>
      <c r="BC181" s="446"/>
      <c r="BD181" s="446"/>
      <c r="BE181" s="446"/>
      <c r="BF181" s="446"/>
      <c r="BG181" s="446"/>
      <c r="BH181" s="446"/>
      <c r="BI181" s="446"/>
      <c r="BJ181" s="446"/>
      <c r="BK181" s="446"/>
      <c r="BL181" s="446"/>
    </row>
    <row r="182" spans="4:64" x14ac:dyDescent="0.2">
      <c r="D182" s="446"/>
      <c r="E182" s="446"/>
      <c r="F182" s="446"/>
      <c r="G182" s="446"/>
      <c r="H182" s="446"/>
      <c r="I182" s="446"/>
      <c r="J182" s="446"/>
      <c r="K182" s="446"/>
      <c r="L182" s="446"/>
      <c r="M182" s="446"/>
      <c r="N182" s="446"/>
      <c r="O182" s="446"/>
      <c r="P182" s="446"/>
      <c r="Q182" s="446"/>
      <c r="R182" s="446"/>
      <c r="S182" s="446"/>
      <c r="T182" s="446"/>
      <c r="U182" s="446"/>
      <c r="V182" s="446"/>
      <c r="W182" s="446"/>
      <c r="X182" s="446"/>
      <c r="Y182" s="446"/>
      <c r="Z182" s="446"/>
      <c r="AA182" s="446"/>
      <c r="AB182" s="446"/>
      <c r="AC182" s="446"/>
      <c r="AD182" s="446"/>
      <c r="AE182" s="446"/>
      <c r="AF182" s="446"/>
      <c r="AG182" s="446"/>
      <c r="AH182" s="446"/>
      <c r="AI182" s="446"/>
      <c r="AJ182" s="446"/>
      <c r="AK182" s="446"/>
      <c r="AL182" s="446"/>
      <c r="AM182" s="446"/>
      <c r="AN182" s="446"/>
      <c r="AO182" s="446"/>
      <c r="AP182" s="446"/>
      <c r="AQ182" s="446"/>
      <c r="AR182" s="446"/>
      <c r="AS182" s="446"/>
      <c r="AT182" s="446"/>
      <c r="AU182" s="446"/>
      <c r="AV182" s="446"/>
      <c r="AW182" s="446"/>
      <c r="AX182" s="446"/>
      <c r="AY182" s="446"/>
      <c r="AZ182" s="446"/>
      <c r="BA182" s="446"/>
      <c r="BB182" s="446"/>
      <c r="BC182" s="446"/>
      <c r="BD182" s="446"/>
      <c r="BE182" s="446"/>
      <c r="BF182" s="446"/>
      <c r="BG182" s="446"/>
      <c r="BH182" s="446"/>
      <c r="BI182" s="446"/>
      <c r="BJ182" s="446"/>
      <c r="BK182" s="446"/>
      <c r="BL182" s="446"/>
    </row>
    <row r="183" spans="4:64" x14ac:dyDescent="0.2">
      <c r="D183" s="446"/>
      <c r="E183" s="446"/>
      <c r="F183" s="446"/>
      <c r="G183" s="446"/>
      <c r="H183" s="446"/>
      <c r="I183" s="446"/>
      <c r="J183" s="446"/>
      <c r="K183" s="446"/>
      <c r="L183" s="446"/>
      <c r="M183" s="446"/>
      <c r="N183" s="446"/>
      <c r="O183" s="446"/>
      <c r="P183" s="446"/>
      <c r="Q183" s="446"/>
      <c r="R183" s="446"/>
      <c r="S183" s="446"/>
      <c r="T183" s="446"/>
      <c r="U183" s="446"/>
      <c r="V183" s="446"/>
      <c r="W183" s="446"/>
      <c r="X183" s="446"/>
      <c r="Y183" s="446"/>
      <c r="Z183" s="446"/>
      <c r="AA183" s="446"/>
      <c r="AB183" s="446"/>
      <c r="AC183" s="446"/>
      <c r="AD183" s="446"/>
      <c r="AE183" s="446"/>
      <c r="AF183" s="446"/>
      <c r="AG183" s="446"/>
      <c r="AH183" s="446"/>
      <c r="AI183" s="446"/>
      <c r="AJ183" s="446"/>
      <c r="AK183" s="446"/>
      <c r="AL183" s="446"/>
      <c r="AM183" s="446"/>
      <c r="AN183" s="446"/>
      <c r="AO183" s="446"/>
      <c r="AP183" s="446"/>
      <c r="AQ183" s="446"/>
      <c r="AR183" s="446"/>
      <c r="AS183" s="446"/>
      <c r="AT183" s="446"/>
      <c r="AU183" s="446"/>
      <c r="AV183" s="446"/>
      <c r="AW183" s="446"/>
      <c r="AX183" s="446"/>
      <c r="AY183" s="446"/>
      <c r="AZ183" s="446"/>
      <c r="BA183" s="446"/>
      <c r="BB183" s="446"/>
      <c r="BC183" s="446"/>
      <c r="BD183" s="446"/>
      <c r="BE183" s="446"/>
      <c r="BF183" s="446"/>
      <c r="BG183" s="446"/>
      <c r="BH183" s="446"/>
      <c r="BI183" s="446"/>
      <c r="BJ183" s="446"/>
      <c r="BK183" s="446"/>
      <c r="BL183" s="446"/>
    </row>
    <row r="184" spans="4:64" x14ac:dyDescent="0.2">
      <c r="D184" s="446"/>
      <c r="E184" s="446"/>
      <c r="F184" s="446"/>
      <c r="G184" s="446"/>
      <c r="H184" s="446"/>
      <c r="I184" s="446"/>
      <c r="J184" s="446"/>
      <c r="K184" s="446"/>
      <c r="L184" s="446"/>
      <c r="M184" s="446"/>
      <c r="N184" s="446"/>
      <c r="O184" s="446"/>
      <c r="P184" s="446"/>
      <c r="Q184" s="446"/>
      <c r="R184" s="446"/>
      <c r="S184" s="446"/>
      <c r="T184" s="446"/>
      <c r="U184" s="446"/>
      <c r="V184" s="446"/>
      <c r="W184" s="446"/>
      <c r="X184" s="446"/>
      <c r="Y184" s="446"/>
      <c r="Z184" s="446"/>
      <c r="AA184" s="446"/>
      <c r="AB184" s="446"/>
      <c r="AC184" s="446"/>
      <c r="AD184" s="446"/>
      <c r="AE184" s="446"/>
      <c r="AF184" s="446"/>
      <c r="AG184" s="446"/>
      <c r="AH184" s="446"/>
      <c r="AI184" s="446"/>
      <c r="AJ184" s="446"/>
      <c r="AK184" s="446"/>
      <c r="AL184" s="446"/>
      <c r="AM184" s="446"/>
      <c r="AN184" s="446"/>
      <c r="AO184" s="446"/>
      <c r="AP184" s="446"/>
      <c r="AQ184" s="446"/>
      <c r="AR184" s="446"/>
      <c r="AS184" s="446"/>
      <c r="AT184" s="446"/>
      <c r="AU184" s="446"/>
      <c r="AV184" s="446"/>
      <c r="AW184" s="446"/>
      <c r="AX184" s="446"/>
      <c r="AY184" s="446"/>
      <c r="AZ184" s="446"/>
      <c r="BA184" s="446"/>
      <c r="BB184" s="446"/>
      <c r="BC184" s="446"/>
      <c r="BD184" s="446"/>
      <c r="BE184" s="446"/>
      <c r="BF184" s="446"/>
      <c r="BG184" s="446"/>
      <c r="BH184" s="446"/>
      <c r="BI184" s="446"/>
      <c r="BJ184" s="446"/>
      <c r="BK184" s="446"/>
      <c r="BL184" s="446"/>
    </row>
    <row r="185" spans="4:64" x14ac:dyDescent="0.2">
      <c r="D185" s="446"/>
      <c r="E185" s="446"/>
      <c r="F185" s="446"/>
      <c r="G185" s="446"/>
      <c r="H185" s="446"/>
      <c r="I185" s="446"/>
      <c r="J185" s="446"/>
      <c r="K185" s="446"/>
      <c r="L185" s="446"/>
      <c r="M185" s="446"/>
      <c r="N185" s="446"/>
      <c r="O185" s="446"/>
      <c r="P185" s="446"/>
      <c r="Q185" s="446"/>
      <c r="R185" s="446"/>
      <c r="S185" s="446"/>
      <c r="T185" s="446"/>
      <c r="U185" s="446"/>
      <c r="V185" s="446"/>
      <c r="W185" s="446"/>
      <c r="X185" s="446"/>
      <c r="Y185" s="446"/>
      <c r="Z185" s="446"/>
      <c r="AA185" s="446"/>
      <c r="AB185" s="446"/>
      <c r="AC185" s="446"/>
      <c r="AD185" s="446"/>
      <c r="AE185" s="446"/>
      <c r="AF185" s="446"/>
      <c r="AG185" s="446"/>
      <c r="AH185" s="446"/>
      <c r="AI185" s="446"/>
      <c r="AJ185" s="446"/>
      <c r="AK185" s="446"/>
      <c r="AL185" s="446"/>
      <c r="AM185" s="446"/>
      <c r="AN185" s="446"/>
      <c r="AO185" s="446"/>
      <c r="AP185" s="446"/>
      <c r="AQ185" s="446"/>
      <c r="AR185" s="446"/>
      <c r="AS185" s="446"/>
      <c r="AT185" s="446"/>
      <c r="AU185" s="446"/>
      <c r="AV185" s="446"/>
      <c r="AW185" s="446"/>
      <c r="AX185" s="446"/>
      <c r="AY185" s="446"/>
      <c r="AZ185" s="446"/>
      <c r="BA185" s="446"/>
      <c r="BB185" s="446"/>
      <c r="BC185" s="446"/>
      <c r="BD185" s="446"/>
      <c r="BE185" s="446"/>
      <c r="BF185" s="446"/>
      <c r="BG185" s="446"/>
      <c r="BH185" s="446"/>
      <c r="BI185" s="446"/>
      <c r="BJ185" s="446"/>
      <c r="BK185" s="446"/>
      <c r="BL185" s="446"/>
    </row>
    <row r="186" spans="4:64" x14ac:dyDescent="0.2">
      <c r="D186" s="446"/>
      <c r="E186" s="446"/>
      <c r="F186" s="446"/>
      <c r="G186" s="446"/>
      <c r="H186" s="446"/>
      <c r="I186" s="446"/>
      <c r="J186" s="446"/>
      <c r="K186" s="446"/>
      <c r="L186" s="446"/>
      <c r="M186" s="446"/>
      <c r="N186" s="446"/>
      <c r="O186" s="446"/>
      <c r="P186" s="446"/>
      <c r="Q186" s="446"/>
      <c r="R186" s="446"/>
      <c r="S186" s="446"/>
      <c r="T186" s="446"/>
      <c r="U186" s="446"/>
      <c r="V186" s="446"/>
      <c r="W186" s="446"/>
      <c r="X186" s="446"/>
      <c r="Y186" s="446"/>
      <c r="Z186" s="446"/>
      <c r="AA186" s="446"/>
      <c r="AB186" s="446"/>
      <c r="AC186" s="446"/>
      <c r="AD186" s="446"/>
      <c r="AE186" s="446"/>
      <c r="AF186" s="446"/>
      <c r="AG186" s="446"/>
      <c r="AH186" s="446"/>
      <c r="AI186" s="446"/>
      <c r="AJ186" s="446"/>
      <c r="AK186" s="446"/>
      <c r="AL186" s="446"/>
      <c r="AM186" s="446"/>
      <c r="AN186" s="446"/>
      <c r="AO186" s="446"/>
      <c r="AP186" s="446"/>
      <c r="AQ186" s="446"/>
      <c r="AR186" s="446"/>
      <c r="AS186" s="446"/>
      <c r="AT186" s="446"/>
      <c r="AU186" s="446"/>
      <c r="AV186" s="446"/>
      <c r="AW186" s="446"/>
      <c r="AX186" s="446"/>
      <c r="AY186" s="446"/>
      <c r="AZ186" s="446"/>
      <c r="BA186" s="446"/>
      <c r="BB186" s="446"/>
      <c r="BC186" s="446"/>
      <c r="BD186" s="446"/>
      <c r="BE186" s="446"/>
      <c r="BF186" s="446"/>
      <c r="BG186" s="446"/>
      <c r="BH186" s="446"/>
      <c r="BI186" s="446"/>
      <c r="BJ186" s="446"/>
      <c r="BK186" s="446"/>
      <c r="BL186" s="446"/>
    </row>
    <row r="187" spans="4:64" x14ac:dyDescent="0.2">
      <c r="D187" s="446"/>
      <c r="E187" s="446"/>
      <c r="F187" s="446"/>
      <c r="G187" s="446"/>
      <c r="H187" s="446"/>
      <c r="I187" s="446"/>
      <c r="J187" s="446"/>
      <c r="K187" s="446"/>
      <c r="L187" s="446"/>
      <c r="M187" s="446"/>
      <c r="N187" s="446"/>
      <c r="O187" s="446"/>
      <c r="P187" s="446"/>
      <c r="Q187" s="446"/>
      <c r="R187" s="446"/>
      <c r="S187" s="446"/>
      <c r="T187" s="446"/>
      <c r="U187" s="446"/>
      <c r="V187" s="446"/>
      <c r="W187" s="446"/>
      <c r="X187" s="446"/>
      <c r="Y187" s="446"/>
      <c r="Z187" s="446"/>
      <c r="AA187" s="446"/>
      <c r="AB187" s="446"/>
      <c r="AC187" s="446"/>
      <c r="AD187" s="446"/>
      <c r="AE187" s="446"/>
      <c r="AF187" s="446"/>
      <c r="AG187" s="446"/>
      <c r="AH187" s="446"/>
      <c r="AI187" s="446"/>
      <c r="AJ187" s="446"/>
      <c r="AK187" s="446"/>
      <c r="AL187" s="446"/>
      <c r="AM187" s="446"/>
      <c r="AN187" s="446"/>
      <c r="AO187" s="446"/>
      <c r="AP187" s="446"/>
      <c r="AQ187" s="446"/>
      <c r="AR187" s="446"/>
      <c r="AS187" s="446"/>
      <c r="AT187" s="446"/>
      <c r="AU187" s="446"/>
      <c r="AV187" s="446"/>
      <c r="AW187" s="446"/>
      <c r="AX187" s="446"/>
      <c r="AY187" s="446"/>
      <c r="AZ187" s="446"/>
      <c r="BA187" s="446"/>
      <c r="BB187" s="446"/>
      <c r="BC187" s="446"/>
      <c r="BD187" s="446"/>
      <c r="BE187" s="446"/>
      <c r="BF187" s="446"/>
      <c r="BG187" s="446"/>
      <c r="BH187" s="446"/>
      <c r="BI187" s="446"/>
      <c r="BJ187" s="446"/>
      <c r="BK187" s="446"/>
      <c r="BL187" s="446"/>
    </row>
    <row r="188" spans="4:64" x14ac:dyDescent="0.2">
      <c r="D188" s="446"/>
      <c r="E188" s="446"/>
      <c r="F188" s="446"/>
      <c r="G188" s="446"/>
      <c r="H188" s="446"/>
      <c r="I188" s="446"/>
      <c r="J188" s="446"/>
      <c r="K188" s="446"/>
      <c r="L188" s="446"/>
      <c r="M188" s="446"/>
      <c r="N188" s="446"/>
      <c r="O188" s="446"/>
      <c r="P188" s="446"/>
      <c r="Q188" s="446"/>
      <c r="R188" s="446"/>
      <c r="S188" s="446"/>
      <c r="T188" s="446"/>
      <c r="U188" s="446"/>
      <c r="V188" s="446"/>
      <c r="W188" s="446"/>
      <c r="X188" s="446"/>
      <c r="Y188" s="446"/>
      <c r="Z188" s="446"/>
      <c r="AA188" s="446"/>
      <c r="AB188" s="446"/>
      <c r="AC188" s="446"/>
      <c r="AD188" s="446"/>
      <c r="AE188" s="446"/>
      <c r="AF188" s="446"/>
      <c r="AG188" s="446"/>
      <c r="AH188" s="446"/>
      <c r="AI188" s="446"/>
      <c r="AJ188" s="446"/>
      <c r="AK188" s="446"/>
      <c r="AL188" s="446"/>
      <c r="AM188" s="446"/>
      <c r="AN188" s="446"/>
      <c r="AO188" s="446"/>
      <c r="AP188" s="446"/>
      <c r="AQ188" s="446"/>
      <c r="AR188" s="446"/>
      <c r="AS188" s="446"/>
      <c r="AT188" s="446"/>
      <c r="AU188" s="446"/>
      <c r="AV188" s="446"/>
      <c r="AW188" s="446"/>
      <c r="AX188" s="446"/>
      <c r="AY188" s="446"/>
      <c r="AZ188" s="446"/>
      <c r="BA188" s="446"/>
      <c r="BB188" s="446"/>
      <c r="BC188" s="446"/>
      <c r="BD188" s="446"/>
      <c r="BE188" s="446"/>
      <c r="BF188" s="446"/>
      <c r="BG188" s="446"/>
      <c r="BH188" s="446"/>
      <c r="BI188" s="446"/>
      <c r="BJ188" s="446"/>
      <c r="BK188" s="446"/>
      <c r="BL188" s="446"/>
    </row>
    <row r="189" spans="4:64" x14ac:dyDescent="0.2">
      <c r="D189" s="446"/>
      <c r="E189" s="446"/>
      <c r="F189" s="446"/>
      <c r="G189" s="446"/>
      <c r="H189" s="446"/>
      <c r="I189" s="446"/>
      <c r="J189" s="446"/>
      <c r="K189" s="446"/>
      <c r="L189" s="446"/>
      <c r="M189" s="446"/>
      <c r="N189" s="446"/>
      <c r="O189" s="446"/>
      <c r="P189" s="446"/>
      <c r="Q189" s="446"/>
      <c r="R189" s="446"/>
      <c r="S189" s="446"/>
      <c r="T189" s="446"/>
      <c r="U189" s="446"/>
      <c r="V189" s="446"/>
      <c r="W189" s="446"/>
      <c r="X189" s="446"/>
      <c r="Y189" s="446"/>
      <c r="Z189" s="446"/>
      <c r="AA189" s="446"/>
      <c r="AB189" s="446"/>
      <c r="AC189" s="446"/>
      <c r="AD189" s="446"/>
      <c r="AE189" s="446"/>
      <c r="AF189" s="446"/>
      <c r="AG189" s="446"/>
      <c r="AH189" s="446"/>
      <c r="AI189" s="446"/>
      <c r="AJ189" s="446"/>
      <c r="AK189" s="446"/>
      <c r="AL189" s="446"/>
      <c r="AM189" s="446"/>
      <c r="AN189" s="446"/>
      <c r="AO189" s="446"/>
      <c r="AP189" s="446"/>
      <c r="AQ189" s="446"/>
      <c r="AR189" s="446"/>
      <c r="AS189" s="446"/>
      <c r="AT189" s="446"/>
      <c r="AU189" s="446"/>
      <c r="AV189" s="446"/>
      <c r="AW189" s="446"/>
      <c r="AX189" s="446"/>
      <c r="AY189" s="446"/>
      <c r="AZ189" s="446"/>
      <c r="BA189" s="446"/>
      <c r="BB189" s="446"/>
      <c r="BC189" s="446"/>
      <c r="BD189" s="446"/>
      <c r="BE189" s="446"/>
      <c r="BF189" s="446"/>
      <c r="BG189" s="446"/>
      <c r="BH189" s="446"/>
      <c r="BI189" s="446"/>
      <c r="BJ189" s="446"/>
      <c r="BK189" s="446"/>
      <c r="BL189" s="446"/>
    </row>
    <row r="190" spans="4:64" x14ac:dyDescent="0.2">
      <c r="D190" s="446"/>
      <c r="E190" s="446"/>
      <c r="F190" s="446"/>
      <c r="G190" s="446"/>
      <c r="H190" s="446"/>
      <c r="I190" s="446"/>
      <c r="J190" s="446"/>
      <c r="K190" s="446"/>
      <c r="L190" s="446"/>
      <c r="M190" s="446"/>
      <c r="N190" s="446"/>
      <c r="O190" s="446"/>
      <c r="P190" s="446"/>
      <c r="Q190" s="446"/>
      <c r="R190" s="446"/>
      <c r="S190" s="446"/>
      <c r="T190" s="446"/>
      <c r="U190" s="446"/>
      <c r="V190" s="446"/>
      <c r="W190" s="446"/>
      <c r="X190" s="446"/>
      <c r="Y190" s="446"/>
      <c r="Z190" s="446"/>
      <c r="AA190" s="446"/>
      <c r="AB190" s="446"/>
      <c r="AC190" s="446"/>
      <c r="AD190" s="446"/>
      <c r="AE190" s="446"/>
      <c r="AF190" s="446"/>
      <c r="AG190" s="446"/>
      <c r="AH190" s="446"/>
      <c r="AI190" s="446"/>
      <c r="AJ190" s="446"/>
      <c r="AK190" s="446"/>
      <c r="AL190" s="446"/>
      <c r="AM190" s="446"/>
      <c r="AN190" s="446"/>
      <c r="AO190" s="446"/>
      <c r="AP190" s="446"/>
      <c r="AQ190" s="446"/>
      <c r="AR190" s="446"/>
      <c r="AS190" s="446"/>
      <c r="AT190" s="446"/>
      <c r="AU190" s="446"/>
      <c r="AV190" s="446"/>
      <c r="AW190" s="446"/>
      <c r="AX190" s="446"/>
      <c r="AY190" s="446"/>
      <c r="AZ190" s="446"/>
      <c r="BA190" s="446"/>
      <c r="BB190" s="446"/>
      <c r="BC190" s="446"/>
      <c r="BD190" s="446"/>
      <c r="BE190" s="446"/>
      <c r="BF190" s="446"/>
      <c r="BG190" s="446"/>
      <c r="BH190" s="446"/>
      <c r="BI190" s="446"/>
      <c r="BJ190" s="446"/>
      <c r="BK190" s="446"/>
      <c r="BL190" s="446"/>
    </row>
    <row r="191" spans="4:64" x14ac:dyDescent="0.2">
      <c r="D191" s="446"/>
      <c r="E191" s="446"/>
      <c r="F191" s="446"/>
      <c r="G191" s="446"/>
      <c r="H191" s="446"/>
      <c r="I191" s="446"/>
      <c r="J191" s="446"/>
      <c r="K191" s="446"/>
      <c r="L191" s="446"/>
      <c r="M191" s="446"/>
      <c r="N191" s="446"/>
      <c r="O191" s="446"/>
      <c r="P191" s="446"/>
      <c r="Q191" s="446"/>
      <c r="R191" s="446"/>
      <c r="S191" s="446"/>
      <c r="T191" s="446"/>
      <c r="U191" s="446"/>
      <c r="V191" s="446"/>
      <c r="W191" s="446"/>
      <c r="X191" s="446"/>
      <c r="Y191" s="446"/>
      <c r="Z191" s="446"/>
      <c r="AA191" s="446"/>
      <c r="AB191" s="446"/>
      <c r="AC191" s="446"/>
      <c r="AD191" s="446"/>
      <c r="AE191" s="446"/>
      <c r="AF191" s="446"/>
      <c r="AG191" s="446"/>
      <c r="AH191" s="446"/>
      <c r="AI191" s="446"/>
      <c r="AJ191" s="446"/>
      <c r="AK191" s="446"/>
      <c r="AL191" s="446"/>
      <c r="AM191" s="446"/>
      <c r="AN191" s="446"/>
      <c r="AO191" s="446"/>
      <c r="AP191" s="446"/>
      <c r="AQ191" s="446"/>
      <c r="AR191" s="446"/>
      <c r="AS191" s="446"/>
      <c r="AT191" s="446"/>
      <c r="AU191" s="446"/>
      <c r="AV191" s="446"/>
      <c r="AW191" s="446"/>
      <c r="AX191" s="446"/>
      <c r="AY191" s="446"/>
      <c r="AZ191" s="446"/>
      <c r="BA191" s="446"/>
      <c r="BB191" s="446"/>
      <c r="BC191" s="446"/>
      <c r="BD191" s="446"/>
      <c r="BE191" s="446"/>
      <c r="BF191" s="446"/>
      <c r="BG191" s="446"/>
      <c r="BH191" s="446"/>
      <c r="BI191" s="446"/>
      <c r="BJ191" s="446"/>
      <c r="BK191" s="446"/>
      <c r="BL191" s="446"/>
    </row>
    <row r="192" spans="4:64" x14ac:dyDescent="0.2">
      <c r="D192" s="446"/>
      <c r="E192" s="446"/>
      <c r="F192" s="446"/>
      <c r="G192" s="446"/>
      <c r="H192" s="446"/>
      <c r="I192" s="446"/>
      <c r="J192" s="446"/>
      <c r="K192" s="446"/>
      <c r="L192" s="446"/>
      <c r="M192" s="446"/>
      <c r="N192" s="446"/>
      <c r="O192" s="446"/>
      <c r="P192" s="446"/>
      <c r="Q192" s="446"/>
      <c r="R192" s="446"/>
      <c r="S192" s="446"/>
      <c r="T192" s="446"/>
      <c r="U192" s="446"/>
      <c r="V192" s="446"/>
      <c r="W192" s="446"/>
      <c r="X192" s="446"/>
      <c r="Y192" s="446"/>
      <c r="Z192" s="446"/>
      <c r="AA192" s="446"/>
      <c r="AB192" s="446"/>
      <c r="AC192" s="446"/>
      <c r="AD192" s="446"/>
      <c r="AE192" s="446"/>
      <c r="AF192" s="446"/>
      <c r="AG192" s="446"/>
      <c r="AH192" s="446"/>
      <c r="AI192" s="446"/>
      <c r="AJ192" s="446"/>
      <c r="AK192" s="446"/>
      <c r="AL192" s="446"/>
      <c r="AM192" s="446"/>
      <c r="AN192" s="446"/>
      <c r="AO192" s="446"/>
      <c r="AP192" s="446"/>
      <c r="AQ192" s="446"/>
      <c r="AR192" s="446"/>
      <c r="AS192" s="446"/>
      <c r="AT192" s="446"/>
      <c r="AU192" s="446"/>
      <c r="AV192" s="446"/>
      <c r="AW192" s="446"/>
      <c r="AX192" s="446"/>
      <c r="AY192" s="446"/>
      <c r="AZ192" s="446"/>
      <c r="BA192" s="446"/>
      <c r="BB192" s="446"/>
      <c r="BC192" s="446"/>
      <c r="BD192" s="446"/>
      <c r="BE192" s="446"/>
      <c r="BF192" s="446"/>
      <c r="BG192" s="446"/>
      <c r="BH192" s="446"/>
      <c r="BI192" s="446"/>
      <c r="BJ192" s="446"/>
      <c r="BK192" s="446"/>
      <c r="BL192" s="446"/>
    </row>
    <row r="193" spans="4:64" x14ac:dyDescent="0.2">
      <c r="D193" s="446"/>
      <c r="E193" s="446"/>
      <c r="F193" s="446"/>
      <c r="G193" s="446"/>
      <c r="H193" s="446"/>
      <c r="I193" s="446"/>
      <c r="J193" s="446"/>
      <c r="K193" s="446"/>
      <c r="L193" s="446"/>
      <c r="M193" s="446"/>
      <c r="N193" s="446"/>
      <c r="O193" s="446"/>
      <c r="P193" s="446"/>
      <c r="Q193" s="446"/>
      <c r="R193" s="446"/>
      <c r="S193" s="446"/>
      <c r="T193" s="446"/>
      <c r="U193" s="446"/>
      <c r="V193" s="446"/>
      <c r="W193" s="446"/>
      <c r="X193" s="446"/>
      <c r="Y193" s="446"/>
      <c r="Z193" s="446"/>
      <c r="AA193" s="446"/>
      <c r="AB193" s="446"/>
      <c r="AC193" s="446"/>
      <c r="AD193" s="446"/>
      <c r="AE193" s="446"/>
      <c r="AF193" s="446"/>
      <c r="AG193" s="446"/>
      <c r="AH193" s="446"/>
      <c r="AI193" s="446"/>
      <c r="AJ193" s="446"/>
      <c r="AK193" s="446"/>
      <c r="AL193" s="446"/>
      <c r="AM193" s="446"/>
      <c r="AN193" s="446"/>
      <c r="AO193" s="446"/>
      <c r="AP193" s="446"/>
      <c r="AQ193" s="446"/>
      <c r="AR193" s="446"/>
      <c r="AS193" s="446"/>
      <c r="AT193" s="446"/>
      <c r="AU193" s="446"/>
      <c r="AV193" s="446"/>
      <c r="AW193" s="446"/>
      <c r="AX193" s="446"/>
      <c r="AY193" s="446"/>
      <c r="AZ193" s="446"/>
      <c r="BA193" s="446"/>
      <c r="BB193" s="446"/>
      <c r="BC193" s="446"/>
      <c r="BD193" s="446"/>
      <c r="BE193" s="446"/>
      <c r="BF193" s="446"/>
      <c r="BG193" s="446"/>
      <c r="BH193" s="446"/>
      <c r="BI193" s="446"/>
      <c r="BJ193" s="446"/>
      <c r="BK193" s="446"/>
      <c r="BL193" s="446"/>
    </row>
    <row r="194" spans="4:64" x14ac:dyDescent="0.2">
      <c r="D194" s="446"/>
      <c r="E194" s="446"/>
      <c r="F194" s="446"/>
      <c r="G194" s="446"/>
      <c r="H194" s="446"/>
      <c r="I194" s="446"/>
      <c r="J194" s="446"/>
      <c r="K194" s="446"/>
      <c r="L194" s="446"/>
      <c r="M194" s="446"/>
      <c r="N194" s="446"/>
      <c r="O194" s="446"/>
      <c r="P194" s="446"/>
      <c r="Q194" s="446"/>
      <c r="R194" s="446"/>
      <c r="S194" s="446"/>
      <c r="T194" s="446"/>
      <c r="U194" s="446"/>
      <c r="V194" s="446"/>
      <c r="W194" s="446"/>
      <c r="X194" s="446"/>
      <c r="Y194" s="446"/>
      <c r="Z194" s="446"/>
      <c r="AA194" s="446"/>
      <c r="AB194" s="446"/>
      <c r="AC194" s="446"/>
      <c r="AD194" s="446"/>
      <c r="AE194" s="446"/>
      <c r="AF194" s="446"/>
      <c r="AG194" s="446"/>
      <c r="AH194" s="446"/>
      <c r="AI194" s="446"/>
      <c r="AJ194" s="446"/>
      <c r="AK194" s="446"/>
      <c r="AL194" s="446"/>
      <c r="AM194" s="446"/>
      <c r="AN194" s="446"/>
      <c r="AO194" s="446"/>
      <c r="AP194" s="446"/>
      <c r="AQ194" s="446"/>
      <c r="AR194" s="446"/>
      <c r="AS194" s="446"/>
      <c r="AT194" s="446"/>
      <c r="AU194" s="446"/>
      <c r="AV194" s="446"/>
      <c r="AW194" s="446"/>
      <c r="AX194" s="446"/>
      <c r="AY194" s="446"/>
      <c r="AZ194" s="446"/>
      <c r="BA194" s="446"/>
      <c r="BB194" s="446"/>
      <c r="BC194" s="446"/>
      <c r="BD194" s="446"/>
      <c r="BE194" s="446"/>
      <c r="BF194" s="446"/>
      <c r="BG194" s="446"/>
      <c r="BH194" s="446"/>
      <c r="BI194" s="446"/>
      <c r="BJ194" s="446"/>
      <c r="BK194" s="446"/>
      <c r="BL194" s="446"/>
    </row>
    <row r="195" spans="4:64" x14ac:dyDescent="0.2">
      <c r="D195" s="446"/>
      <c r="E195" s="446"/>
      <c r="F195" s="446"/>
      <c r="G195" s="446"/>
      <c r="H195" s="446"/>
      <c r="I195" s="446"/>
      <c r="J195" s="446"/>
      <c r="K195" s="446"/>
      <c r="L195" s="446"/>
      <c r="M195" s="446"/>
      <c r="N195" s="446"/>
      <c r="O195" s="446"/>
      <c r="P195" s="446"/>
      <c r="Q195" s="446"/>
      <c r="R195" s="446"/>
      <c r="S195" s="446"/>
      <c r="T195" s="446"/>
      <c r="U195" s="446"/>
      <c r="V195" s="446"/>
      <c r="W195" s="446"/>
      <c r="X195" s="446"/>
      <c r="Y195" s="446"/>
      <c r="Z195" s="446"/>
      <c r="AA195" s="446"/>
      <c r="AB195" s="446"/>
      <c r="AC195" s="446"/>
      <c r="AD195" s="446"/>
      <c r="AE195" s="446"/>
      <c r="AF195" s="446"/>
      <c r="AG195" s="446"/>
      <c r="AH195" s="446"/>
      <c r="AI195" s="446"/>
      <c r="AJ195" s="446"/>
      <c r="AK195" s="446"/>
      <c r="AL195" s="446"/>
      <c r="AM195" s="446"/>
      <c r="AN195" s="446"/>
      <c r="AO195" s="446"/>
      <c r="AP195" s="446"/>
      <c r="AQ195" s="446"/>
      <c r="AR195" s="446"/>
      <c r="AS195" s="446"/>
      <c r="AT195" s="446"/>
      <c r="AU195" s="446"/>
      <c r="AV195" s="446"/>
      <c r="AW195" s="446"/>
      <c r="AX195" s="446"/>
      <c r="AY195" s="446"/>
      <c r="AZ195" s="446"/>
      <c r="BA195" s="446"/>
      <c r="BB195" s="446"/>
      <c r="BC195" s="446"/>
      <c r="BD195" s="446"/>
      <c r="BE195" s="446"/>
      <c r="BF195" s="446"/>
      <c r="BG195" s="446"/>
      <c r="BH195" s="446"/>
      <c r="BI195" s="446"/>
      <c r="BJ195" s="446"/>
      <c r="BK195" s="446"/>
      <c r="BL195" s="446"/>
    </row>
    <row r="196" spans="4:64" x14ac:dyDescent="0.2">
      <c r="D196" s="446"/>
      <c r="E196" s="446"/>
      <c r="F196" s="446"/>
      <c r="G196" s="446"/>
      <c r="H196" s="446"/>
      <c r="I196" s="446"/>
      <c r="J196" s="446"/>
      <c r="K196" s="446"/>
      <c r="L196" s="446"/>
      <c r="M196" s="446"/>
      <c r="N196" s="446"/>
      <c r="O196" s="446"/>
      <c r="P196" s="446"/>
      <c r="Q196" s="446"/>
      <c r="R196" s="446"/>
      <c r="S196" s="446"/>
      <c r="T196" s="446"/>
      <c r="U196" s="446"/>
      <c r="V196" s="446"/>
      <c r="W196" s="446"/>
      <c r="X196" s="446"/>
      <c r="Y196" s="446"/>
      <c r="Z196" s="446"/>
      <c r="AA196" s="446"/>
      <c r="AB196" s="446"/>
      <c r="AC196" s="446"/>
      <c r="AD196" s="446"/>
      <c r="AE196" s="446"/>
      <c r="AF196" s="446"/>
      <c r="AG196" s="446"/>
      <c r="AH196" s="446"/>
      <c r="AI196" s="446"/>
      <c r="AJ196" s="446"/>
      <c r="AK196" s="446"/>
      <c r="AL196" s="446"/>
      <c r="AM196" s="446"/>
      <c r="AN196" s="446"/>
      <c r="AO196" s="446"/>
      <c r="AP196" s="446"/>
      <c r="AQ196" s="446"/>
      <c r="AR196" s="446"/>
      <c r="AS196" s="446"/>
      <c r="AT196" s="446"/>
      <c r="AU196" s="446"/>
      <c r="AV196" s="446"/>
      <c r="AW196" s="446"/>
      <c r="AX196" s="446"/>
      <c r="AY196" s="446"/>
      <c r="AZ196" s="446"/>
      <c r="BA196" s="446"/>
      <c r="BB196" s="446"/>
      <c r="BC196" s="446"/>
      <c r="BD196" s="446"/>
      <c r="BE196" s="446"/>
      <c r="BF196" s="446"/>
      <c r="BG196" s="446"/>
      <c r="BH196" s="446"/>
      <c r="BI196" s="446"/>
      <c r="BJ196" s="446"/>
      <c r="BK196" s="446"/>
      <c r="BL196" s="446"/>
    </row>
    <row r="197" spans="4:64" x14ac:dyDescent="0.2">
      <c r="D197" s="446"/>
      <c r="E197" s="446"/>
      <c r="F197" s="446"/>
      <c r="G197" s="446"/>
      <c r="H197" s="446"/>
      <c r="I197" s="446"/>
      <c r="J197" s="446"/>
      <c r="K197" s="446"/>
      <c r="L197" s="446"/>
      <c r="M197" s="446"/>
      <c r="N197" s="446"/>
      <c r="O197" s="446"/>
      <c r="P197" s="446"/>
      <c r="Q197" s="446"/>
      <c r="R197" s="446"/>
      <c r="S197" s="446"/>
      <c r="T197" s="446"/>
      <c r="U197" s="446"/>
      <c r="V197" s="446"/>
      <c r="W197" s="446"/>
      <c r="X197" s="446"/>
      <c r="Y197" s="446"/>
      <c r="Z197" s="446"/>
      <c r="AA197" s="446"/>
      <c r="AB197" s="446"/>
      <c r="AC197" s="446"/>
      <c r="AD197" s="446"/>
      <c r="AE197" s="446"/>
      <c r="AF197" s="446"/>
      <c r="AG197" s="446"/>
      <c r="AH197" s="446"/>
      <c r="AI197" s="446"/>
      <c r="AJ197" s="446"/>
      <c r="AK197" s="446"/>
      <c r="AL197" s="446"/>
      <c r="AM197" s="446"/>
      <c r="AN197" s="446"/>
      <c r="AO197" s="446"/>
      <c r="AP197" s="446"/>
      <c r="AQ197" s="446"/>
      <c r="AR197" s="446"/>
      <c r="AS197" s="446"/>
      <c r="AT197" s="446"/>
      <c r="AU197" s="446"/>
      <c r="AV197" s="446"/>
      <c r="AW197" s="446"/>
      <c r="AX197" s="446"/>
      <c r="AY197" s="446"/>
      <c r="AZ197" s="446"/>
      <c r="BA197" s="446"/>
      <c r="BB197" s="446"/>
      <c r="BC197" s="446"/>
      <c r="BD197" s="446"/>
      <c r="BE197" s="446"/>
      <c r="BF197" s="446"/>
      <c r="BG197" s="446"/>
      <c r="BH197" s="446"/>
      <c r="BI197" s="446"/>
      <c r="BJ197" s="446"/>
      <c r="BK197" s="446"/>
      <c r="BL197" s="446"/>
    </row>
    <row r="198" spans="4:64" x14ac:dyDescent="0.2">
      <c r="D198" s="446"/>
      <c r="E198" s="446"/>
      <c r="F198" s="446"/>
      <c r="G198" s="446"/>
      <c r="H198" s="446"/>
      <c r="I198" s="446"/>
      <c r="J198" s="446"/>
      <c r="K198" s="446"/>
      <c r="L198" s="446"/>
      <c r="M198" s="446"/>
      <c r="N198" s="446"/>
      <c r="O198" s="446"/>
      <c r="P198" s="446"/>
      <c r="Q198" s="446"/>
      <c r="R198" s="446"/>
      <c r="S198" s="446"/>
      <c r="T198" s="446"/>
      <c r="U198" s="446"/>
      <c r="V198" s="446"/>
      <c r="W198" s="446"/>
      <c r="X198" s="446"/>
      <c r="Y198" s="446"/>
      <c r="Z198" s="446"/>
      <c r="AA198" s="446"/>
      <c r="AB198" s="446"/>
      <c r="AC198" s="446"/>
      <c r="AD198" s="446"/>
      <c r="AE198" s="446"/>
      <c r="AF198" s="446"/>
      <c r="AG198" s="446"/>
      <c r="AH198" s="446"/>
      <c r="AI198" s="446"/>
      <c r="AJ198" s="446"/>
      <c r="AK198" s="446"/>
      <c r="AL198" s="446"/>
      <c r="AM198" s="446"/>
      <c r="AN198" s="446"/>
      <c r="AO198" s="446"/>
      <c r="AP198" s="446"/>
      <c r="AQ198" s="446"/>
      <c r="AR198" s="446"/>
      <c r="AS198" s="446"/>
      <c r="AT198" s="446"/>
      <c r="AU198" s="446"/>
      <c r="AV198" s="446"/>
      <c r="AW198" s="446"/>
      <c r="AX198" s="446"/>
      <c r="AY198" s="446"/>
      <c r="AZ198" s="446"/>
      <c r="BA198" s="446"/>
      <c r="BB198" s="446"/>
      <c r="BC198" s="446"/>
      <c r="BD198" s="446"/>
      <c r="BE198" s="446"/>
      <c r="BF198" s="446"/>
      <c r="BG198" s="446"/>
      <c r="BH198" s="446"/>
      <c r="BI198" s="446"/>
      <c r="BJ198" s="446"/>
      <c r="BK198" s="446"/>
      <c r="BL198" s="446"/>
    </row>
    <row r="199" spans="4:64" x14ac:dyDescent="0.2">
      <c r="D199" s="446"/>
      <c r="E199" s="446"/>
      <c r="F199" s="446"/>
      <c r="G199" s="446"/>
      <c r="H199" s="446"/>
      <c r="I199" s="446"/>
      <c r="J199" s="446"/>
      <c r="K199" s="446"/>
      <c r="L199" s="446"/>
      <c r="M199" s="446"/>
      <c r="N199" s="446"/>
      <c r="O199" s="446"/>
      <c r="P199" s="446"/>
      <c r="Q199" s="446"/>
      <c r="R199" s="446"/>
      <c r="S199" s="446"/>
      <c r="T199" s="446"/>
      <c r="U199" s="446"/>
      <c r="V199" s="446"/>
      <c r="W199" s="446"/>
      <c r="X199" s="446"/>
      <c r="Y199" s="446"/>
      <c r="Z199" s="446"/>
      <c r="AA199" s="446"/>
      <c r="AB199" s="446"/>
      <c r="AC199" s="446"/>
      <c r="AD199" s="446"/>
      <c r="AE199" s="446"/>
      <c r="AF199" s="446"/>
      <c r="AG199" s="446"/>
      <c r="AH199" s="446"/>
      <c r="AI199" s="446"/>
      <c r="AJ199" s="446"/>
      <c r="AK199" s="446"/>
      <c r="AL199" s="446"/>
      <c r="AM199" s="446"/>
      <c r="AN199" s="446"/>
      <c r="AO199" s="446"/>
      <c r="AP199" s="446"/>
      <c r="AQ199" s="446"/>
      <c r="AR199" s="446"/>
      <c r="AS199" s="446"/>
      <c r="AT199" s="446"/>
      <c r="AU199" s="446"/>
      <c r="AV199" s="446"/>
      <c r="AW199" s="446"/>
      <c r="AX199" s="446"/>
      <c r="AY199" s="446"/>
      <c r="AZ199" s="446"/>
      <c r="BA199" s="446"/>
      <c r="BB199" s="446"/>
      <c r="BC199" s="446"/>
      <c r="BD199" s="446"/>
      <c r="BE199" s="446"/>
      <c r="BF199" s="446"/>
      <c r="BG199" s="446"/>
      <c r="BH199" s="446"/>
      <c r="BI199" s="446"/>
      <c r="BJ199" s="446"/>
      <c r="BK199" s="446"/>
      <c r="BL199" s="446"/>
    </row>
    <row r="200" spans="4:64" x14ac:dyDescent="0.2">
      <c r="D200" s="446"/>
      <c r="E200" s="446"/>
      <c r="F200" s="446"/>
      <c r="G200" s="446"/>
      <c r="H200" s="446"/>
      <c r="I200" s="446"/>
      <c r="J200" s="446"/>
      <c r="K200" s="446"/>
      <c r="L200" s="446"/>
      <c r="M200" s="446"/>
      <c r="N200" s="446"/>
      <c r="O200" s="446"/>
      <c r="P200" s="446"/>
      <c r="Q200" s="446"/>
      <c r="R200" s="446"/>
      <c r="S200" s="446"/>
      <c r="T200" s="446"/>
      <c r="U200" s="446"/>
      <c r="V200" s="446"/>
      <c r="W200" s="446"/>
      <c r="X200" s="446"/>
      <c r="Y200" s="446"/>
      <c r="Z200" s="446"/>
      <c r="AA200" s="446"/>
      <c r="AB200" s="446"/>
      <c r="AC200" s="446"/>
      <c r="AD200" s="446"/>
      <c r="AE200" s="446"/>
      <c r="AF200" s="446"/>
      <c r="AG200" s="446"/>
      <c r="AH200" s="446"/>
      <c r="AI200" s="446"/>
      <c r="AJ200" s="446"/>
      <c r="AK200" s="446"/>
      <c r="AL200" s="446"/>
      <c r="AM200" s="446"/>
      <c r="AN200" s="446"/>
      <c r="AO200" s="446"/>
      <c r="AP200" s="446"/>
      <c r="AQ200" s="446"/>
      <c r="AR200" s="446"/>
      <c r="AS200" s="446"/>
      <c r="AT200" s="446"/>
      <c r="AU200" s="446"/>
      <c r="AV200" s="446"/>
      <c r="AW200" s="446"/>
      <c r="AX200" s="446"/>
      <c r="AY200" s="446"/>
      <c r="AZ200" s="446"/>
      <c r="BA200" s="446"/>
      <c r="BB200" s="446"/>
      <c r="BC200" s="446"/>
      <c r="BD200" s="446"/>
      <c r="BE200" s="446"/>
      <c r="BF200" s="446"/>
      <c r="BG200" s="446"/>
      <c r="BH200" s="446"/>
      <c r="BI200" s="446"/>
      <c r="BJ200" s="446"/>
      <c r="BK200" s="446"/>
      <c r="BL200" s="446"/>
    </row>
    <row r="201" spans="4:64" x14ac:dyDescent="0.2">
      <c r="D201" s="446"/>
      <c r="E201" s="446"/>
      <c r="F201" s="446"/>
      <c r="G201" s="446"/>
      <c r="H201" s="446"/>
      <c r="I201" s="446"/>
      <c r="J201" s="446"/>
      <c r="K201" s="446"/>
      <c r="L201" s="446"/>
      <c r="M201" s="446"/>
      <c r="N201" s="446"/>
      <c r="O201" s="446"/>
      <c r="P201" s="446"/>
      <c r="Q201" s="446"/>
      <c r="R201" s="446"/>
      <c r="S201" s="446"/>
      <c r="T201" s="446"/>
      <c r="U201" s="446"/>
      <c r="V201" s="446"/>
      <c r="W201" s="446"/>
      <c r="X201" s="446"/>
      <c r="Y201" s="446"/>
      <c r="Z201" s="446"/>
      <c r="AA201" s="446"/>
      <c r="AB201" s="446"/>
      <c r="AC201" s="446"/>
      <c r="AD201" s="446"/>
      <c r="AE201" s="446"/>
      <c r="AF201" s="446"/>
      <c r="AG201" s="446"/>
      <c r="AH201" s="446"/>
      <c r="AI201" s="446"/>
      <c r="AJ201" s="446"/>
      <c r="AK201" s="446"/>
      <c r="AL201" s="446"/>
      <c r="AM201" s="446"/>
      <c r="AN201" s="446"/>
      <c r="AO201" s="446"/>
      <c r="AP201" s="446"/>
      <c r="AQ201" s="446"/>
      <c r="AR201" s="446"/>
      <c r="AS201" s="446"/>
      <c r="AT201" s="446"/>
      <c r="AU201" s="446"/>
      <c r="AV201" s="446"/>
      <c r="AW201" s="446"/>
      <c r="AX201" s="446"/>
      <c r="AY201" s="446"/>
      <c r="AZ201" s="446"/>
      <c r="BA201" s="446"/>
      <c r="BB201" s="446"/>
      <c r="BC201" s="446"/>
      <c r="BD201" s="446"/>
      <c r="BE201" s="446"/>
      <c r="BF201" s="446"/>
      <c r="BG201" s="446"/>
      <c r="BH201" s="446"/>
      <c r="BI201" s="446"/>
      <c r="BJ201" s="446"/>
      <c r="BK201" s="446"/>
      <c r="BL201" s="446"/>
    </row>
    <row r="202" spans="4:64" x14ac:dyDescent="0.2">
      <c r="D202" s="446"/>
      <c r="E202" s="446"/>
      <c r="F202" s="446"/>
      <c r="G202" s="446"/>
      <c r="H202" s="446"/>
      <c r="I202" s="446"/>
      <c r="J202" s="446"/>
      <c r="K202" s="446"/>
      <c r="L202" s="446"/>
      <c r="M202" s="446"/>
      <c r="N202" s="446"/>
      <c r="O202" s="446"/>
      <c r="P202" s="446"/>
      <c r="Q202" s="446"/>
      <c r="R202" s="446"/>
      <c r="S202" s="446"/>
      <c r="T202" s="446"/>
      <c r="U202" s="446"/>
      <c r="V202" s="446"/>
      <c r="W202" s="446"/>
      <c r="X202" s="446"/>
      <c r="Y202" s="446"/>
      <c r="Z202" s="446"/>
      <c r="AA202" s="446"/>
      <c r="AB202" s="446"/>
      <c r="AC202" s="446"/>
      <c r="AD202" s="446"/>
      <c r="AE202" s="446"/>
      <c r="AF202" s="446"/>
      <c r="AG202" s="446"/>
      <c r="AH202" s="446"/>
      <c r="AI202" s="446"/>
      <c r="AJ202" s="446"/>
      <c r="AK202" s="446"/>
      <c r="AL202" s="446"/>
      <c r="AM202" s="446"/>
      <c r="AN202" s="446"/>
      <c r="AO202" s="446"/>
      <c r="AP202" s="446"/>
      <c r="AQ202" s="446"/>
      <c r="AR202" s="446"/>
      <c r="AS202" s="446"/>
      <c r="AT202" s="446"/>
      <c r="AU202" s="446"/>
      <c r="AV202" s="446"/>
      <c r="AW202" s="446"/>
      <c r="AX202" s="446"/>
      <c r="AY202" s="446"/>
      <c r="AZ202" s="446"/>
      <c r="BA202" s="446"/>
      <c r="BB202" s="446"/>
      <c r="BC202" s="446"/>
      <c r="BD202" s="446"/>
      <c r="BE202" s="446"/>
      <c r="BF202" s="446"/>
      <c r="BG202" s="446"/>
      <c r="BH202" s="446"/>
      <c r="BI202" s="446"/>
      <c r="BJ202" s="446"/>
      <c r="BK202" s="446"/>
      <c r="BL202" s="446"/>
    </row>
    <row r="203" spans="4:64" x14ac:dyDescent="0.2">
      <c r="D203" s="446"/>
      <c r="E203" s="446"/>
      <c r="F203" s="446"/>
      <c r="G203" s="446"/>
      <c r="H203" s="446"/>
      <c r="I203" s="446"/>
      <c r="J203" s="446"/>
      <c r="K203" s="446"/>
      <c r="L203" s="446"/>
      <c r="M203" s="446"/>
      <c r="N203" s="446"/>
      <c r="O203" s="446"/>
      <c r="P203" s="446"/>
      <c r="Q203" s="446"/>
      <c r="R203" s="446"/>
      <c r="S203" s="446"/>
      <c r="T203" s="446"/>
      <c r="U203" s="446"/>
      <c r="V203" s="446"/>
      <c r="W203" s="446"/>
      <c r="X203" s="446"/>
      <c r="Y203" s="446"/>
      <c r="Z203" s="446"/>
      <c r="AA203" s="446"/>
      <c r="AB203" s="446"/>
      <c r="AC203" s="446"/>
      <c r="AD203" s="446"/>
      <c r="AE203" s="446"/>
      <c r="AF203" s="446"/>
      <c r="AG203" s="446"/>
      <c r="AH203" s="446"/>
      <c r="AI203" s="446"/>
      <c r="AJ203" s="446"/>
      <c r="AK203" s="446"/>
      <c r="AL203" s="446"/>
      <c r="AM203" s="446"/>
      <c r="AN203" s="446"/>
      <c r="AO203" s="446"/>
      <c r="AP203" s="446"/>
      <c r="AQ203" s="446"/>
      <c r="AR203" s="446"/>
      <c r="AS203" s="446"/>
      <c r="AT203" s="446"/>
      <c r="AU203" s="446"/>
      <c r="AV203" s="446"/>
      <c r="AW203" s="446"/>
      <c r="AX203" s="446"/>
      <c r="AY203" s="446"/>
      <c r="AZ203" s="446"/>
      <c r="BA203" s="446"/>
      <c r="BB203" s="446"/>
      <c r="BC203" s="446"/>
      <c r="BD203" s="446"/>
      <c r="BE203" s="446"/>
      <c r="BF203" s="446"/>
      <c r="BG203" s="446"/>
      <c r="BH203" s="446"/>
      <c r="BI203" s="446"/>
      <c r="BJ203" s="446"/>
      <c r="BK203" s="446"/>
      <c r="BL203" s="446"/>
    </row>
    <row r="204" spans="4:64" x14ac:dyDescent="0.2">
      <c r="D204" s="446"/>
      <c r="E204" s="446"/>
      <c r="F204" s="446"/>
      <c r="G204" s="446"/>
      <c r="H204" s="446"/>
      <c r="I204" s="446"/>
      <c r="J204" s="446"/>
      <c r="K204" s="446"/>
      <c r="L204" s="446"/>
      <c r="M204" s="446"/>
      <c r="N204" s="446"/>
      <c r="O204" s="446"/>
      <c r="P204" s="446"/>
      <c r="Q204" s="446"/>
      <c r="R204" s="446"/>
      <c r="S204" s="446"/>
      <c r="T204" s="446"/>
      <c r="U204" s="446"/>
      <c r="V204" s="446"/>
      <c r="W204" s="446"/>
      <c r="X204" s="446"/>
      <c r="Y204" s="446"/>
      <c r="Z204" s="446"/>
      <c r="AA204" s="446"/>
      <c r="AB204" s="446"/>
      <c r="AC204" s="446"/>
      <c r="AD204" s="446"/>
      <c r="AE204" s="446"/>
      <c r="AF204" s="446"/>
      <c r="AG204" s="446"/>
      <c r="AH204" s="446"/>
      <c r="AI204" s="446"/>
      <c r="AJ204" s="446"/>
      <c r="AK204" s="446"/>
      <c r="AL204" s="446"/>
      <c r="AM204" s="446"/>
      <c r="AN204" s="446"/>
      <c r="AO204" s="446"/>
      <c r="AP204" s="446"/>
      <c r="AQ204" s="446"/>
      <c r="AR204" s="446"/>
      <c r="AS204" s="446"/>
      <c r="AT204" s="446"/>
      <c r="AU204" s="446"/>
      <c r="AV204" s="446"/>
      <c r="AW204" s="446"/>
      <c r="AX204" s="446"/>
      <c r="AY204" s="446"/>
      <c r="AZ204" s="446"/>
      <c r="BA204" s="446"/>
      <c r="BB204" s="446"/>
      <c r="BC204" s="446"/>
      <c r="BD204" s="446"/>
      <c r="BE204" s="446"/>
      <c r="BF204" s="446"/>
      <c r="BG204" s="446"/>
      <c r="BH204" s="446"/>
      <c r="BI204" s="446"/>
      <c r="BJ204" s="446"/>
      <c r="BK204" s="446"/>
      <c r="BL204" s="446"/>
    </row>
    <row r="205" spans="4:64" x14ac:dyDescent="0.2">
      <c r="D205" s="446"/>
      <c r="E205" s="446"/>
      <c r="F205" s="446"/>
      <c r="G205" s="446"/>
      <c r="H205" s="446"/>
      <c r="I205" s="446"/>
      <c r="J205" s="446"/>
      <c r="K205" s="446"/>
      <c r="L205" s="446"/>
      <c r="M205" s="446"/>
      <c r="N205" s="446"/>
      <c r="O205" s="446"/>
      <c r="P205" s="446"/>
      <c r="Q205" s="446"/>
      <c r="R205" s="446"/>
      <c r="S205" s="446"/>
      <c r="T205" s="446"/>
      <c r="U205" s="446"/>
      <c r="V205" s="446"/>
      <c r="W205" s="446"/>
      <c r="X205" s="446"/>
      <c r="Y205" s="446"/>
      <c r="Z205" s="446"/>
      <c r="AA205" s="446"/>
      <c r="AB205" s="446"/>
      <c r="AC205" s="446"/>
      <c r="AD205" s="446"/>
      <c r="AE205" s="446"/>
      <c r="AF205" s="446"/>
      <c r="AG205" s="446"/>
      <c r="AH205" s="446"/>
      <c r="AI205" s="446"/>
      <c r="AJ205" s="446"/>
      <c r="AK205" s="446"/>
      <c r="AL205" s="446"/>
      <c r="AM205" s="446"/>
      <c r="AN205" s="446"/>
      <c r="AO205" s="446"/>
      <c r="AP205" s="446"/>
      <c r="AQ205" s="446"/>
      <c r="AR205" s="446"/>
      <c r="AS205" s="446"/>
      <c r="AT205" s="446"/>
      <c r="AU205" s="446"/>
      <c r="AV205" s="446"/>
      <c r="AW205" s="446"/>
      <c r="AX205" s="446"/>
      <c r="AY205" s="446"/>
      <c r="AZ205" s="446"/>
      <c r="BA205" s="446"/>
      <c r="BB205" s="446"/>
      <c r="BC205" s="446"/>
      <c r="BD205" s="446"/>
      <c r="BE205" s="446"/>
      <c r="BF205" s="446"/>
      <c r="BG205" s="446"/>
      <c r="BH205" s="446"/>
      <c r="BI205" s="446"/>
      <c r="BJ205" s="446"/>
      <c r="BK205" s="446"/>
      <c r="BL205" s="446"/>
    </row>
    <row r="206" spans="4:64" x14ac:dyDescent="0.2">
      <c r="D206" s="446"/>
      <c r="E206" s="446"/>
      <c r="F206" s="446"/>
      <c r="G206" s="446"/>
      <c r="H206" s="446"/>
      <c r="I206" s="446"/>
      <c r="J206" s="446"/>
      <c r="K206" s="446"/>
      <c r="L206" s="446"/>
      <c r="M206" s="446"/>
      <c r="N206" s="446"/>
      <c r="O206" s="446"/>
      <c r="P206" s="446"/>
      <c r="Q206" s="446"/>
      <c r="R206" s="446"/>
      <c r="S206" s="446"/>
      <c r="T206" s="446"/>
      <c r="U206" s="446"/>
      <c r="V206" s="446"/>
      <c r="W206" s="446"/>
      <c r="X206" s="446"/>
      <c r="Y206" s="446"/>
      <c r="Z206" s="446"/>
      <c r="AA206" s="446"/>
      <c r="AB206" s="446"/>
      <c r="AC206" s="446"/>
      <c r="AD206" s="446"/>
      <c r="AE206" s="446"/>
      <c r="AF206" s="446"/>
      <c r="AG206" s="446"/>
      <c r="AH206" s="446"/>
      <c r="AI206" s="446"/>
      <c r="AJ206" s="446"/>
      <c r="AK206" s="446"/>
      <c r="AL206" s="446"/>
      <c r="AM206" s="446"/>
      <c r="AN206" s="446"/>
      <c r="AO206" s="446"/>
      <c r="AP206" s="446"/>
      <c r="AQ206" s="446"/>
      <c r="AR206" s="446"/>
      <c r="AS206" s="446"/>
      <c r="AT206" s="446"/>
      <c r="AU206" s="446"/>
      <c r="AV206" s="446"/>
      <c r="AW206" s="446"/>
      <c r="AX206" s="446"/>
      <c r="AY206" s="446"/>
      <c r="AZ206" s="446"/>
      <c r="BA206" s="446"/>
      <c r="BB206" s="446"/>
      <c r="BC206" s="446"/>
      <c r="BD206" s="446"/>
      <c r="BE206" s="446"/>
      <c r="BF206" s="446"/>
      <c r="BG206" s="446"/>
      <c r="BH206" s="446"/>
      <c r="BI206" s="446"/>
      <c r="BJ206" s="446"/>
      <c r="BK206" s="446"/>
      <c r="BL206" s="446"/>
    </row>
    <row r="207" spans="4:64" x14ac:dyDescent="0.2">
      <c r="D207" s="446"/>
      <c r="E207" s="446"/>
      <c r="F207" s="446"/>
      <c r="G207" s="446"/>
      <c r="H207" s="446"/>
      <c r="I207" s="446"/>
      <c r="J207" s="446"/>
      <c r="K207" s="446"/>
      <c r="L207" s="446"/>
      <c r="M207" s="446"/>
      <c r="N207" s="446"/>
      <c r="O207" s="446"/>
      <c r="P207" s="446"/>
      <c r="Q207" s="446"/>
      <c r="R207" s="446"/>
      <c r="S207" s="446"/>
      <c r="T207" s="446"/>
      <c r="U207" s="446"/>
      <c r="V207" s="446"/>
      <c r="W207" s="446"/>
      <c r="X207" s="446"/>
      <c r="Y207" s="446"/>
      <c r="Z207" s="446"/>
      <c r="AA207" s="446"/>
      <c r="AB207" s="446"/>
      <c r="AC207" s="446"/>
      <c r="AD207" s="446"/>
      <c r="AE207" s="446"/>
      <c r="AF207" s="446"/>
      <c r="AG207" s="446"/>
      <c r="AH207" s="446"/>
      <c r="AI207" s="446"/>
      <c r="AJ207" s="446"/>
      <c r="AK207" s="446"/>
      <c r="AL207" s="446"/>
      <c r="AM207" s="446"/>
      <c r="AN207" s="446"/>
      <c r="AO207" s="446"/>
      <c r="AP207" s="446"/>
      <c r="AQ207" s="446"/>
      <c r="AR207" s="446"/>
      <c r="AS207" s="446"/>
      <c r="AT207" s="446"/>
      <c r="AU207" s="446"/>
      <c r="AV207" s="446"/>
      <c r="AW207" s="446"/>
      <c r="AX207" s="446"/>
      <c r="AY207" s="446"/>
      <c r="AZ207" s="446"/>
      <c r="BA207" s="446"/>
      <c r="BB207" s="446"/>
      <c r="BC207" s="446"/>
      <c r="BD207" s="446"/>
      <c r="BE207" s="446"/>
      <c r="BF207" s="446"/>
      <c r="BG207" s="446"/>
      <c r="BH207" s="446"/>
      <c r="BI207" s="446"/>
      <c r="BJ207" s="446"/>
      <c r="BK207" s="446"/>
      <c r="BL207" s="446"/>
    </row>
    <row r="208" spans="4:64" x14ac:dyDescent="0.2">
      <c r="D208" s="446"/>
      <c r="E208" s="446"/>
      <c r="F208" s="446"/>
      <c r="G208" s="446"/>
      <c r="H208" s="446"/>
      <c r="I208" s="446"/>
      <c r="J208" s="446"/>
      <c r="K208" s="446"/>
      <c r="L208" s="446"/>
      <c r="M208" s="446"/>
      <c r="N208" s="446"/>
      <c r="O208" s="446"/>
      <c r="P208" s="446"/>
      <c r="Q208" s="446"/>
      <c r="R208" s="446"/>
      <c r="S208" s="446"/>
      <c r="T208" s="446"/>
      <c r="U208" s="446"/>
      <c r="V208" s="446"/>
      <c r="W208" s="446"/>
      <c r="X208" s="446"/>
      <c r="Y208" s="446"/>
      <c r="Z208" s="446"/>
      <c r="AA208" s="446"/>
      <c r="AB208" s="446"/>
      <c r="AC208" s="446"/>
      <c r="AD208" s="446"/>
      <c r="AE208" s="446"/>
      <c r="AF208" s="446"/>
      <c r="AG208" s="446"/>
      <c r="AH208" s="446"/>
      <c r="AI208" s="446"/>
      <c r="AJ208" s="446"/>
      <c r="AK208" s="446"/>
      <c r="AL208" s="446"/>
      <c r="AM208" s="446"/>
      <c r="AN208" s="446"/>
      <c r="AO208" s="446"/>
      <c r="AP208" s="446"/>
      <c r="AQ208" s="446"/>
      <c r="AR208" s="446"/>
      <c r="AS208" s="446"/>
      <c r="AT208" s="446"/>
      <c r="AU208" s="446"/>
      <c r="AV208" s="446"/>
      <c r="AW208" s="446"/>
      <c r="AX208" s="446"/>
      <c r="AY208" s="446"/>
      <c r="AZ208" s="446"/>
      <c r="BA208" s="446"/>
      <c r="BB208" s="446"/>
      <c r="BC208" s="446"/>
      <c r="BD208" s="446"/>
      <c r="BE208" s="446"/>
      <c r="BF208" s="446"/>
      <c r="BG208" s="446"/>
      <c r="BH208" s="446"/>
      <c r="BI208" s="446"/>
      <c r="BJ208" s="446"/>
      <c r="BK208" s="446"/>
      <c r="BL208" s="446"/>
    </row>
    <row r="209" spans="4:64" x14ac:dyDescent="0.2">
      <c r="D209" s="446"/>
      <c r="E209" s="446"/>
      <c r="F209" s="446"/>
      <c r="G209" s="446"/>
      <c r="H209" s="446"/>
      <c r="I209" s="446"/>
      <c r="J209" s="446"/>
      <c r="K209" s="446"/>
      <c r="L209" s="446"/>
      <c r="M209" s="446"/>
      <c r="N209" s="446"/>
      <c r="O209" s="446"/>
      <c r="P209" s="446"/>
      <c r="Q209" s="446"/>
      <c r="R209" s="446"/>
      <c r="S209" s="446"/>
      <c r="T209" s="446"/>
      <c r="U209" s="446"/>
      <c r="V209" s="446"/>
      <c r="W209" s="446"/>
      <c r="X209" s="446"/>
      <c r="Y209" s="446"/>
      <c r="Z209" s="446"/>
      <c r="AA209" s="446"/>
      <c r="AB209" s="446"/>
      <c r="AC209" s="446"/>
      <c r="AD209" s="446"/>
      <c r="AE209" s="446"/>
      <c r="AF209" s="446"/>
      <c r="AG209" s="446"/>
      <c r="AH209" s="446"/>
      <c r="AI209" s="446"/>
      <c r="AJ209" s="446"/>
      <c r="AK209" s="446"/>
      <c r="AL209" s="446"/>
      <c r="AM209" s="446"/>
      <c r="AN209" s="446"/>
      <c r="AO209" s="446"/>
      <c r="AP209" s="446"/>
      <c r="AQ209" s="446"/>
      <c r="AR209" s="446"/>
      <c r="AS209" s="446"/>
      <c r="AT209" s="446"/>
      <c r="AU209" s="446"/>
      <c r="AV209" s="446"/>
      <c r="AW209" s="446"/>
      <c r="AX209" s="446"/>
      <c r="AY209" s="446"/>
      <c r="AZ209" s="446"/>
      <c r="BA209" s="446"/>
      <c r="BB209" s="446"/>
      <c r="BC209" s="446"/>
      <c r="BD209" s="446"/>
      <c r="BE209" s="446"/>
      <c r="BF209" s="446"/>
      <c r="BG209" s="446"/>
      <c r="BH209" s="446"/>
      <c r="BI209" s="446"/>
      <c r="BJ209" s="446"/>
      <c r="BK209" s="446"/>
      <c r="BL209" s="446"/>
    </row>
    <row r="210" spans="4:64" x14ac:dyDescent="0.2">
      <c r="D210" s="446"/>
      <c r="E210" s="446"/>
      <c r="F210" s="446"/>
      <c r="G210" s="446"/>
      <c r="H210" s="446"/>
      <c r="I210" s="446"/>
      <c r="J210" s="446"/>
      <c r="K210" s="446"/>
      <c r="L210" s="446"/>
      <c r="M210" s="446"/>
      <c r="N210" s="446"/>
      <c r="O210" s="446"/>
      <c r="P210" s="446"/>
      <c r="Q210" s="446"/>
      <c r="R210" s="446"/>
      <c r="S210" s="446"/>
      <c r="T210" s="446"/>
      <c r="U210" s="446"/>
      <c r="V210" s="446"/>
      <c r="W210" s="446"/>
      <c r="X210" s="446"/>
      <c r="Y210" s="446"/>
      <c r="Z210" s="446"/>
      <c r="AA210" s="446"/>
      <c r="AB210" s="446"/>
      <c r="AC210" s="446"/>
      <c r="AD210" s="446"/>
      <c r="AE210" s="446"/>
      <c r="AF210" s="446"/>
      <c r="AG210" s="446"/>
      <c r="AH210" s="446"/>
      <c r="AI210" s="446"/>
      <c r="AJ210" s="446"/>
      <c r="AK210" s="446"/>
      <c r="AL210" s="446"/>
      <c r="AM210" s="446"/>
      <c r="AN210" s="446"/>
      <c r="AO210" s="446"/>
      <c r="AP210" s="446"/>
      <c r="AQ210" s="446"/>
      <c r="AR210" s="446"/>
      <c r="AS210" s="446"/>
      <c r="AT210" s="446"/>
      <c r="AU210" s="446"/>
      <c r="AV210" s="446"/>
      <c r="AW210" s="446"/>
      <c r="AX210" s="446"/>
      <c r="AY210" s="446"/>
      <c r="AZ210" s="446"/>
      <c r="BA210" s="446"/>
      <c r="BB210" s="446"/>
      <c r="BC210" s="446"/>
      <c r="BD210" s="446"/>
      <c r="BE210" s="446"/>
      <c r="BF210" s="446"/>
      <c r="BG210" s="446"/>
      <c r="BH210" s="446"/>
      <c r="BI210" s="446"/>
      <c r="BJ210" s="446"/>
      <c r="BK210" s="446"/>
      <c r="BL210" s="446"/>
    </row>
    <row r="211" spans="4:64" x14ac:dyDescent="0.2">
      <c r="D211" s="446"/>
      <c r="E211" s="446"/>
      <c r="F211" s="446"/>
      <c r="G211" s="446"/>
      <c r="H211" s="446"/>
      <c r="I211" s="446"/>
      <c r="J211" s="446"/>
      <c r="K211" s="446"/>
      <c r="L211" s="446"/>
      <c r="M211" s="446"/>
      <c r="N211" s="446"/>
      <c r="O211" s="446"/>
      <c r="P211" s="446"/>
      <c r="Q211" s="446"/>
      <c r="R211" s="446"/>
      <c r="S211" s="446"/>
      <c r="T211" s="446"/>
      <c r="U211" s="446"/>
      <c r="V211" s="446"/>
      <c r="W211" s="446"/>
      <c r="X211" s="446"/>
      <c r="Y211" s="446"/>
      <c r="Z211" s="446"/>
      <c r="AA211" s="446"/>
      <c r="AB211" s="446"/>
      <c r="AC211" s="446"/>
      <c r="AD211" s="446"/>
      <c r="AE211" s="446"/>
      <c r="AF211" s="446"/>
      <c r="AG211" s="446"/>
      <c r="AH211" s="446"/>
      <c r="AI211" s="446"/>
      <c r="AJ211" s="446"/>
      <c r="AK211" s="446"/>
      <c r="AL211" s="446"/>
      <c r="AM211" s="446"/>
      <c r="AN211" s="446"/>
      <c r="AO211" s="446"/>
      <c r="AP211" s="446"/>
      <c r="AQ211" s="446"/>
      <c r="AR211" s="446"/>
      <c r="AS211" s="446"/>
      <c r="AT211" s="446"/>
      <c r="AU211" s="446"/>
      <c r="AV211" s="446"/>
      <c r="AW211" s="446"/>
      <c r="AX211" s="446"/>
      <c r="AY211" s="446"/>
      <c r="AZ211" s="446"/>
      <c r="BA211" s="446"/>
      <c r="BB211" s="446"/>
      <c r="BC211" s="446"/>
      <c r="BD211" s="446"/>
      <c r="BE211" s="446"/>
      <c r="BF211" s="446"/>
      <c r="BG211" s="446"/>
      <c r="BH211" s="446"/>
      <c r="BI211" s="446"/>
      <c r="BJ211" s="446"/>
      <c r="BK211" s="446"/>
      <c r="BL211" s="446"/>
    </row>
    <row r="212" spans="4:64" x14ac:dyDescent="0.2">
      <c r="D212" s="446"/>
      <c r="E212" s="446"/>
      <c r="F212" s="446"/>
      <c r="G212" s="446"/>
      <c r="H212" s="446"/>
      <c r="I212" s="446"/>
      <c r="J212" s="446"/>
      <c r="K212" s="446"/>
      <c r="L212" s="446"/>
      <c r="M212" s="446"/>
      <c r="N212" s="446"/>
      <c r="O212" s="446"/>
      <c r="P212" s="446"/>
      <c r="Q212" s="446"/>
      <c r="R212" s="446"/>
      <c r="S212" s="446"/>
      <c r="T212" s="446"/>
      <c r="U212" s="446"/>
      <c r="V212" s="446"/>
      <c r="W212" s="446"/>
      <c r="X212" s="446"/>
      <c r="Y212" s="446"/>
      <c r="Z212" s="446"/>
      <c r="AA212" s="446"/>
      <c r="AB212" s="446"/>
      <c r="AC212" s="446"/>
      <c r="AD212" s="446"/>
      <c r="AE212" s="446"/>
      <c r="AF212" s="446"/>
      <c r="AG212" s="446"/>
      <c r="AH212" s="446"/>
      <c r="AI212" s="446"/>
      <c r="AJ212" s="446"/>
      <c r="AK212" s="446"/>
      <c r="AL212" s="446"/>
      <c r="AM212" s="446"/>
      <c r="AN212" s="446"/>
      <c r="AO212" s="446"/>
      <c r="AP212" s="446"/>
      <c r="AQ212" s="446"/>
      <c r="AR212" s="446"/>
      <c r="AS212" s="446"/>
      <c r="AT212" s="446"/>
      <c r="AU212" s="446"/>
      <c r="AV212" s="446"/>
      <c r="AW212" s="446"/>
      <c r="AX212" s="446"/>
      <c r="AY212" s="446"/>
      <c r="AZ212" s="446"/>
      <c r="BA212" s="446"/>
      <c r="BB212" s="446"/>
      <c r="BC212" s="446"/>
      <c r="BD212" s="446"/>
      <c r="BE212" s="446"/>
      <c r="BF212" s="446"/>
      <c r="BG212" s="446"/>
      <c r="BH212" s="446"/>
      <c r="BI212" s="446"/>
      <c r="BJ212" s="446"/>
      <c r="BK212" s="446"/>
      <c r="BL212" s="446"/>
    </row>
    <row r="213" spans="4:64" x14ac:dyDescent="0.2">
      <c r="D213" s="446"/>
      <c r="E213" s="446"/>
      <c r="F213" s="446"/>
      <c r="G213" s="446"/>
      <c r="H213" s="446"/>
      <c r="I213" s="446"/>
      <c r="J213" s="446"/>
      <c r="K213" s="446"/>
      <c r="L213" s="446"/>
      <c r="M213" s="446"/>
      <c r="N213" s="446"/>
      <c r="O213" s="446"/>
      <c r="P213" s="446"/>
      <c r="Q213" s="446"/>
      <c r="R213" s="446"/>
      <c r="S213" s="446"/>
      <c r="T213" s="446"/>
      <c r="U213" s="446"/>
      <c r="V213" s="446"/>
      <c r="W213" s="446"/>
      <c r="X213" s="446"/>
      <c r="Y213" s="446"/>
      <c r="Z213" s="446"/>
      <c r="AA213" s="446"/>
      <c r="AB213" s="446"/>
      <c r="AC213" s="446"/>
      <c r="AD213" s="446"/>
      <c r="AE213" s="446"/>
      <c r="AF213" s="446"/>
      <c r="AG213" s="446"/>
      <c r="AH213" s="446"/>
      <c r="AI213" s="446"/>
      <c r="AJ213" s="446"/>
      <c r="AK213" s="446"/>
      <c r="AL213" s="446"/>
      <c r="AM213" s="446"/>
      <c r="AN213" s="446"/>
      <c r="AO213" s="446"/>
      <c r="AP213" s="446"/>
      <c r="AQ213" s="446"/>
      <c r="AR213" s="446"/>
      <c r="AS213" s="446"/>
      <c r="AT213" s="446"/>
      <c r="AU213" s="446"/>
      <c r="AV213" s="446"/>
      <c r="AW213" s="446"/>
      <c r="AX213" s="446"/>
      <c r="AY213" s="446"/>
      <c r="AZ213" s="446"/>
      <c r="BA213" s="446"/>
      <c r="BB213" s="446"/>
      <c r="BC213" s="446"/>
      <c r="BD213" s="446"/>
      <c r="BE213" s="446"/>
      <c r="BF213" s="446"/>
      <c r="BG213" s="446"/>
      <c r="BH213" s="446"/>
      <c r="BI213" s="446"/>
      <c r="BJ213" s="446"/>
      <c r="BK213" s="446"/>
      <c r="BL213" s="446"/>
    </row>
    <row r="214" spans="4:64" x14ac:dyDescent="0.2">
      <c r="D214" s="446"/>
      <c r="E214" s="446"/>
      <c r="F214" s="446"/>
      <c r="G214" s="446"/>
      <c r="H214" s="446"/>
      <c r="I214" s="446"/>
      <c r="J214" s="446"/>
      <c r="K214" s="446"/>
      <c r="L214" s="446"/>
      <c r="M214" s="446"/>
      <c r="N214" s="446"/>
      <c r="O214" s="446"/>
      <c r="P214" s="446"/>
      <c r="Q214" s="446"/>
      <c r="R214" s="446"/>
      <c r="S214" s="446"/>
      <c r="T214" s="446"/>
      <c r="U214" s="446"/>
      <c r="V214" s="446"/>
      <c r="W214" s="446"/>
      <c r="X214" s="446"/>
      <c r="Y214" s="446"/>
      <c r="Z214" s="446"/>
      <c r="AA214" s="446"/>
      <c r="AB214" s="446"/>
      <c r="AC214" s="446"/>
      <c r="AD214" s="446"/>
      <c r="AE214" s="446"/>
      <c r="AF214" s="446"/>
      <c r="AG214" s="446"/>
      <c r="AH214" s="446"/>
      <c r="AI214" s="446"/>
      <c r="AJ214" s="446"/>
      <c r="AK214" s="446"/>
      <c r="AL214" s="446"/>
      <c r="AM214" s="446"/>
      <c r="AN214" s="446"/>
      <c r="AO214" s="446"/>
      <c r="AP214" s="446"/>
      <c r="AQ214" s="446"/>
      <c r="AR214" s="446"/>
      <c r="AS214" s="446"/>
      <c r="AT214" s="446"/>
      <c r="AU214" s="446"/>
      <c r="AV214" s="446"/>
      <c r="AW214" s="446"/>
      <c r="AX214" s="446"/>
      <c r="AY214" s="446"/>
      <c r="AZ214" s="446"/>
      <c r="BA214" s="446"/>
      <c r="BB214" s="446"/>
      <c r="BC214" s="446"/>
      <c r="BD214" s="446"/>
      <c r="BE214" s="446"/>
      <c r="BF214" s="446"/>
      <c r="BG214" s="446"/>
      <c r="BH214" s="446"/>
      <c r="BI214" s="446"/>
      <c r="BJ214" s="446"/>
      <c r="BK214" s="446"/>
      <c r="BL214" s="446"/>
    </row>
    <row r="215" spans="4:64" x14ac:dyDescent="0.2">
      <c r="D215" s="446"/>
      <c r="E215" s="446"/>
      <c r="F215" s="446"/>
      <c r="G215" s="446"/>
      <c r="H215" s="446"/>
      <c r="I215" s="446"/>
      <c r="J215" s="446"/>
      <c r="K215" s="446"/>
      <c r="L215" s="446"/>
      <c r="M215" s="446"/>
      <c r="N215" s="446"/>
      <c r="O215" s="446"/>
      <c r="P215" s="446"/>
      <c r="Q215" s="446"/>
      <c r="R215" s="446"/>
      <c r="S215" s="446"/>
      <c r="T215" s="446"/>
      <c r="U215" s="446"/>
      <c r="V215" s="446"/>
      <c r="W215" s="446"/>
      <c r="X215" s="446"/>
      <c r="Y215" s="446"/>
      <c r="Z215" s="446"/>
      <c r="AA215" s="446"/>
      <c r="AB215" s="446"/>
      <c r="AC215" s="446"/>
      <c r="AD215" s="446"/>
      <c r="AE215" s="446"/>
      <c r="AF215" s="446"/>
      <c r="AG215" s="446"/>
      <c r="AH215" s="446"/>
      <c r="AI215" s="446"/>
      <c r="AJ215" s="446"/>
      <c r="AK215" s="446"/>
      <c r="AL215" s="446"/>
      <c r="AM215" s="446"/>
      <c r="AN215" s="446"/>
      <c r="AO215" s="446"/>
      <c r="AP215" s="446"/>
      <c r="AQ215" s="446"/>
      <c r="AR215" s="446"/>
      <c r="AS215" s="446"/>
      <c r="AT215" s="446"/>
      <c r="AU215" s="446"/>
      <c r="AV215" s="446"/>
      <c r="AW215" s="446"/>
      <c r="AX215" s="446"/>
      <c r="AY215" s="446"/>
      <c r="AZ215" s="446"/>
      <c r="BA215" s="446"/>
      <c r="BB215" s="446"/>
      <c r="BC215" s="446"/>
      <c r="BD215" s="446"/>
      <c r="BE215" s="446"/>
      <c r="BF215" s="446"/>
      <c r="BG215" s="446"/>
      <c r="BH215" s="446"/>
      <c r="BI215" s="446"/>
      <c r="BJ215" s="446"/>
      <c r="BK215" s="446"/>
      <c r="BL215" s="446"/>
    </row>
    <row r="216" spans="4:64" x14ac:dyDescent="0.2">
      <c r="D216" s="446"/>
      <c r="E216" s="446"/>
      <c r="F216" s="446"/>
      <c r="G216" s="446"/>
      <c r="H216" s="446"/>
      <c r="I216" s="446"/>
      <c r="J216" s="446"/>
      <c r="K216" s="446"/>
      <c r="L216" s="446"/>
      <c r="M216" s="446"/>
      <c r="N216" s="446"/>
      <c r="O216" s="446"/>
      <c r="P216" s="446"/>
      <c r="Q216" s="446"/>
      <c r="R216" s="446"/>
      <c r="S216" s="446"/>
      <c r="T216" s="446"/>
      <c r="U216" s="446"/>
      <c r="V216" s="446"/>
      <c r="W216" s="446"/>
      <c r="X216" s="446"/>
      <c r="Y216" s="446"/>
      <c r="Z216" s="446"/>
      <c r="AA216" s="446"/>
      <c r="AB216" s="446"/>
      <c r="AC216" s="446"/>
      <c r="AD216" s="446"/>
      <c r="AE216" s="446"/>
      <c r="AF216" s="446"/>
      <c r="AG216" s="446"/>
      <c r="AH216" s="446"/>
      <c r="AI216" s="446"/>
      <c r="AJ216" s="446"/>
      <c r="AK216" s="446"/>
      <c r="AL216" s="446"/>
      <c r="AM216" s="446"/>
      <c r="AN216" s="446"/>
      <c r="AO216" s="446"/>
      <c r="AP216" s="446"/>
      <c r="AQ216" s="446"/>
      <c r="AR216" s="446"/>
      <c r="AS216" s="446"/>
      <c r="AT216" s="446"/>
      <c r="AU216" s="446"/>
      <c r="AV216" s="446"/>
      <c r="AW216" s="446"/>
      <c r="AX216" s="446"/>
      <c r="AY216" s="446"/>
      <c r="AZ216" s="446"/>
      <c r="BA216" s="446"/>
      <c r="BB216" s="446"/>
      <c r="BC216" s="446"/>
      <c r="BD216" s="446"/>
      <c r="BE216" s="446"/>
      <c r="BF216" s="446"/>
      <c r="BG216" s="446"/>
      <c r="BH216" s="446"/>
      <c r="BI216" s="446"/>
      <c r="BJ216" s="446"/>
      <c r="BK216" s="446"/>
      <c r="BL216" s="446"/>
    </row>
    <row r="217" spans="4:64" x14ac:dyDescent="0.2">
      <c r="D217" s="446"/>
      <c r="E217" s="446"/>
      <c r="F217" s="446"/>
      <c r="G217" s="446"/>
      <c r="H217" s="446"/>
      <c r="I217" s="446"/>
      <c r="J217" s="446"/>
      <c r="K217" s="446"/>
      <c r="L217" s="446"/>
      <c r="M217" s="446"/>
      <c r="N217" s="446"/>
      <c r="O217" s="446"/>
      <c r="P217" s="446"/>
      <c r="Q217" s="446"/>
      <c r="R217" s="446"/>
      <c r="S217" s="446"/>
      <c r="T217" s="446"/>
      <c r="U217" s="446"/>
      <c r="V217" s="446"/>
      <c r="W217" s="446"/>
      <c r="X217" s="446"/>
      <c r="Y217" s="446"/>
      <c r="Z217" s="446"/>
      <c r="AA217" s="446"/>
      <c r="AB217" s="446"/>
      <c r="AC217" s="446"/>
      <c r="AD217" s="446"/>
      <c r="AE217" s="446"/>
      <c r="AF217" s="446"/>
      <c r="AG217" s="446"/>
      <c r="AH217" s="446"/>
      <c r="AI217" s="446"/>
      <c r="AJ217" s="446"/>
      <c r="AK217" s="446"/>
      <c r="AL217" s="446"/>
      <c r="AM217" s="446"/>
      <c r="AN217" s="446"/>
      <c r="AO217" s="446"/>
      <c r="AP217" s="446"/>
      <c r="AQ217" s="446"/>
      <c r="AR217" s="446"/>
      <c r="AS217" s="446"/>
      <c r="AT217" s="446"/>
      <c r="AU217" s="446"/>
      <c r="AV217" s="446"/>
      <c r="AW217" s="446"/>
      <c r="AX217" s="446"/>
      <c r="AY217" s="446"/>
      <c r="AZ217" s="446"/>
      <c r="BA217" s="446"/>
      <c r="BB217" s="446"/>
      <c r="BC217" s="446"/>
      <c r="BD217" s="446"/>
      <c r="BE217" s="446"/>
      <c r="BF217" s="446"/>
      <c r="BG217" s="446"/>
      <c r="BH217" s="446"/>
      <c r="BI217" s="446"/>
      <c r="BJ217" s="446"/>
      <c r="BK217" s="446"/>
      <c r="BL217" s="446"/>
    </row>
    <row r="218" spans="4:64" x14ac:dyDescent="0.2">
      <c r="D218" s="446"/>
      <c r="E218" s="446"/>
      <c r="F218" s="446"/>
      <c r="G218" s="446"/>
      <c r="H218" s="446"/>
      <c r="I218" s="446"/>
      <c r="J218" s="446"/>
      <c r="K218" s="446"/>
      <c r="L218" s="446"/>
      <c r="M218" s="446"/>
      <c r="N218" s="446"/>
      <c r="O218" s="446"/>
      <c r="P218" s="446"/>
      <c r="Q218" s="446"/>
      <c r="R218" s="446"/>
      <c r="S218" s="446"/>
      <c r="T218" s="446"/>
      <c r="U218" s="446"/>
      <c r="V218" s="446"/>
      <c r="W218" s="446"/>
      <c r="X218" s="446"/>
      <c r="Y218" s="446"/>
      <c r="Z218" s="446"/>
      <c r="AA218" s="446"/>
      <c r="AB218" s="446"/>
      <c r="AC218" s="446"/>
      <c r="AD218" s="446"/>
      <c r="AE218" s="446"/>
      <c r="AF218" s="446"/>
      <c r="AG218" s="446"/>
      <c r="AH218" s="446"/>
      <c r="AI218" s="446"/>
      <c r="AJ218" s="446"/>
      <c r="AK218" s="446"/>
      <c r="AL218" s="446"/>
      <c r="AM218" s="446"/>
      <c r="AN218" s="446"/>
      <c r="AO218" s="446"/>
      <c r="AP218" s="446"/>
      <c r="AQ218" s="446"/>
      <c r="AR218" s="446"/>
      <c r="AS218" s="446"/>
      <c r="AT218" s="446"/>
      <c r="AU218" s="446"/>
      <c r="AV218" s="446"/>
      <c r="AW218" s="446"/>
      <c r="AX218" s="446"/>
      <c r="AY218" s="446"/>
      <c r="AZ218" s="446"/>
      <c r="BA218" s="446"/>
      <c r="BB218" s="446"/>
      <c r="BC218" s="446"/>
      <c r="BD218" s="446"/>
      <c r="BE218" s="446"/>
      <c r="BF218" s="446"/>
      <c r="BG218" s="446"/>
      <c r="BH218" s="446"/>
      <c r="BI218" s="446"/>
      <c r="BJ218" s="446"/>
      <c r="BK218" s="446"/>
      <c r="BL218" s="446"/>
    </row>
    <row r="219" spans="4:64" x14ac:dyDescent="0.2">
      <c r="D219" s="446"/>
      <c r="E219" s="446"/>
      <c r="F219" s="446"/>
      <c r="G219" s="446"/>
      <c r="H219" s="446"/>
      <c r="I219" s="446"/>
      <c r="J219" s="446"/>
      <c r="K219" s="446"/>
      <c r="L219" s="446"/>
      <c r="M219" s="446"/>
      <c r="N219" s="446"/>
      <c r="O219" s="446"/>
      <c r="P219" s="446"/>
      <c r="Q219" s="446"/>
      <c r="R219" s="446"/>
      <c r="S219" s="446"/>
      <c r="T219" s="446"/>
      <c r="U219" s="446"/>
      <c r="V219" s="446"/>
      <c r="W219" s="446"/>
      <c r="X219" s="446"/>
      <c r="Y219" s="446"/>
      <c r="Z219" s="446"/>
      <c r="AA219" s="446"/>
      <c r="AB219" s="446"/>
      <c r="AC219" s="446"/>
      <c r="AD219" s="446"/>
      <c r="AE219" s="446"/>
      <c r="AF219" s="446"/>
      <c r="AG219" s="446"/>
      <c r="AH219" s="446"/>
      <c r="AI219" s="446"/>
      <c r="AJ219" s="446"/>
      <c r="AK219" s="446"/>
      <c r="AL219" s="446"/>
      <c r="AM219" s="446"/>
      <c r="AN219" s="446"/>
      <c r="AO219" s="446"/>
      <c r="AP219" s="446"/>
      <c r="AQ219" s="446"/>
      <c r="AR219" s="446"/>
      <c r="AS219" s="446"/>
      <c r="AT219" s="446"/>
      <c r="AU219" s="446"/>
      <c r="AV219" s="446"/>
      <c r="AW219" s="446"/>
      <c r="AX219" s="446"/>
      <c r="AY219" s="446"/>
      <c r="AZ219" s="446"/>
      <c r="BA219" s="446"/>
      <c r="BB219" s="446"/>
      <c r="BC219" s="446"/>
      <c r="BD219" s="446"/>
      <c r="BE219" s="446"/>
      <c r="BF219" s="446"/>
      <c r="BG219" s="446"/>
      <c r="BH219" s="446"/>
      <c r="BI219" s="446"/>
      <c r="BJ219" s="446"/>
      <c r="BK219" s="446"/>
      <c r="BL219" s="446"/>
    </row>
    <row r="220" spans="4:64" x14ac:dyDescent="0.2">
      <c r="D220" s="446"/>
      <c r="E220" s="446"/>
      <c r="F220" s="446"/>
      <c r="G220" s="446"/>
      <c r="H220" s="446"/>
      <c r="I220" s="446"/>
      <c r="J220" s="446"/>
      <c r="K220" s="446"/>
      <c r="L220" s="446"/>
      <c r="M220" s="446"/>
      <c r="N220" s="446"/>
      <c r="O220" s="446"/>
      <c r="P220" s="446"/>
      <c r="Q220" s="446"/>
      <c r="R220" s="446"/>
      <c r="S220" s="446"/>
      <c r="T220" s="446"/>
      <c r="U220" s="446"/>
      <c r="V220" s="446"/>
      <c r="W220" s="446"/>
      <c r="X220" s="446"/>
      <c r="Y220" s="446"/>
      <c r="Z220" s="446"/>
      <c r="AA220" s="446"/>
      <c r="AB220" s="446"/>
      <c r="AC220" s="446"/>
      <c r="AD220" s="446"/>
      <c r="AE220" s="446"/>
      <c r="AF220" s="446"/>
      <c r="AG220" s="446"/>
      <c r="AH220" s="446"/>
      <c r="AI220" s="446"/>
      <c r="AJ220" s="446"/>
      <c r="AK220" s="446"/>
      <c r="AL220" s="446"/>
      <c r="AM220" s="446"/>
      <c r="AN220" s="446"/>
      <c r="AO220" s="446"/>
      <c r="AP220" s="446"/>
      <c r="AQ220" s="446"/>
      <c r="AR220" s="446"/>
      <c r="AS220" s="446"/>
      <c r="AT220" s="446"/>
      <c r="AU220" s="446"/>
      <c r="AV220" s="446"/>
      <c r="AW220" s="446"/>
      <c r="AX220" s="446"/>
      <c r="AY220" s="446"/>
      <c r="AZ220" s="446"/>
      <c r="BA220" s="446"/>
      <c r="BB220" s="446"/>
      <c r="BC220" s="446"/>
      <c r="BD220" s="446"/>
      <c r="BE220" s="446"/>
      <c r="BF220" s="446"/>
      <c r="BG220" s="446"/>
      <c r="BH220" s="446"/>
      <c r="BI220" s="446"/>
      <c r="BJ220" s="446"/>
      <c r="BK220" s="446"/>
      <c r="BL220" s="446"/>
    </row>
    <row r="221" spans="4:64" x14ac:dyDescent="0.2">
      <c r="D221" s="446"/>
      <c r="E221" s="446"/>
      <c r="F221" s="446"/>
      <c r="G221" s="446"/>
      <c r="H221" s="446"/>
      <c r="I221" s="446"/>
      <c r="J221" s="446"/>
      <c r="K221" s="446"/>
      <c r="L221" s="446"/>
      <c r="M221" s="446"/>
      <c r="N221" s="446"/>
      <c r="O221" s="446"/>
      <c r="P221" s="446"/>
      <c r="Q221" s="446"/>
      <c r="R221" s="446"/>
      <c r="S221" s="446"/>
      <c r="T221" s="446"/>
      <c r="U221" s="446"/>
      <c r="V221" s="446"/>
      <c r="W221" s="446"/>
      <c r="X221" s="446"/>
      <c r="Y221" s="446"/>
      <c r="Z221" s="446"/>
      <c r="AA221" s="446"/>
      <c r="AB221" s="446"/>
      <c r="AC221" s="446"/>
      <c r="AD221" s="446"/>
      <c r="AE221" s="446"/>
      <c r="AF221" s="446"/>
      <c r="AG221" s="446"/>
      <c r="AH221" s="446"/>
      <c r="AI221" s="446"/>
      <c r="AJ221" s="446"/>
      <c r="AK221" s="446"/>
      <c r="AL221" s="446"/>
      <c r="AM221" s="446"/>
      <c r="AN221" s="446"/>
      <c r="AO221" s="446"/>
      <c r="AP221" s="446"/>
      <c r="AQ221" s="446"/>
      <c r="AR221" s="446"/>
      <c r="AS221" s="446"/>
      <c r="AT221" s="446"/>
      <c r="AU221" s="446"/>
      <c r="AV221" s="446"/>
      <c r="AW221" s="446"/>
      <c r="AX221" s="446"/>
      <c r="AY221" s="446"/>
      <c r="AZ221" s="446"/>
      <c r="BA221" s="446"/>
      <c r="BB221" s="446"/>
      <c r="BC221" s="446"/>
      <c r="BD221" s="446"/>
      <c r="BE221" s="446"/>
      <c r="BF221" s="446"/>
      <c r="BG221" s="446"/>
      <c r="BH221" s="446"/>
      <c r="BI221" s="446"/>
      <c r="BJ221" s="446"/>
      <c r="BK221" s="446"/>
      <c r="BL221" s="446"/>
    </row>
    <row r="222" spans="4:64" x14ac:dyDescent="0.2">
      <c r="D222" s="446"/>
      <c r="E222" s="446"/>
      <c r="F222" s="446"/>
      <c r="G222" s="446"/>
      <c r="H222" s="446"/>
      <c r="I222" s="446"/>
      <c r="J222" s="446"/>
      <c r="K222" s="446"/>
      <c r="L222" s="446"/>
      <c r="M222" s="446"/>
      <c r="N222" s="446"/>
      <c r="O222" s="446"/>
      <c r="P222" s="446"/>
      <c r="Q222" s="446"/>
      <c r="R222" s="446"/>
      <c r="S222" s="446"/>
      <c r="T222" s="446"/>
      <c r="U222" s="446"/>
      <c r="V222" s="446"/>
      <c r="W222" s="446"/>
      <c r="X222" s="446"/>
      <c r="Y222" s="446"/>
      <c r="Z222" s="446"/>
      <c r="AA222" s="446"/>
      <c r="AB222" s="446"/>
      <c r="AC222" s="446"/>
      <c r="AD222" s="446"/>
      <c r="AE222" s="446"/>
      <c r="AF222" s="446"/>
      <c r="AG222" s="446"/>
      <c r="AH222" s="446"/>
      <c r="AI222" s="446"/>
      <c r="AJ222" s="446"/>
      <c r="AK222" s="446"/>
      <c r="AL222" s="446"/>
      <c r="AM222" s="446"/>
      <c r="AN222" s="446"/>
      <c r="AO222" s="446"/>
      <c r="AP222" s="446"/>
      <c r="AQ222" s="446"/>
      <c r="AR222" s="446"/>
      <c r="AS222" s="446"/>
      <c r="AT222" s="446"/>
      <c r="AU222" s="446"/>
      <c r="AV222" s="446"/>
      <c r="AW222" s="446"/>
      <c r="AX222" s="446"/>
      <c r="AY222" s="446"/>
      <c r="AZ222" s="446"/>
      <c r="BA222" s="446"/>
      <c r="BB222" s="446"/>
      <c r="BC222" s="446"/>
      <c r="BD222" s="446"/>
      <c r="BE222" s="446"/>
      <c r="BF222" s="446"/>
      <c r="BG222" s="446"/>
      <c r="BH222" s="446"/>
      <c r="BI222" s="446"/>
      <c r="BJ222" s="446"/>
      <c r="BK222" s="446"/>
      <c r="BL222" s="446"/>
    </row>
    <row r="223" spans="4:64" x14ac:dyDescent="0.2">
      <c r="D223" s="446"/>
      <c r="E223" s="446"/>
      <c r="F223" s="446"/>
      <c r="G223" s="446"/>
      <c r="H223" s="446"/>
      <c r="I223" s="446"/>
      <c r="J223" s="446"/>
      <c r="K223" s="446"/>
      <c r="L223" s="446"/>
      <c r="M223" s="446"/>
      <c r="N223" s="446"/>
      <c r="O223" s="446"/>
      <c r="P223" s="446"/>
      <c r="Q223" s="446"/>
      <c r="R223" s="446"/>
      <c r="S223" s="446"/>
      <c r="T223" s="446"/>
      <c r="U223" s="446"/>
      <c r="V223" s="446"/>
      <c r="W223" s="446"/>
      <c r="X223" s="446"/>
      <c r="Y223" s="446"/>
      <c r="Z223" s="446"/>
      <c r="AA223" s="446"/>
      <c r="AB223" s="446"/>
      <c r="AC223" s="446"/>
      <c r="AD223" s="446"/>
      <c r="AE223" s="446"/>
      <c r="AF223" s="446"/>
      <c r="AG223" s="446"/>
      <c r="AH223" s="446"/>
      <c r="AI223" s="446"/>
      <c r="AJ223" s="446"/>
      <c r="AK223" s="446"/>
      <c r="AL223" s="446"/>
      <c r="AM223" s="446"/>
      <c r="AN223" s="446"/>
      <c r="AO223" s="446"/>
      <c r="AP223" s="446"/>
      <c r="AQ223" s="446"/>
      <c r="AR223" s="446"/>
      <c r="AS223" s="446"/>
      <c r="AT223" s="446"/>
      <c r="AU223" s="446"/>
      <c r="AV223" s="446"/>
      <c r="AW223" s="446"/>
      <c r="AX223" s="446"/>
      <c r="AY223" s="446"/>
      <c r="AZ223" s="446"/>
      <c r="BA223" s="446"/>
      <c r="BB223" s="446"/>
      <c r="BC223" s="446"/>
      <c r="BD223" s="446"/>
      <c r="BE223" s="446"/>
      <c r="BF223" s="446"/>
      <c r="BG223" s="446"/>
      <c r="BH223" s="446"/>
      <c r="BI223" s="446"/>
      <c r="BJ223" s="446"/>
      <c r="BK223" s="446"/>
      <c r="BL223" s="446"/>
    </row>
    <row r="224" spans="4:64" x14ac:dyDescent="0.2">
      <c r="D224" s="446"/>
      <c r="E224" s="446"/>
      <c r="F224" s="446"/>
      <c r="G224" s="446"/>
      <c r="H224" s="446"/>
      <c r="I224" s="446"/>
      <c r="J224" s="446"/>
      <c r="K224" s="446"/>
      <c r="L224" s="446"/>
      <c r="M224" s="446"/>
      <c r="N224" s="446"/>
      <c r="O224" s="446"/>
      <c r="P224" s="446"/>
      <c r="Q224" s="446"/>
      <c r="R224" s="446"/>
      <c r="S224" s="446"/>
      <c r="T224" s="446"/>
      <c r="U224" s="446"/>
      <c r="V224" s="446"/>
      <c r="W224" s="446"/>
      <c r="X224" s="446"/>
      <c r="Y224" s="446"/>
      <c r="Z224" s="446"/>
      <c r="AA224" s="446"/>
      <c r="AB224" s="446"/>
      <c r="AC224" s="446"/>
      <c r="AD224" s="446"/>
      <c r="AE224" s="446"/>
      <c r="AF224" s="446"/>
      <c r="AG224" s="446"/>
      <c r="AH224" s="446"/>
      <c r="AI224" s="446"/>
      <c r="AJ224" s="446"/>
      <c r="AK224" s="446"/>
      <c r="AL224" s="446"/>
      <c r="AM224" s="446"/>
      <c r="AN224" s="446"/>
      <c r="AO224" s="446"/>
      <c r="AP224" s="446"/>
      <c r="AQ224" s="446"/>
      <c r="AR224" s="446"/>
      <c r="AS224" s="446"/>
      <c r="AT224" s="446"/>
      <c r="AU224" s="446"/>
      <c r="AV224" s="446"/>
      <c r="AW224" s="446"/>
      <c r="AX224" s="446"/>
      <c r="AY224" s="446"/>
      <c r="AZ224" s="446"/>
      <c r="BA224" s="446"/>
      <c r="BB224" s="446"/>
      <c r="BC224" s="446"/>
      <c r="BD224" s="446"/>
      <c r="BE224" s="446"/>
      <c r="BF224" s="446"/>
      <c r="BG224" s="446"/>
      <c r="BH224" s="446"/>
      <c r="BI224" s="446"/>
      <c r="BJ224" s="446"/>
      <c r="BK224" s="446"/>
      <c r="BL224" s="446"/>
    </row>
    <row r="225" spans="4:64" x14ac:dyDescent="0.2">
      <c r="D225" s="446"/>
      <c r="E225" s="446"/>
      <c r="F225" s="446"/>
      <c r="G225" s="446"/>
      <c r="H225" s="446"/>
      <c r="I225" s="446"/>
      <c r="J225" s="446"/>
      <c r="K225" s="446"/>
      <c r="L225" s="446"/>
      <c r="M225" s="446"/>
      <c r="N225" s="446"/>
      <c r="O225" s="446"/>
      <c r="P225" s="446"/>
      <c r="Q225" s="446"/>
      <c r="R225" s="446"/>
      <c r="S225" s="446"/>
      <c r="T225" s="446"/>
      <c r="U225" s="446"/>
      <c r="V225" s="446"/>
      <c r="W225" s="446"/>
      <c r="X225" s="446"/>
      <c r="Y225" s="446"/>
      <c r="Z225" s="446"/>
      <c r="AA225" s="446"/>
      <c r="AB225" s="446"/>
      <c r="AC225" s="446"/>
      <c r="AD225" s="446"/>
      <c r="AE225" s="446"/>
      <c r="AF225" s="446"/>
      <c r="AG225" s="446"/>
      <c r="AH225" s="446"/>
      <c r="AI225" s="446"/>
      <c r="AJ225" s="446"/>
      <c r="AK225" s="446"/>
      <c r="AL225" s="446"/>
      <c r="AM225" s="446"/>
      <c r="AN225" s="446"/>
      <c r="AO225" s="446"/>
      <c r="AP225" s="446"/>
      <c r="AQ225" s="446"/>
      <c r="AR225" s="446"/>
      <c r="AS225" s="446"/>
      <c r="AT225" s="446"/>
      <c r="AU225" s="446"/>
      <c r="AV225" s="446"/>
      <c r="AW225" s="446"/>
      <c r="AX225" s="446"/>
      <c r="AY225" s="446"/>
      <c r="AZ225" s="446"/>
      <c r="BA225" s="446"/>
      <c r="BB225" s="446"/>
      <c r="BC225" s="446"/>
      <c r="BD225" s="446"/>
      <c r="BE225" s="446"/>
      <c r="BF225" s="446"/>
      <c r="BG225" s="446"/>
      <c r="BH225" s="446"/>
      <c r="BI225" s="446"/>
      <c r="BJ225" s="446"/>
      <c r="BK225" s="446"/>
      <c r="BL225" s="446"/>
    </row>
    <row r="226" spans="4:64" x14ac:dyDescent="0.2">
      <c r="D226" s="446"/>
      <c r="E226" s="446"/>
      <c r="F226" s="446"/>
      <c r="G226" s="446"/>
      <c r="H226" s="446"/>
      <c r="I226" s="446"/>
      <c r="J226" s="446"/>
      <c r="K226" s="446"/>
      <c r="L226" s="446"/>
      <c r="M226" s="446"/>
      <c r="N226" s="446"/>
      <c r="O226" s="446"/>
      <c r="P226" s="446"/>
      <c r="Q226" s="446"/>
      <c r="R226" s="446"/>
      <c r="S226" s="446"/>
      <c r="T226" s="446"/>
      <c r="U226" s="446"/>
      <c r="V226" s="446"/>
      <c r="W226" s="446"/>
      <c r="X226" s="446"/>
      <c r="Y226" s="446"/>
      <c r="Z226" s="446"/>
      <c r="AA226" s="446"/>
      <c r="AB226" s="446"/>
      <c r="AC226" s="446"/>
      <c r="AD226" s="446"/>
      <c r="AE226" s="446"/>
      <c r="AF226" s="446"/>
      <c r="AG226" s="446"/>
      <c r="AH226" s="446"/>
      <c r="AI226" s="446"/>
      <c r="AJ226" s="446"/>
      <c r="AK226" s="446"/>
      <c r="AL226" s="446"/>
      <c r="AM226" s="446"/>
      <c r="AN226" s="446"/>
      <c r="AO226" s="446"/>
      <c r="AP226" s="446"/>
      <c r="AQ226" s="446"/>
      <c r="AR226" s="446"/>
      <c r="AS226" s="446"/>
      <c r="AT226" s="446"/>
      <c r="AU226" s="446"/>
      <c r="AV226" s="446"/>
      <c r="AW226" s="446"/>
      <c r="AX226" s="446"/>
      <c r="AY226" s="446"/>
      <c r="AZ226" s="446"/>
      <c r="BA226" s="446"/>
      <c r="BB226" s="446"/>
      <c r="BC226" s="446"/>
      <c r="BD226" s="446"/>
      <c r="BE226" s="446"/>
      <c r="BF226" s="446"/>
      <c r="BG226" s="446"/>
      <c r="BH226" s="446"/>
      <c r="BI226" s="446"/>
      <c r="BJ226" s="446"/>
      <c r="BK226" s="446"/>
      <c r="BL226" s="446"/>
    </row>
    <row r="227" spans="4:64" x14ac:dyDescent="0.2">
      <c r="D227" s="446"/>
      <c r="E227" s="446"/>
      <c r="F227" s="446"/>
      <c r="G227" s="446"/>
      <c r="H227" s="446"/>
      <c r="I227" s="446"/>
      <c r="J227" s="446"/>
      <c r="K227" s="446"/>
      <c r="L227" s="446"/>
      <c r="M227" s="446"/>
      <c r="N227" s="446"/>
      <c r="O227" s="446"/>
      <c r="P227" s="446"/>
      <c r="Q227" s="446"/>
      <c r="R227" s="446"/>
      <c r="S227" s="446"/>
      <c r="T227" s="446"/>
      <c r="U227" s="446"/>
      <c r="V227" s="446"/>
      <c r="W227" s="446"/>
      <c r="X227" s="446"/>
      <c r="Y227" s="446"/>
      <c r="Z227" s="446"/>
      <c r="AA227" s="446"/>
      <c r="AB227" s="446"/>
      <c r="AC227" s="446"/>
      <c r="AD227" s="446"/>
      <c r="AE227" s="446"/>
      <c r="AF227" s="446"/>
      <c r="AG227" s="446"/>
      <c r="AH227" s="446"/>
      <c r="AI227" s="446"/>
      <c r="AJ227" s="446"/>
      <c r="AK227" s="446"/>
      <c r="AL227" s="446"/>
      <c r="AM227" s="446"/>
      <c r="AN227" s="446"/>
      <c r="AO227" s="446"/>
      <c r="AP227" s="446"/>
      <c r="AQ227" s="446"/>
      <c r="AR227" s="446"/>
      <c r="AS227" s="446"/>
      <c r="AT227" s="446"/>
      <c r="AU227" s="446"/>
      <c r="AV227" s="446"/>
      <c r="AW227" s="446"/>
      <c r="AX227" s="446"/>
      <c r="AY227" s="446"/>
      <c r="AZ227" s="446"/>
      <c r="BA227" s="446"/>
      <c r="BB227" s="446"/>
      <c r="BC227" s="446"/>
      <c r="BD227" s="446"/>
      <c r="BE227" s="446"/>
      <c r="BF227" s="446"/>
      <c r="BG227" s="446"/>
      <c r="BH227" s="446"/>
      <c r="BI227" s="446"/>
      <c r="BJ227" s="446"/>
      <c r="BK227" s="446"/>
      <c r="BL227" s="446"/>
    </row>
    <row r="228" spans="4:64" x14ac:dyDescent="0.2">
      <c r="D228" s="446"/>
      <c r="E228" s="446"/>
      <c r="F228" s="446"/>
      <c r="G228" s="446"/>
      <c r="H228" s="446"/>
      <c r="I228" s="446"/>
      <c r="J228" s="446"/>
      <c r="K228" s="446"/>
      <c r="L228" s="446"/>
      <c r="M228" s="446"/>
      <c r="N228" s="446"/>
      <c r="O228" s="446"/>
      <c r="P228" s="446"/>
      <c r="Q228" s="446"/>
      <c r="R228" s="446"/>
      <c r="S228" s="446"/>
      <c r="T228" s="446"/>
      <c r="U228" s="446"/>
      <c r="V228" s="446"/>
      <c r="W228" s="446"/>
      <c r="X228" s="446"/>
      <c r="Y228" s="446"/>
      <c r="Z228" s="446"/>
      <c r="AA228" s="446"/>
      <c r="AB228" s="446"/>
      <c r="AC228" s="446"/>
      <c r="AD228" s="446"/>
      <c r="AE228" s="446"/>
      <c r="AF228" s="446"/>
      <c r="AG228" s="446"/>
      <c r="AH228" s="446"/>
      <c r="AI228" s="446"/>
      <c r="AJ228" s="446"/>
      <c r="AK228" s="446"/>
      <c r="AL228" s="446"/>
      <c r="AM228" s="446"/>
      <c r="AN228" s="446"/>
      <c r="AO228" s="446"/>
      <c r="AP228" s="446"/>
      <c r="AQ228" s="446"/>
      <c r="AR228" s="446"/>
      <c r="AS228" s="446"/>
      <c r="AT228" s="446"/>
      <c r="AU228" s="446"/>
      <c r="AV228" s="446"/>
      <c r="AW228" s="446"/>
      <c r="AX228" s="446"/>
      <c r="AY228" s="446"/>
      <c r="AZ228" s="446"/>
      <c r="BA228" s="446"/>
      <c r="BB228" s="446"/>
      <c r="BC228" s="446"/>
      <c r="BD228" s="446"/>
      <c r="BE228" s="446"/>
      <c r="BF228" s="446"/>
      <c r="BG228" s="446"/>
      <c r="BH228" s="446"/>
      <c r="BI228" s="446"/>
      <c r="BJ228" s="446"/>
      <c r="BK228" s="446"/>
      <c r="BL228" s="446"/>
    </row>
    <row r="229" spans="4:64" x14ac:dyDescent="0.2">
      <c r="D229" s="446"/>
      <c r="E229" s="446"/>
      <c r="F229" s="446"/>
      <c r="G229" s="446"/>
      <c r="H229" s="446"/>
      <c r="I229" s="446"/>
      <c r="J229" s="446"/>
      <c r="K229" s="446"/>
      <c r="L229" s="446"/>
      <c r="M229" s="446"/>
      <c r="N229" s="446"/>
      <c r="O229" s="446"/>
      <c r="P229" s="446"/>
      <c r="Q229" s="446"/>
      <c r="R229" s="446"/>
      <c r="S229" s="446"/>
      <c r="T229" s="446"/>
      <c r="U229" s="446"/>
      <c r="V229" s="446"/>
      <c r="W229" s="446"/>
      <c r="X229" s="446"/>
      <c r="Y229" s="446"/>
      <c r="Z229" s="446"/>
      <c r="AA229" s="446"/>
      <c r="AB229" s="446"/>
      <c r="AC229" s="446"/>
      <c r="AD229" s="446"/>
      <c r="AE229" s="446"/>
      <c r="AF229" s="446"/>
      <c r="AG229" s="446"/>
      <c r="AH229" s="446"/>
      <c r="AI229" s="446"/>
      <c r="AJ229" s="446"/>
      <c r="AK229" s="446"/>
      <c r="AL229" s="446"/>
      <c r="AM229" s="446"/>
      <c r="AN229" s="446"/>
      <c r="AO229" s="446"/>
      <c r="AP229" s="446"/>
      <c r="AQ229" s="446"/>
      <c r="AR229" s="446"/>
      <c r="AS229" s="446"/>
      <c r="AT229" s="446"/>
      <c r="AU229" s="446"/>
      <c r="AV229" s="446"/>
      <c r="AW229" s="446"/>
      <c r="AX229" s="446"/>
      <c r="AY229" s="446"/>
      <c r="AZ229" s="446"/>
      <c r="BA229" s="446"/>
      <c r="BB229" s="446"/>
      <c r="BC229" s="446"/>
      <c r="BD229" s="446"/>
      <c r="BE229" s="446"/>
      <c r="BF229" s="446"/>
      <c r="BG229" s="446"/>
      <c r="BH229" s="446"/>
      <c r="BI229" s="446"/>
      <c r="BJ229" s="446"/>
      <c r="BK229" s="446"/>
      <c r="BL229" s="446"/>
    </row>
    <row r="230" spans="4:64" x14ac:dyDescent="0.2">
      <c r="D230" s="446"/>
      <c r="E230" s="446"/>
      <c r="F230" s="446"/>
      <c r="G230" s="446"/>
      <c r="H230" s="446"/>
      <c r="I230" s="446"/>
      <c r="J230" s="446"/>
      <c r="K230" s="446"/>
      <c r="L230" s="446"/>
      <c r="M230" s="446"/>
      <c r="N230" s="446"/>
      <c r="O230" s="446"/>
      <c r="P230" s="446"/>
      <c r="Q230" s="446"/>
      <c r="R230" s="446"/>
      <c r="S230" s="446"/>
      <c r="T230" s="446"/>
      <c r="U230" s="446"/>
      <c r="V230" s="446"/>
      <c r="W230" s="446"/>
      <c r="X230" s="446"/>
      <c r="Y230" s="446"/>
      <c r="Z230" s="446"/>
      <c r="AA230" s="446"/>
      <c r="AB230" s="446"/>
      <c r="AC230" s="446"/>
      <c r="AD230" s="446"/>
      <c r="AE230" s="446"/>
      <c r="AF230" s="446"/>
      <c r="AG230" s="446"/>
      <c r="AH230" s="446"/>
      <c r="AI230" s="446"/>
      <c r="AJ230" s="446"/>
      <c r="AK230" s="446"/>
      <c r="AL230" s="446"/>
      <c r="AM230" s="446"/>
      <c r="AN230" s="446"/>
      <c r="AO230" s="446"/>
      <c r="AP230" s="446"/>
      <c r="AQ230" s="446"/>
      <c r="AR230" s="446"/>
      <c r="AS230" s="446"/>
      <c r="AT230" s="446"/>
      <c r="AU230" s="446"/>
      <c r="AV230" s="446"/>
      <c r="AW230" s="446"/>
      <c r="AX230" s="446"/>
      <c r="AY230" s="446"/>
      <c r="AZ230" s="446"/>
      <c r="BA230" s="446"/>
      <c r="BB230" s="446"/>
      <c r="BC230" s="446"/>
      <c r="BD230" s="446"/>
      <c r="BE230" s="446"/>
      <c r="BF230" s="446"/>
      <c r="BG230" s="446"/>
      <c r="BH230" s="446"/>
      <c r="BI230" s="446"/>
      <c r="BJ230" s="446"/>
      <c r="BK230" s="446"/>
      <c r="BL230" s="446"/>
    </row>
    <row r="231" spans="4:64" x14ac:dyDescent="0.2">
      <c r="D231" s="446"/>
      <c r="E231" s="446"/>
      <c r="F231" s="446"/>
      <c r="G231" s="446"/>
      <c r="H231" s="446"/>
      <c r="I231" s="446"/>
      <c r="J231" s="446"/>
      <c r="K231" s="446"/>
      <c r="L231" s="446"/>
      <c r="M231" s="446"/>
      <c r="N231" s="446"/>
      <c r="O231" s="446"/>
      <c r="P231" s="446"/>
      <c r="Q231" s="446"/>
      <c r="R231" s="446"/>
      <c r="S231" s="446"/>
      <c r="T231" s="446"/>
      <c r="U231" s="446"/>
      <c r="V231" s="446"/>
      <c r="W231" s="446"/>
      <c r="X231" s="446"/>
      <c r="Y231" s="446"/>
      <c r="Z231" s="446"/>
      <c r="AA231" s="446"/>
      <c r="AB231" s="446"/>
      <c r="AC231" s="446"/>
      <c r="AD231" s="446"/>
      <c r="AE231" s="446"/>
      <c r="AF231" s="446"/>
      <c r="AG231" s="446"/>
      <c r="AH231" s="446"/>
      <c r="AI231" s="446"/>
      <c r="AJ231" s="446"/>
      <c r="AK231" s="446"/>
      <c r="AL231" s="446"/>
      <c r="AM231" s="446"/>
      <c r="AN231" s="446"/>
      <c r="AO231" s="446"/>
      <c r="AP231" s="446"/>
      <c r="AQ231" s="446"/>
      <c r="AR231" s="446"/>
      <c r="AS231" s="446"/>
      <c r="AT231" s="446"/>
      <c r="AU231" s="446"/>
      <c r="AV231" s="446"/>
      <c r="AW231" s="446"/>
      <c r="AX231" s="446"/>
      <c r="AY231" s="446"/>
      <c r="AZ231" s="446"/>
      <c r="BA231" s="446"/>
      <c r="BB231" s="446"/>
      <c r="BC231" s="446"/>
      <c r="BD231" s="446"/>
      <c r="BE231" s="446"/>
      <c r="BF231" s="446"/>
      <c r="BG231" s="446"/>
      <c r="BH231" s="446"/>
      <c r="BI231" s="446"/>
      <c r="BJ231" s="446"/>
      <c r="BK231" s="446"/>
      <c r="BL231" s="446"/>
    </row>
    <row r="232" spans="4:64" x14ac:dyDescent="0.2">
      <c r="D232" s="446"/>
      <c r="E232" s="446"/>
      <c r="F232" s="446"/>
      <c r="G232" s="446"/>
      <c r="H232" s="446"/>
      <c r="I232" s="446"/>
      <c r="J232" s="446"/>
      <c r="K232" s="446"/>
      <c r="L232" s="446"/>
      <c r="M232" s="446"/>
      <c r="N232" s="446"/>
      <c r="O232" s="446"/>
      <c r="P232" s="446"/>
      <c r="Q232" s="446"/>
      <c r="R232" s="446"/>
      <c r="S232" s="446"/>
      <c r="T232" s="446"/>
      <c r="U232" s="446"/>
      <c r="V232" s="446"/>
      <c r="W232" s="446"/>
      <c r="X232" s="446"/>
      <c r="Y232" s="446"/>
      <c r="Z232" s="446"/>
      <c r="AA232" s="446"/>
      <c r="AB232" s="446"/>
      <c r="AC232" s="446"/>
      <c r="AD232" s="446"/>
      <c r="AE232" s="446"/>
      <c r="AF232" s="446"/>
      <c r="AG232" s="446"/>
      <c r="AH232" s="446"/>
      <c r="AI232" s="446"/>
      <c r="AJ232" s="446"/>
      <c r="AK232" s="446"/>
      <c r="AL232" s="446"/>
      <c r="AM232" s="446"/>
      <c r="AN232" s="446"/>
      <c r="AO232" s="446"/>
      <c r="AP232" s="446"/>
      <c r="AQ232" s="446"/>
      <c r="AR232" s="446"/>
      <c r="AS232" s="446"/>
      <c r="AT232" s="446"/>
      <c r="AU232" s="446"/>
      <c r="AV232" s="446"/>
      <c r="AW232" s="446"/>
      <c r="AX232" s="446"/>
      <c r="AY232" s="446"/>
      <c r="AZ232" s="446"/>
      <c r="BA232" s="446"/>
      <c r="BB232" s="446"/>
      <c r="BC232" s="446"/>
      <c r="BD232" s="446"/>
      <c r="BE232" s="446"/>
      <c r="BF232" s="446"/>
      <c r="BG232" s="446"/>
      <c r="BH232" s="446"/>
      <c r="BI232" s="446"/>
      <c r="BJ232" s="446"/>
      <c r="BK232" s="446"/>
      <c r="BL232" s="446"/>
    </row>
    <row r="233" spans="4:64" x14ac:dyDescent="0.2">
      <c r="D233" s="446"/>
      <c r="E233" s="446"/>
      <c r="F233" s="446"/>
      <c r="G233" s="446"/>
      <c r="H233" s="446"/>
      <c r="I233" s="446"/>
      <c r="J233" s="446"/>
      <c r="K233" s="446"/>
      <c r="L233" s="446"/>
      <c r="M233" s="446"/>
      <c r="N233" s="446"/>
      <c r="O233" s="446"/>
      <c r="P233" s="446"/>
      <c r="Q233" s="446"/>
      <c r="R233" s="446"/>
      <c r="S233" s="446"/>
      <c r="T233" s="446"/>
      <c r="U233" s="446"/>
      <c r="V233" s="446"/>
      <c r="W233" s="446"/>
      <c r="X233" s="446"/>
      <c r="Y233" s="446"/>
      <c r="Z233" s="446"/>
      <c r="AA233" s="446"/>
      <c r="AB233" s="446"/>
      <c r="AC233" s="446"/>
      <c r="AD233" s="446"/>
      <c r="AE233" s="446"/>
      <c r="AF233" s="446"/>
      <c r="AG233" s="446"/>
      <c r="AH233" s="446"/>
      <c r="AI233" s="446"/>
      <c r="AJ233" s="446"/>
      <c r="AK233" s="446"/>
      <c r="AL233" s="446"/>
      <c r="AM233" s="446"/>
      <c r="AN233" s="446"/>
      <c r="AO233" s="446"/>
      <c r="AP233" s="446"/>
      <c r="AQ233" s="446"/>
      <c r="AR233" s="446"/>
      <c r="AS233" s="446"/>
      <c r="AT233" s="446"/>
      <c r="AU233" s="446"/>
      <c r="AV233" s="446"/>
      <c r="AW233" s="446"/>
      <c r="AX233" s="446"/>
      <c r="AY233" s="446"/>
      <c r="AZ233" s="446"/>
      <c r="BA233" s="446"/>
      <c r="BB233" s="446"/>
      <c r="BC233" s="446"/>
      <c r="BD233" s="446"/>
      <c r="BE233" s="446"/>
      <c r="BF233" s="446"/>
      <c r="BG233" s="446"/>
      <c r="BH233" s="446"/>
      <c r="BI233" s="446"/>
      <c r="BJ233" s="446"/>
      <c r="BK233" s="446"/>
      <c r="BL233" s="446"/>
    </row>
    <row r="234" spans="4:64" x14ac:dyDescent="0.2">
      <c r="D234" s="446"/>
      <c r="E234" s="446"/>
      <c r="F234" s="446"/>
      <c r="G234" s="446"/>
      <c r="H234" s="446"/>
      <c r="I234" s="446"/>
      <c r="J234" s="446"/>
      <c r="K234" s="446"/>
      <c r="L234" s="446"/>
      <c r="M234" s="446"/>
      <c r="N234" s="446"/>
      <c r="O234" s="446"/>
      <c r="P234" s="446"/>
      <c r="Q234" s="446"/>
      <c r="R234" s="446"/>
      <c r="S234" s="446"/>
      <c r="T234" s="446"/>
      <c r="U234" s="446"/>
      <c r="V234" s="446"/>
      <c r="W234" s="446"/>
      <c r="X234" s="446"/>
      <c r="Y234" s="446"/>
      <c r="Z234" s="446"/>
      <c r="AA234" s="446"/>
      <c r="AB234" s="446"/>
      <c r="AC234" s="446"/>
      <c r="AD234" s="446"/>
      <c r="AE234" s="446"/>
      <c r="AF234" s="446"/>
      <c r="AG234" s="446"/>
      <c r="AH234" s="446"/>
      <c r="AI234" s="446"/>
      <c r="AJ234" s="446"/>
      <c r="AK234" s="446"/>
      <c r="AL234" s="446"/>
      <c r="AM234" s="446"/>
      <c r="AN234" s="446"/>
      <c r="AO234" s="446"/>
      <c r="AP234" s="446"/>
      <c r="AQ234" s="446"/>
      <c r="AR234" s="446"/>
      <c r="AS234" s="446"/>
      <c r="AT234" s="446"/>
      <c r="AU234" s="446"/>
      <c r="AV234" s="446"/>
      <c r="AW234" s="446"/>
      <c r="AX234" s="446"/>
      <c r="AY234" s="446"/>
      <c r="AZ234" s="446"/>
      <c r="BA234" s="446"/>
      <c r="BB234" s="446"/>
      <c r="BC234" s="446"/>
      <c r="BD234" s="446"/>
      <c r="BE234" s="446"/>
      <c r="BF234" s="446"/>
      <c r="BG234" s="446"/>
      <c r="BH234" s="446"/>
      <c r="BI234" s="446"/>
      <c r="BJ234" s="446"/>
      <c r="BK234" s="446"/>
      <c r="BL234" s="446"/>
    </row>
    <row r="235" spans="4:64" x14ac:dyDescent="0.2">
      <c r="D235" s="446"/>
      <c r="E235" s="446"/>
      <c r="F235" s="446"/>
      <c r="G235" s="446"/>
      <c r="H235" s="446"/>
      <c r="I235" s="446"/>
      <c r="J235" s="446"/>
      <c r="K235" s="446"/>
      <c r="L235" s="446"/>
      <c r="M235" s="446"/>
      <c r="N235" s="446"/>
      <c r="O235" s="446"/>
      <c r="P235" s="446"/>
      <c r="Q235" s="446"/>
      <c r="R235" s="446"/>
      <c r="S235" s="446"/>
      <c r="T235" s="446"/>
      <c r="U235" s="446"/>
      <c r="V235" s="446"/>
      <c r="W235" s="446"/>
      <c r="X235" s="446"/>
      <c r="Y235" s="446"/>
      <c r="Z235" s="446"/>
      <c r="AA235" s="446"/>
      <c r="AB235" s="446"/>
      <c r="AC235" s="446"/>
      <c r="AD235" s="446"/>
      <c r="AE235" s="446"/>
      <c r="AF235" s="446"/>
      <c r="AG235" s="446"/>
      <c r="AH235" s="446"/>
      <c r="AI235" s="446"/>
      <c r="AJ235" s="446"/>
      <c r="AK235" s="446"/>
      <c r="AL235" s="446"/>
      <c r="AM235" s="446"/>
      <c r="AN235" s="446"/>
      <c r="AO235" s="446"/>
      <c r="AP235" s="446"/>
      <c r="AQ235" s="446"/>
      <c r="AR235" s="446"/>
      <c r="AS235" s="446"/>
      <c r="AT235" s="446"/>
      <c r="AU235" s="446"/>
      <c r="AV235" s="446"/>
      <c r="AW235" s="446"/>
      <c r="AX235" s="446"/>
      <c r="AY235" s="446"/>
      <c r="AZ235" s="446"/>
      <c r="BA235" s="446"/>
      <c r="BB235" s="446"/>
      <c r="BC235" s="446"/>
      <c r="BD235" s="446"/>
      <c r="BE235" s="446"/>
      <c r="BF235" s="446"/>
      <c r="BG235" s="446"/>
      <c r="BH235" s="446"/>
      <c r="BI235" s="446"/>
      <c r="BJ235" s="446"/>
      <c r="BK235" s="446"/>
      <c r="BL235" s="446"/>
    </row>
    <row r="236" spans="4:64" x14ac:dyDescent="0.2">
      <c r="D236" s="446"/>
      <c r="E236" s="446"/>
      <c r="F236" s="446"/>
      <c r="G236" s="446"/>
      <c r="H236" s="446"/>
      <c r="I236" s="446"/>
      <c r="J236" s="446"/>
      <c r="K236" s="446"/>
      <c r="L236" s="446"/>
      <c r="M236" s="446"/>
      <c r="N236" s="446"/>
      <c r="O236" s="446"/>
      <c r="P236" s="446"/>
      <c r="Q236" s="446"/>
      <c r="R236" s="446"/>
      <c r="S236" s="446"/>
      <c r="T236" s="446"/>
      <c r="U236" s="446"/>
      <c r="V236" s="446"/>
      <c r="W236" s="446"/>
      <c r="X236" s="446"/>
      <c r="Y236" s="446"/>
      <c r="Z236" s="446"/>
      <c r="AA236" s="446"/>
      <c r="AB236" s="446"/>
      <c r="AC236" s="446"/>
      <c r="AD236" s="446"/>
      <c r="AE236" s="446"/>
      <c r="AF236" s="446"/>
      <c r="AG236" s="446"/>
      <c r="AH236" s="446"/>
      <c r="AI236" s="446"/>
      <c r="AJ236" s="446"/>
      <c r="AK236" s="446"/>
      <c r="AL236" s="446"/>
      <c r="AM236" s="446"/>
      <c r="AN236" s="446"/>
      <c r="AO236" s="446"/>
      <c r="AP236" s="446"/>
      <c r="AQ236" s="446"/>
      <c r="AR236" s="446"/>
      <c r="AS236" s="446"/>
      <c r="AT236" s="446"/>
      <c r="AU236" s="446"/>
      <c r="AV236" s="446"/>
      <c r="AW236" s="446"/>
      <c r="AX236" s="446"/>
      <c r="AY236" s="446"/>
      <c r="AZ236" s="446"/>
      <c r="BA236" s="446"/>
      <c r="BB236" s="446"/>
      <c r="BC236" s="446"/>
      <c r="BD236" s="446"/>
      <c r="BE236" s="446"/>
      <c r="BF236" s="446"/>
      <c r="BG236" s="446"/>
      <c r="BH236" s="446"/>
      <c r="BI236" s="446"/>
      <c r="BJ236" s="446"/>
      <c r="BK236" s="446"/>
      <c r="BL236" s="446"/>
    </row>
    <row r="237" spans="4:64" x14ac:dyDescent="0.2">
      <c r="D237" s="446"/>
      <c r="E237" s="446"/>
      <c r="F237" s="446"/>
      <c r="G237" s="446"/>
      <c r="H237" s="446"/>
      <c r="I237" s="446"/>
      <c r="J237" s="446"/>
      <c r="K237" s="446"/>
      <c r="L237" s="446"/>
      <c r="M237" s="446"/>
      <c r="N237" s="446"/>
      <c r="O237" s="446"/>
      <c r="P237" s="446"/>
      <c r="Q237" s="446"/>
      <c r="R237" s="446"/>
      <c r="S237" s="446"/>
      <c r="T237" s="446"/>
      <c r="U237" s="446"/>
      <c r="V237" s="446"/>
      <c r="W237" s="446"/>
      <c r="X237" s="446"/>
      <c r="Y237" s="446"/>
      <c r="Z237" s="446"/>
      <c r="AA237" s="446"/>
      <c r="AB237" s="446"/>
      <c r="AC237" s="446"/>
      <c r="AD237" s="446"/>
      <c r="AE237" s="446"/>
      <c r="AF237" s="446"/>
      <c r="AG237" s="446"/>
      <c r="AH237" s="446"/>
      <c r="AI237" s="446"/>
      <c r="AJ237" s="446"/>
      <c r="AK237" s="446"/>
      <c r="AL237" s="446"/>
      <c r="AM237" s="446"/>
      <c r="AN237" s="446"/>
      <c r="AO237" s="446"/>
      <c r="AP237" s="446"/>
      <c r="AQ237" s="446"/>
      <c r="AR237" s="446"/>
      <c r="AS237" s="446"/>
      <c r="AT237" s="446"/>
      <c r="AU237" s="446"/>
      <c r="AV237" s="446"/>
      <c r="AW237" s="446"/>
      <c r="AX237" s="446"/>
      <c r="AY237" s="446"/>
      <c r="AZ237" s="446"/>
      <c r="BA237" s="446"/>
      <c r="BB237" s="446"/>
      <c r="BC237" s="446"/>
      <c r="BD237" s="446"/>
      <c r="BE237" s="446"/>
      <c r="BF237" s="446"/>
      <c r="BG237" s="446"/>
      <c r="BH237" s="446"/>
      <c r="BI237" s="446"/>
      <c r="BJ237" s="446"/>
      <c r="BK237" s="446"/>
      <c r="BL237" s="446"/>
    </row>
    <row r="238" spans="4:64" x14ac:dyDescent="0.2">
      <c r="D238" s="446"/>
      <c r="E238" s="446"/>
      <c r="F238" s="446"/>
      <c r="G238" s="446"/>
      <c r="H238" s="446"/>
      <c r="I238" s="446"/>
      <c r="J238" s="446"/>
      <c r="K238" s="446"/>
      <c r="L238" s="446"/>
      <c r="M238" s="446"/>
      <c r="N238" s="446"/>
      <c r="O238" s="446"/>
      <c r="P238" s="446"/>
      <c r="Q238" s="446"/>
      <c r="R238" s="446"/>
      <c r="S238" s="446"/>
      <c r="T238" s="446"/>
      <c r="U238" s="446"/>
      <c r="V238" s="446"/>
      <c r="W238" s="446"/>
      <c r="X238" s="446"/>
      <c r="Y238" s="446"/>
      <c r="Z238" s="446"/>
      <c r="AA238" s="446"/>
      <c r="AB238" s="446"/>
      <c r="AC238" s="446"/>
      <c r="AD238" s="446"/>
      <c r="AE238" s="446"/>
      <c r="AF238" s="446"/>
      <c r="AG238" s="446"/>
      <c r="AH238" s="446"/>
      <c r="AI238" s="446"/>
      <c r="AJ238" s="446"/>
      <c r="AK238" s="446"/>
      <c r="AL238" s="446"/>
      <c r="AM238" s="446"/>
      <c r="AN238" s="446"/>
      <c r="AO238" s="446"/>
      <c r="AP238" s="446"/>
      <c r="AQ238" s="446"/>
      <c r="AR238" s="446"/>
      <c r="AS238" s="446"/>
      <c r="AT238" s="446"/>
      <c r="AU238" s="446"/>
      <c r="AV238" s="446"/>
      <c r="AW238" s="446"/>
      <c r="AX238" s="446"/>
      <c r="AY238" s="446"/>
      <c r="AZ238" s="446"/>
      <c r="BA238" s="446"/>
      <c r="BB238" s="446"/>
      <c r="BC238" s="446"/>
      <c r="BD238" s="446"/>
      <c r="BE238" s="446"/>
      <c r="BF238" s="446"/>
      <c r="BG238" s="446"/>
      <c r="BH238" s="446"/>
      <c r="BI238" s="446"/>
      <c r="BJ238" s="446"/>
      <c r="BK238" s="446"/>
      <c r="BL238" s="446"/>
    </row>
    <row r="239" spans="4:64" x14ac:dyDescent="0.2">
      <c r="D239" s="446"/>
      <c r="E239" s="446"/>
      <c r="F239" s="446"/>
      <c r="G239" s="446"/>
      <c r="H239" s="446"/>
      <c r="I239" s="446"/>
      <c r="J239" s="446"/>
      <c r="K239" s="446"/>
      <c r="L239" s="446"/>
      <c r="M239" s="446"/>
      <c r="N239" s="446"/>
      <c r="O239" s="446"/>
      <c r="P239" s="446"/>
      <c r="Q239" s="446"/>
      <c r="R239" s="446"/>
      <c r="S239" s="446"/>
      <c r="T239" s="446"/>
      <c r="U239" s="446"/>
      <c r="V239" s="446"/>
      <c r="W239" s="446"/>
      <c r="X239" s="446"/>
      <c r="Y239" s="446"/>
      <c r="Z239" s="446"/>
      <c r="AA239" s="446"/>
      <c r="AB239" s="446"/>
      <c r="AC239" s="446"/>
      <c r="AD239" s="446"/>
      <c r="AE239" s="446"/>
      <c r="AF239" s="446"/>
      <c r="AG239" s="446"/>
      <c r="AH239" s="446"/>
      <c r="AI239" s="446"/>
      <c r="AJ239" s="446"/>
      <c r="AK239" s="446"/>
      <c r="AL239" s="446"/>
      <c r="AM239" s="446"/>
      <c r="AN239" s="446"/>
      <c r="AO239" s="446"/>
      <c r="AP239" s="446"/>
      <c r="AQ239" s="446"/>
      <c r="AR239" s="446"/>
      <c r="AS239" s="446"/>
      <c r="AT239" s="446"/>
      <c r="AU239" s="446"/>
      <c r="AV239" s="446"/>
      <c r="AW239" s="446"/>
      <c r="AX239" s="446"/>
      <c r="AY239" s="446"/>
      <c r="AZ239" s="446"/>
      <c r="BA239" s="446"/>
      <c r="BB239" s="446"/>
      <c r="BC239" s="446"/>
      <c r="BD239" s="446"/>
      <c r="BE239" s="446"/>
      <c r="BF239" s="446"/>
      <c r="BG239" s="446"/>
      <c r="BH239" s="446"/>
      <c r="BI239" s="446"/>
      <c r="BJ239" s="446"/>
      <c r="BK239" s="446"/>
      <c r="BL239" s="446"/>
    </row>
    <row r="240" spans="4:64" x14ac:dyDescent="0.2">
      <c r="D240" s="446"/>
      <c r="E240" s="446"/>
      <c r="F240" s="446"/>
      <c r="G240" s="446"/>
      <c r="H240" s="446"/>
      <c r="I240" s="446"/>
      <c r="J240" s="446"/>
      <c r="K240" s="446"/>
      <c r="L240" s="446"/>
      <c r="M240" s="446"/>
      <c r="N240" s="446"/>
      <c r="O240" s="446"/>
      <c r="P240" s="446"/>
      <c r="Q240" s="446"/>
      <c r="R240" s="446"/>
      <c r="S240" s="446"/>
      <c r="T240" s="446"/>
      <c r="U240" s="446"/>
      <c r="V240" s="446"/>
      <c r="W240" s="446"/>
      <c r="X240" s="446"/>
      <c r="Y240" s="446"/>
      <c r="Z240" s="446"/>
      <c r="AA240" s="446"/>
      <c r="AB240" s="446"/>
      <c r="AC240" s="446"/>
      <c r="AD240" s="446"/>
      <c r="AE240" s="446"/>
      <c r="AF240" s="446"/>
      <c r="AG240" s="446"/>
      <c r="AH240" s="446"/>
      <c r="AI240" s="446"/>
      <c r="AJ240" s="446"/>
      <c r="AK240" s="446"/>
      <c r="AL240" s="446"/>
      <c r="AM240" s="446"/>
      <c r="AN240" s="446"/>
      <c r="AO240" s="446"/>
      <c r="AP240" s="446"/>
      <c r="AQ240" s="446"/>
      <c r="AR240" s="446"/>
      <c r="AS240" s="446"/>
      <c r="AT240" s="446"/>
      <c r="AU240" s="446"/>
      <c r="AV240" s="446"/>
      <c r="AW240" s="446"/>
      <c r="AX240" s="446"/>
      <c r="AY240" s="446"/>
      <c r="AZ240" s="446"/>
      <c r="BA240" s="446"/>
      <c r="BB240" s="446"/>
      <c r="BC240" s="446"/>
      <c r="BD240" s="446"/>
      <c r="BE240" s="446"/>
      <c r="BF240" s="446"/>
      <c r="BG240" s="446"/>
      <c r="BH240" s="446"/>
      <c r="BI240" s="446"/>
      <c r="BJ240" s="446"/>
      <c r="BK240" s="446"/>
      <c r="BL240" s="446"/>
    </row>
    <row r="241" spans="4:64" x14ac:dyDescent="0.2">
      <c r="D241" s="446"/>
      <c r="E241" s="446"/>
      <c r="F241" s="446"/>
      <c r="G241" s="446"/>
      <c r="H241" s="446"/>
      <c r="I241" s="446"/>
      <c r="J241" s="446"/>
      <c r="K241" s="446"/>
      <c r="L241" s="446"/>
      <c r="M241" s="446"/>
      <c r="N241" s="446"/>
      <c r="O241" s="446"/>
      <c r="P241" s="446"/>
      <c r="Q241" s="446"/>
      <c r="R241" s="446"/>
      <c r="S241" s="446"/>
      <c r="T241" s="446"/>
      <c r="U241" s="446"/>
      <c r="V241" s="446"/>
      <c r="W241" s="446"/>
      <c r="X241" s="446"/>
      <c r="Y241" s="446"/>
      <c r="Z241" s="446"/>
      <c r="AA241" s="446"/>
      <c r="AB241" s="446"/>
      <c r="AC241" s="446"/>
      <c r="AD241" s="446"/>
      <c r="AE241" s="446"/>
      <c r="AF241" s="446"/>
      <c r="AG241" s="446"/>
      <c r="AH241" s="446"/>
      <c r="AI241" s="446"/>
      <c r="AJ241" s="446"/>
      <c r="AK241" s="446"/>
      <c r="AL241" s="446"/>
      <c r="AM241" s="446"/>
      <c r="AN241" s="446"/>
      <c r="AO241" s="446"/>
      <c r="AP241" s="446"/>
      <c r="AQ241" s="446"/>
      <c r="AR241" s="446"/>
      <c r="AS241" s="446"/>
      <c r="AT241" s="446"/>
      <c r="AU241" s="446"/>
      <c r="AV241" s="446"/>
      <c r="AW241" s="446"/>
      <c r="AX241" s="446"/>
      <c r="AY241" s="446"/>
      <c r="AZ241" s="446"/>
      <c r="BA241" s="446"/>
      <c r="BB241" s="446"/>
      <c r="BC241" s="446"/>
      <c r="BD241" s="446"/>
      <c r="BE241" s="446"/>
      <c r="BF241" s="446"/>
      <c r="BG241" s="446"/>
      <c r="BH241" s="446"/>
      <c r="BI241" s="446"/>
      <c r="BJ241" s="446"/>
      <c r="BK241" s="446"/>
      <c r="BL241" s="446"/>
    </row>
    <row r="242" spans="4:64" x14ac:dyDescent="0.2">
      <c r="D242" s="446"/>
      <c r="E242" s="446"/>
      <c r="F242" s="446"/>
      <c r="G242" s="446"/>
      <c r="H242" s="446"/>
      <c r="I242" s="446"/>
      <c r="J242" s="446"/>
      <c r="K242" s="446"/>
      <c r="L242" s="446"/>
      <c r="M242" s="446"/>
      <c r="N242" s="446"/>
      <c r="O242" s="446"/>
      <c r="P242" s="446"/>
      <c r="Q242" s="446"/>
      <c r="R242" s="446"/>
      <c r="S242" s="446"/>
      <c r="T242" s="446"/>
      <c r="U242" s="446"/>
      <c r="V242" s="446"/>
      <c r="W242" s="446"/>
      <c r="X242" s="446"/>
      <c r="Y242" s="446"/>
      <c r="Z242" s="446"/>
      <c r="AA242" s="446"/>
      <c r="AB242" s="446"/>
      <c r="AC242" s="446"/>
      <c r="AD242" s="446"/>
      <c r="AE242" s="446"/>
      <c r="AF242" s="446"/>
      <c r="AG242" s="446"/>
      <c r="AH242" s="446"/>
      <c r="AI242" s="446"/>
      <c r="AJ242" s="446"/>
      <c r="AK242" s="446"/>
      <c r="AL242" s="446"/>
      <c r="AM242" s="446"/>
      <c r="AN242" s="446"/>
      <c r="AO242" s="446"/>
      <c r="AP242" s="446"/>
      <c r="AQ242" s="446"/>
      <c r="AR242" s="446"/>
      <c r="AS242" s="446"/>
      <c r="AT242" s="446"/>
      <c r="AU242" s="446"/>
      <c r="AV242" s="446"/>
      <c r="AW242" s="446"/>
      <c r="AX242" s="446"/>
      <c r="AY242" s="446"/>
      <c r="AZ242" s="446"/>
      <c r="BA242" s="446"/>
      <c r="BB242" s="446"/>
      <c r="BC242" s="446"/>
      <c r="BD242" s="446"/>
      <c r="BE242" s="446"/>
      <c r="BF242" s="446"/>
      <c r="BG242" s="446"/>
      <c r="BH242" s="446"/>
      <c r="BI242" s="446"/>
      <c r="BJ242" s="446"/>
      <c r="BK242" s="446"/>
      <c r="BL242" s="446"/>
    </row>
    <row r="243" spans="4:64" x14ac:dyDescent="0.2">
      <c r="D243" s="446"/>
      <c r="E243" s="446"/>
      <c r="F243" s="446"/>
      <c r="G243" s="446"/>
      <c r="H243" s="446"/>
      <c r="I243" s="446"/>
      <c r="J243" s="446"/>
      <c r="K243" s="446"/>
      <c r="L243" s="446"/>
      <c r="M243" s="446"/>
      <c r="N243" s="446"/>
      <c r="O243" s="446"/>
      <c r="P243" s="446"/>
      <c r="Q243" s="446"/>
      <c r="R243" s="446"/>
      <c r="S243" s="446"/>
      <c r="T243" s="446"/>
      <c r="U243" s="446"/>
      <c r="V243" s="446"/>
      <c r="W243" s="446"/>
      <c r="X243" s="446"/>
      <c r="Y243" s="446"/>
      <c r="Z243" s="446"/>
      <c r="AA243" s="446"/>
      <c r="AB243" s="446"/>
      <c r="AC243" s="446"/>
      <c r="AD243" s="446"/>
      <c r="AE243" s="446"/>
      <c r="AF243" s="446"/>
      <c r="AG243" s="446"/>
      <c r="AH243" s="446"/>
      <c r="AI243" s="446"/>
      <c r="AJ243" s="446"/>
      <c r="AK243" s="446"/>
      <c r="AL243" s="446"/>
      <c r="AM243" s="446"/>
      <c r="AN243" s="446"/>
      <c r="AO243" s="446"/>
      <c r="AP243" s="446"/>
      <c r="AQ243" s="446"/>
      <c r="AR243" s="446"/>
      <c r="AS243" s="446"/>
      <c r="AT243" s="446"/>
      <c r="AU243" s="446"/>
      <c r="AV243" s="446"/>
      <c r="AW243" s="446"/>
      <c r="AX243" s="446"/>
      <c r="AY243" s="446"/>
      <c r="AZ243" s="446"/>
      <c r="BA243" s="446"/>
      <c r="BB243" s="446"/>
      <c r="BC243" s="446"/>
      <c r="BD243" s="446"/>
      <c r="BE243" s="446"/>
      <c r="BF243" s="446"/>
      <c r="BG243" s="446"/>
      <c r="BH243" s="446"/>
      <c r="BI243" s="446"/>
      <c r="BJ243" s="446"/>
      <c r="BK243" s="446"/>
      <c r="BL243" s="446"/>
    </row>
    <row r="244" spans="4:64" x14ac:dyDescent="0.2">
      <c r="D244" s="446"/>
      <c r="E244" s="446"/>
      <c r="F244" s="446"/>
      <c r="G244" s="446"/>
      <c r="H244" s="446"/>
      <c r="I244" s="446"/>
      <c r="J244" s="446"/>
      <c r="K244" s="446"/>
      <c r="L244" s="446"/>
      <c r="M244" s="446"/>
      <c r="N244" s="446"/>
      <c r="O244" s="446"/>
      <c r="P244" s="446"/>
      <c r="Q244" s="446"/>
      <c r="R244" s="446"/>
      <c r="S244" s="446"/>
      <c r="T244" s="446"/>
      <c r="U244" s="446"/>
      <c r="V244" s="446"/>
      <c r="W244" s="446"/>
      <c r="X244" s="446"/>
      <c r="Y244" s="446"/>
      <c r="Z244" s="446"/>
      <c r="AA244" s="446"/>
      <c r="AB244" s="446"/>
      <c r="AC244" s="446"/>
      <c r="AD244" s="446"/>
      <c r="AE244" s="446"/>
      <c r="AF244" s="446"/>
      <c r="AG244" s="446"/>
      <c r="AH244" s="446"/>
      <c r="AI244" s="446"/>
      <c r="AJ244" s="446"/>
      <c r="AK244" s="446"/>
      <c r="AL244" s="446"/>
      <c r="AM244" s="446"/>
      <c r="AN244" s="446"/>
      <c r="AO244" s="446"/>
      <c r="AP244" s="446"/>
      <c r="AQ244" s="446"/>
      <c r="AR244" s="446"/>
      <c r="AS244" s="446"/>
      <c r="AT244" s="446"/>
      <c r="AU244" s="446"/>
      <c r="AV244" s="446"/>
      <c r="AW244" s="446"/>
      <c r="AX244" s="446"/>
      <c r="AY244" s="446"/>
      <c r="AZ244" s="446"/>
      <c r="BA244" s="446"/>
      <c r="BB244" s="446"/>
      <c r="BC244" s="446"/>
      <c r="BD244" s="446"/>
      <c r="BE244" s="446"/>
      <c r="BF244" s="446"/>
      <c r="BG244" s="446"/>
      <c r="BH244" s="446"/>
      <c r="BI244" s="446"/>
      <c r="BJ244" s="446"/>
      <c r="BK244" s="446"/>
      <c r="BL244" s="446"/>
    </row>
    <row r="245" spans="4:64" x14ac:dyDescent="0.2">
      <c r="D245" s="446"/>
      <c r="E245" s="446"/>
      <c r="F245" s="446"/>
      <c r="G245" s="446"/>
      <c r="H245" s="446"/>
      <c r="I245" s="446"/>
      <c r="J245" s="446"/>
      <c r="K245" s="446"/>
      <c r="L245" s="446"/>
      <c r="M245" s="446"/>
      <c r="N245" s="446"/>
      <c r="O245" s="446"/>
      <c r="P245" s="446"/>
      <c r="Q245" s="446"/>
      <c r="R245" s="446"/>
      <c r="S245" s="446"/>
      <c r="T245" s="446"/>
      <c r="U245" s="446"/>
      <c r="V245" s="446"/>
      <c r="W245" s="446"/>
      <c r="X245" s="446"/>
      <c r="Y245" s="446"/>
      <c r="Z245" s="446"/>
      <c r="AA245" s="446"/>
      <c r="AB245" s="446"/>
      <c r="AC245" s="446"/>
      <c r="AD245" s="446"/>
      <c r="AE245" s="446"/>
      <c r="AF245" s="446"/>
      <c r="AG245" s="446"/>
      <c r="AH245" s="446"/>
      <c r="AI245" s="446"/>
      <c r="AJ245" s="446"/>
      <c r="AK245" s="446"/>
      <c r="AL245" s="446"/>
      <c r="AM245" s="446"/>
      <c r="AN245" s="446"/>
      <c r="AO245" s="446"/>
      <c r="AP245" s="446"/>
      <c r="AQ245" s="446"/>
      <c r="AR245" s="446"/>
      <c r="AS245" s="446"/>
      <c r="AT245" s="446"/>
      <c r="AU245" s="446"/>
      <c r="AV245" s="446"/>
      <c r="AW245" s="446"/>
      <c r="AX245" s="446"/>
      <c r="AY245" s="446"/>
      <c r="AZ245" s="446"/>
      <c r="BA245" s="446"/>
      <c r="BB245" s="446"/>
      <c r="BC245" s="446"/>
      <c r="BD245" s="446"/>
      <c r="BE245" s="446"/>
      <c r="BF245" s="446"/>
      <c r="BG245" s="446"/>
      <c r="BH245" s="446"/>
      <c r="BI245" s="446"/>
      <c r="BJ245" s="446"/>
      <c r="BK245" s="446"/>
      <c r="BL245" s="446"/>
    </row>
    <row r="246" spans="4:64" x14ac:dyDescent="0.2">
      <c r="D246" s="446"/>
      <c r="E246" s="446"/>
      <c r="F246" s="446"/>
      <c r="G246" s="446"/>
      <c r="H246" s="446"/>
      <c r="I246" s="446"/>
      <c r="J246" s="446"/>
      <c r="K246" s="446"/>
      <c r="L246" s="446"/>
      <c r="M246" s="446"/>
      <c r="N246" s="446"/>
      <c r="O246" s="446"/>
      <c r="P246" s="446"/>
      <c r="Q246" s="446"/>
      <c r="R246" s="446"/>
      <c r="S246" s="446"/>
      <c r="T246" s="446"/>
      <c r="U246" s="446"/>
      <c r="V246" s="446"/>
      <c r="W246" s="446"/>
      <c r="X246" s="446"/>
      <c r="Y246" s="446"/>
      <c r="Z246" s="446"/>
      <c r="AA246" s="446"/>
      <c r="AB246" s="446"/>
      <c r="AC246" s="446"/>
      <c r="AD246" s="446"/>
      <c r="AE246" s="446"/>
      <c r="AF246" s="446"/>
      <c r="AG246" s="446"/>
      <c r="AH246" s="446"/>
      <c r="AI246" s="446"/>
      <c r="AJ246" s="446"/>
      <c r="AK246" s="446"/>
      <c r="AL246" s="446"/>
      <c r="AM246" s="446"/>
      <c r="AN246" s="446"/>
      <c r="AO246" s="446"/>
      <c r="AP246" s="446"/>
      <c r="AQ246" s="446"/>
      <c r="AR246" s="446"/>
      <c r="AS246" s="446"/>
      <c r="AT246" s="446"/>
      <c r="AU246" s="446"/>
      <c r="AV246" s="446"/>
      <c r="AW246" s="446"/>
      <c r="AX246" s="446"/>
      <c r="AY246" s="446"/>
      <c r="AZ246" s="446"/>
      <c r="BA246" s="446"/>
      <c r="BB246" s="446"/>
      <c r="BC246" s="446"/>
      <c r="BD246" s="446"/>
      <c r="BE246" s="446"/>
      <c r="BF246" s="446"/>
      <c r="BG246" s="446"/>
      <c r="BH246" s="446"/>
      <c r="BI246" s="446"/>
      <c r="BJ246" s="446"/>
      <c r="BK246" s="446"/>
      <c r="BL246" s="446"/>
    </row>
    <row r="247" spans="4:64" x14ac:dyDescent="0.2">
      <c r="D247" s="446"/>
      <c r="E247" s="446"/>
      <c r="F247" s="446"/>
      <c r="G247" s="446"/>
      <c r="H247" s="446"/>
      <c r="I247" s="446"/>
      <c r="J247" s="446"/>
      <c r="K247" s="446"/>
      <c r="L247" s="446"/>
      <c r="M247" s="446"/>
      <c r="N247" s="446"/>
      <c r="O247" s="446"/>
      <c r="P247" s="446"/>
      <c r="Q247" s="446"/>
      <c r="R247" s="446"/>
      <c r="S247" s="446"/>
      <c r="T247" s="446"/>
      <c r="U247" s="446"/>
      <c r="V247" s="446"/>
      <c r="W247" s="446"/>
      <c r="X247" s="446"/>
      <c r="Y247" s="446"/>
      <c r="Z247" s="446"/>
      <c r="AA247" s="446"/>
      <c r="AB247" s="446"/>
      <c r="AC247" s="446"/>
      <c r="AD247" s="446"/>
      <c r="AE247" s="446"/>
      <c r="AF247" s="446"/>
      <c r="AG247" s="446"/>
      <c r="AH247" s="446"/>
      <c r="AI247" s="446"/>
      <c r="AJ247" s="446"/>
      <c r="AK247" s="446"/>
      <c r="AL247" s="446"/>
      <c r="AM247" s="446"/>
      <c r="AN247" s="446"/>
      <c r="AO247" s="446"/>
      <c r="AP247" s="446"/>
      <c r="AQ247" s="446"/>
      <c r="AR247" s="446"/>
      <c r="AS247" s="446"/>
      <c r="AT247" s="446"/>
      <c r="AU247" s="446"/>
      <c r="AV247" s="446"/>
      <c r="AW247" s="446"/>
      <c r="AX247" s="446"/>
      <c r="AY247" s="446"/>
      <c r="AZ247" s="446"/>
      <c r="BA247" s="446"/>
      <c r="BB247" s="446"/>
      <c r="BC247" s="446"/>
      <c r="BD247" s="446"/>
      <c r="BE247" s="446"/>
      <c r="BF247" s="446"/>
      <c r="BG247" s="446"/>
      <c r="BH247" s="446"/>
      <c r="BI247" s="446"/>
      <c r="BJ247" s="446"/>
      <c r="BK247" s="446"/>
      <c r="BL247" s="446"/>
    </row>
    <row r="248" spans="4:64" x14ac:dyDescent="0.2">
      <c r="D248" s="446"/>
      <c r="E248" s="446"/>
      <c r="F248" s="446"/>
      <c r="G248" s="446"/>
      <c r="H248" s="446"/>
      <c r="I248" s="446"/>
      <c r="J248" s="446"/>
      <c r="K248" s="446"/>
      <c r="L248" s="446"/>
      <c r="M248" s="446"/>
      <c r="N248" s="446"/>
      <c r="O248" s="446"/>
      <c r="P248" s="446"/>
      <c r="Q248" s="446"/>
      <c r="R248" s="446"/>
      <c r="S248" s="446"/>
      <c r="T248" s="446"/>
      <c r="U248" s="446"/>
      <c r="V248" s="446"/>
      <c r="W248" s="446"/>
      <c r="X248" s="446"/>
      <c r="Y248" s="446"/>
      <c r="Z248" s="446"/>
      <c r="AA248" s="446"/>
      <c r="AB248" s="446"/>
      <c r="AC248" s="446"/>
      <c r="AD248" s="446"/>
      <c r="AE248" s="446"/>
      <c r="AF248" s="446"/>
      <c r="AG248" s="446"/>
      <c r="AH248" s="446"/>
      <c r="AI248" s="446"/>
      <c r="AJ248" s="446"/>
      <c r="AK248" s="446"/>
      <c r="AL248" s="446"/>
      <c r="AM248" s="446"/>
      <c r="AN248" s="446"/>
      <c r="AO248" s="446"/>
      <c r="AP248" s="446"/>
      <c r="AQ248" s="446"/>
      <c r="AR248" s="446"/>
      <c r="AS248" s="446"/>
      <c r="AT248" s="446"/>
      <c r="AU248" s="446"/>
      <c r="AV248" s="446"/>
      <c r="AW248" s="446"/>
      <c r="AX248" s="446"/>
      <c r="AY248" s="446"/>
      <c r="AZ248" s="446"/>
      <c r="BA248" s="446"/>
      <c r="BB248" s="446"/>
      <c r="BC248" s="446"/>
      <c r="BD248" s="446"/>
      <c r="BE248" s="446"/>
      <c r="BF248" s="446"/>
      <c r="BG248" s="446"/>
      <c r="BH248" s="446"/>
      <c r="BI248" s="446"/>
      <c r="BJ248" s="446"/>
      <c r="BK248" s="446"/>
      <c r="BL248" s="446"/>
    </row>
    <row r="249" spans="4:64" x14ac:dyDescent="0.2">
      <c r="D249" s="446"/>
      <c r="E249" s="446"/>
      <c r="F249" s="446"/>
      <c r="G249" s="446"/>
      <c r="H249" s="446"/>
      <c r="I249" s="446"/>
      <c r="J249" s="446"/>
      <c r="K249" s="446"/>
      <c r="L249" s="446"/>
      <c r="M249" s="446"/>
      <c r="N249" s="446"/>
      <c r="O249" s="446"/>
      <c r="P249" s="446"/>
      <c r="Q249" s="446"/>
      <c r="R249" s="446"/>
      <c r="S249" s="446"/>
      <c r="T249" s="446"/>
      <c r="U249" s="446"/>
      <c r="V249" s="446"/>
      <c r="W249" s="446"/>
      <c r="X249" s="446"/>
      <c r="Y249" s="446"/>
      <c r="Z249" s="446"/>
      <c r="AA249" s="446"/>
      <c r="AB249" s="446"/>
      <c r="AC249" s="446"/>
      <c r="AD249" s="446"/>
      <c r="AE249" s="446"/>
      <c r="AF249" s="446"/>
      <c r="AG249" s="446"/>
      <c r="AH249" s="446"/>
      <c r="AI249" s="446"/>
      <c r="AJ249" s="446"/>
      <c r="AK249" s="446"/>
      <c r="AL249" s="446"/>
      <c r="AM249" s="446"/>
      <c r="AN249" s="446"/>
      <c r="AO249" s="446"/>
      <c r="AP249" s="446"/>
      <c r="AQ249" s="446"/>
      <c r="AR249" s="446"/>
      <c r="AS249" s="446"/>
      <c r="AT249" s="446"/>
      <c r="AU249" s="446"/>
      <c r="AV249" s="446"/>
      <c r="AW249" s="446"/>
      <c r="AX249" s="446"/>
      <c r="AY249" s="446"/>
      <c r="AZ249" s="446"/>
      <c r="BA249" s="446"/>
      <c r="BB249" s="446"/>
      <c r="BC249" s="446"/>
      <c r="BD249" s="446"/>
      <c r="BE249" s="446"/>
      <c r="BF249" s="446"/>
      <c r="BG249" s="446"/>
      <c r="BH249" s="446"/>
      <c r="BI249" s="446"/>
      <c r="BJ249" s="446"/>
      <c r="BK249" s="446"/>
      <c r="BL249" s="446"/>
    </row>
    <row r="250" spans="4:64" x14ac:dyDescent="0.2">
      <c r="D250" s="446"/>
      <c r="E250" s="446"/>
      <c r="F250" s="446"/>
      <c r="G250" s="446"/>
      <c r="H250" s="446"/>
      <c r="I250" s="446"/>
      <c r="J250" s="446"/>
      <c r="K250" s="446"/>
      <c r="L250" s="446"/>
      <c r="M250" s="446"/>
      <c r="N250" s="446"/>
      <c r="O250" s="446"/>
      <c r="P250" s="446"/>
      <c r="Q250" s="446"/>
      <c r="R250" s="446"/>
      <c r="S250" s="446"/>
      <c r="T250" s="446"/>
      <c r="U250" s="446"/>
      <c r="V250" s="446"/>
      <c r="W250" s="446"/>
      <c r="X250" s="446"/>
      <c r="Y250" s="446"/>
      <c r="Z250" s="446"/>
      <c r="AA250" s="446"/>
      <c r="AB250" s="446"/>
      <c r="AC250" s="446"/>
      <c r="AD250" s="446"/>
      <c r="AE250" s="446"/>
      <c r="AF250" s="446"/>
      <c r="AG250" s="446"/>
      <c r="AH250" s="446"/>
      <c r="AI250" s="446"/>
      <c r="AJ250" s="446"/>
      <c r="AK250" s="446"/>
      <c r="AL250" s="446"/>
      <c r="AM250" s="446"/>
      <c r="AN250" s="446"/>
      <c r="AO250" s="446"/>
      <c r="AP250" s="446"/>
      <c r="AQ250" s="446"/>
      <c r="AR250" s="446"/>
      <c r="AS250" s="446"/>
      <c r="AT250" s="446"/>
      <c r="AU250" s="446"/>
      <c r="AV250" s="446"/>
      <c r="AW250" s="446"/>
      <c r="AX250" s="446"/>
      <c r="AY250" s="446"/>
      <c r="AZ250" s="446"/>
      <c r="BA250" s="446"/>
      <c r="BB250" s="446"/>
      <c r="BC250" s="446"/>
      <c r="BD250" s="446"/>
      <c r="BE250" s="446"/>
      <c r="BF250" s="446"/>
      <c r="BG250" s="446"/>
      <c r="BH250" s="446"/>
      <c r="BI250" s="446"/>
      <c r="BJ250" s="446"/>
      <c r="BK250" s="446"/>
      <c r="BL250" s="446"/>
    </row>
    <row r="251" spans="4:64" x14ac:dyDescent="0.2">
      <c r="D251" s="446"/>
      <c r="E251" s="446"/>
      <c r="F251" s="446"/>
      <c r="G251" s="446"/>
      <c r="H251" s="446"/>
      <c r="I251" s="446"/>
      <c r="J251" s="446"/>
      <c r="K251" s="446"/>
      <c r="L251" s="446"/>
      <c r="M251" s="446"/>
      <c r="N251" s="446"/>
      <c r="O251" s="446"/>
      <c r="P251" s="446"/>
      <c r="Q251" s="446"/>
      <c r="R251" s="446"/>
      <c r="S251" s="446"/>
      <c r="T251" s="446"/>
      <c r="U251" s="446"/>
      <c r="V251" s="446"/>
      <c r="W251" s="446"/>
      <c r="X251" s="446"/>
      <c r="Y251" s="446"/>
      <c r="Z251" s="446"/>
      <c r="AA251" s="446"/>
      <c r="AB251" s="446"/>
      <c r="AC251" s="446"/>
      <c r="AD251" s="446"/>
      <c r="AE251" s="446"/>
      <c r="AF251" s="446"/>
      <c r="AG251" s="446"/>
      <c r="AH251" s="446"/>
      <c r="AI251" s="446"/>
      <c r="AJ251" s="446"/>
      <c r="AK251" s="446"/>
      <c r="AL251" s="446"/>
      <c r="AM251" s="446"/>
      <c r="AN251" s="446"/>
      <c r="AO251" s="446"/>
      <c r="AP251" s="446"/>
      <c r="AQ251" s="446"/>
      <c r="AR251" s="446"/>
      <c r="AS251" s="446"/>
      <c r="AT251" s="446"/>
      <c r="AU251" s="446"/>
      <c r="AV251" s="446"/>
      <c r="AW251" s="446"/>
      <c r="AX251" s="446"/>
      <c r="AY251" s="446"/>
      <c r="AZ251" s="446"/>
      <c r="BA251" s="446"/>
      <c r="BB251" s="446"/>
      <c r="BC251" s="446"/>
      <c r="BD251" s="446"/>
      <c r="BE251" s="446"/>
      <c r="BF251" s="446"/>
      <c r="BG251" s="446"/>
      <c r="BH251" s="446"/>
      <c r="BI251" s="446"/>
      <c r="BJ251" s="446"/>
      <c r="BK251" s="446"/>
      <c r="BL251" s="446"/>
    </row>
    <row r="252" spans="4:64" x14ac:dyDescent="0.2">
      <c r="D252" s="446"/>
      <c r="E252" s="446"/>
      <c r="F252" s="446"/>
      <c r="G252" s="446"/>
      <c r="H252" s="446"/>
      <c r="I252" s="446"/>
      <c r="J252" s="446"/>
      <c r="K252" s="446"/>
      <c r="L252" s="446"/>
      <c r="M252" s="446"/>
      <c r="N252" s="446"/>
      <c r="O252" s="446"/>
      <c r="P252" s="446"/>
      <c r="Q252" s="446"/>
      <c r="R252" s="446"/>
      <c r="S252" s="446"/>
      <c r="T252" s="446"/>
      <c r="U252" s="446"/>
      <c r="V252" s="446"/>
      <c r="W252" s="446"/>
      <c r="X252" s="446"/>
      <c r="Y252" s="446"/>
      <c r="Z252" s="446"/>
      <c r="AA252" s="446"/>
      <c r="AB252" s="446"/>
      <c r="AC252" s="446"/>
      <c r="AD252" s="446"/>
      <c r="AE252" s="446"/>
      <c r="AF252" s="446"/>
      <c r="AG252" s="446"/>
      <c r="AH252" s="446"/>
      <c r="AI252" s="446"/>
      <c r="AJ252" s="446"/>
      <c r="AK252" s="446"/>
      <c r="AL252" s="446"/>
      <c r="AM252" s="446"/>
      <c r="AN252" s="446"/>
      <c r="AO252" s="446"/>
      <c r="AP252" s="446"/>
      <c r="AQ252" s="446"/>
      <c r="AR252" s="446"/>
      <c r="AS252" s="446"/>
      <c r="AT252" s="446"/>
      <c r="AU252" s="446"/>
      <c r="AV252" s="446"/>
      <c r="AW252" s="446"/>
      <c r="AX252" s="446"/>
      <c r="AY252" s="446"/>
      <c r="AZ252" s="446"/>
      <c r="BA252" s="446"/>
      <c r="BB252" s="446"/>
      <c r="BC252" s="446"/>
      <c r="BD252" s="446"/>
      <c r="BE252" s="446"/>
      <c r="BF252" s="446"/>
      <c r="BG252" s="446"/>
      <c r="BH252" s="446"/>
      <c r="BI252" s="446"/>
      <c r="BJ252" s="446"/>
      <c r="BK252" s="446"/>
      <c r="BL252" s="446"/>
    </row>
    <row r="253" spans="4:64" x14ac:dyDescent="0.2">
      <c r="D253" s="446"/>
      <c r="E253" s="446"/>
      <c r="F253" s="446"/>
      <c r="G253" s="446"/>
      <c r="H253" s="446"/>
      <c r="I253" s="446"/>
      <c r="J253" s="446"/>
      <c r="K253" s="446"/>
      <c r="L253" s="446"/>
      <c r="M253" s="446"/>
      <c r="N253" s="446"/>
      <c r="O253" s="446"/>
      <c r="P253" s="446"/>
      <c r="Q253" s="446"/>
      <c r="R253" s="446"/>
      <c r="S253" s="446"/>
      <c r="T253" s="446"/>
      <c r="U253" s="446"/>
      <c r="V253" s="446"/>
      <c r="W253" s="446"/>
      <c r="X253" s="446"/>
      <c r="Y253" s="446"/>
      <c r="Z253" s="446"/>
      <c r="AA253" s="446"/>
      <c r="AB253" s="446"/>
      <c r="AC253" s="446"/>
      <c r="AD253" s="446"/>
      <c r="AE253" s="446"/>
      <c r="AF253" s="446"/>
      <c r="AG253" s="446"/>
      <c r="AH253" s="446"/>
      <c r="AI253" s="446"/>
      <c r="AJ253" s="446"/>
      <c r="AK253" s="446"/>
      <c r="AL253" s="446"/>
      <c r="AM253" s="446"/>
      <c r="AN253" s="446"/>
      <c r="AO253" s="446"/>
      <c r="AP253" s="446"/>
      <c r="AQ253" s="446"/>
      <c r="AR253" s="446"/>
      <c r="AS253" s="446"/>
      <c r="AT253" s="446"/>
      <c r="AU253" s="446"/>
      <c r="AV253" s="446"/>
      <c r="AW253" s="446"/>
      <c r="AX253" s="446"/>
      <c r="AY253" s="446"/>
      <c r="AZ253" s="446"/>
      <c r="BA253" s="446"/>
      <c r="BB253" s="446"/>
      <c r="BC253" s="446"/>
      <c r="BD253" s="446"/>
      <c r="BE253" s="446"/>
      <c r="BF253" s="446"/>
      <c r="BG253" s="446"/>
      <c r="BH253" s="446"/>
      <c r="BI253" s="446"/>
      <c r="BJ253" s="446"/>
      <c r="BK253" s="446"/>
      <c r="BL253" s="446"/>
    </row>
    <row r="254" spans="4:64" x14ac:dyDescent="0.2">
      <c r="D254" s="446"/>
      <c r="E254" s="446"/>
      <c r="F254" s="446"/>
      <c r="G254" s="446"/>
      <c r="H254" s="446"/>
      <c r="I254" s="446"/>
      <c r="J254" s="446"/>
      <c r="K254" s="446"/>
      <c r="L254" s="446"/>
      <c r="M254" s="446"/>
      <c r="N254" s="446"/>
      <c r="O254" s="446"/>
      <c r="P254" s="446"/>
      <c r="Q254" s="446"/>
      <c r="R254" s="446"/>
      <c r="S254" s="446"/>
      <c r="T254" s="446"/>
      <c r="U254" s="446"/>
      <c r="V254" s="446"/>
      <c r="W254" s="446"/>
      <c r="X254" s="446"/>
      <c r="Y254" s="446"/>
      <c r="Z254" s="446"/>
      <c r="AA254" s="446"/>
      <c r="AB254" s="446"/>
      <c r="AC254" s="446"/>
      <c r="AD254" s="446"/>
      <c r="AE254" s="446"/>
      <c r="AF254" s="446"/>
      <c r="AG254" s="446"/>
      <c r="AH254" s="446"/>
      <c r="AI254" s="446"/>
      <c r="AJ254" s="446"/>
      <c r="AK254" s="446"/>
      <c r="AL254" s="446"/>
      <c r="AM254" s="446"/>
      <c r="AN254" s="446"/>
      <c r="AO254" s="446"/>
      <c r="AP254" s="446"/>
      <c r="AQ254" s="446"/>
      <c r="AR254" s="446"/>
      <c r="AS254" s="446"/>
      <c r="AT254" s="446"/>
      <c r="AU254" s="446"/>
      <c r="AV254" s="446"/>
      <c r="AW254" s="446"/>
      <c r="AX254" s="446"/>
      <c r="AY254" s="446"/>
      <c r="AZ254" s="446"/>
      <c r="BA254" s="446"/>
      <c r="BB254" s="446"/>
      <c r="BC254" s="446"/>
      <c r="BD254" s="446"/>
      <c r="BE254" s="446"/>
      <c r="BF254" s="446"/>
      <c r="BG254" s="446"/>
      <c r="BH254" s="446"/>
      <c r="BI254" s="446"/>
      <c r="BJ254" s="446"/>
      <c r="BK254" s="446"/>
      <c r="BL254" s="446"/>
    </row>
    <row r="255" spans="4:64" x14ac:dyDescent="0.2">
      <c r="D255" s="446"/>
      <c r="E255" s="446"/>
      <c r="F255" s="446"/>
      <c r="G255" s="446"/>
      <c r="H255" s="446"/>
      <c r="I255" s="446"/>
      <c r="J255" s="446"/>
      <c r="K255" s="446"/>
      <c r="L255" s="446"/>
      <c r="M255" s="446"/>
      <c r="N255" s="446"/>
      <c r="O255" s="446"/>
      <c r="P255" s="446"/>
      <c r="Q255" s="446"/>
      <c r="R255" s="446"/>
      <c r="S255" s="446"/>
      <c r="T255" s="446"/>
      <c r="U255" s="446"/>
      <c r="V255" s="446"/>
      <c r="W255" s="446"/>
      <c r="X255" s="446"/>
      <c r="Y255" s="446"/>
      <c r="Z255" s="446"/>
      <c r="AA255" s="446"/>
      <c r="AB255" s="446"/>
      <c r="AC255" s="446"/>
      <c r="AD255" s="446"/>
      <c r="AE255" s="446"/>
      <c r="AF255" s="446"/>
      <c r="AG255" s="446"/>
      <c r="AH255" s="446"/>
      <c r="AI255" s="446"/>
      <c r="AJ255" s="446"/>
      <c r="AK255" s="446"/>
      <c r="AL255" s="446"/>
      <c r="AM255" s="446"/>
      <c r="AN255" s="446"/>
      <c r="AO255" s="446"/>
      <c r="AP255" s="446"/>
      <c r="AQ255" s="446"/>
      <c r="AR255" s="446"/>
      <c r="AS255" s="446"/>
      <c r="AT255" s="446"/>
      <c r="AU255" s="446"/>
      <c r="AV255" s="446"/>
      <c r="AW255" s="446"/>
      <c r="AX255" s="446"/>
      <c r="AY255" s="446"/>
      <c r="AZ255" s="446"/>
      <c r="BA255" s="446"/>
      <c r="BB255" s="446"/>
      <c r="BC255" s="446"/>
      <c r="BD255" s="446"/>
      <c r="BE255" s="446"/>
      <c r="BF255" s="446"/>
      <c r="BG255" s="446"/>
      <c r="BH255" s="446"/>
      <c r="BI255" s="446"/>
      <c r="BJ255" s="446"/>
      <c r="BK255" s="446"/>
      <c r="BL255" s="446"/>
    </row>
    <row r="256" spans="4:64" x14ac:dyDescent="0.2">
      <c r="D256" s="446"/>
      <c r="E256" s="446"/>
      <c r="F256" s="446"/>
      <c r="G256" s="446"/>
      <c r="H256" s="446"/>
      <c r="I256" s="446"/>
      <c r="J256" s="446"/>
      <c r="K256" s="446"/>
      <c r="L256" s="446"/>
      <c r="M256" s="446"/>
      <c r="N256" s="446"/>
      <c r="O256" s="446"/>
      <c r="P256" s="446"/>
      <c r="Q256" s="446"/>
      <c r="R256" s="446"/>
      <c r="S256" s="446"/>
      <c r="T256" s="446"/>
      <c r="U256" s="446"/>
      <c r="V256" s="446"/>
      <c r="W256" s="446"/>
      <c r="X256" s="446"/>
      <c r="Y256" s="446"/>
      <c r="Z256" s="446"/>
      <c r="AA256" s="446"/>
      <c r="AB256" s="446"/>
      <c r="AC256" s="446"/>
      <c r="AD256" s="446"/>
      <c r="AE256" s="446"/>
      <c r="AF256" s="446"/>
      <c r="AG256" s="446"/>
      <c r="AH256" s="446"/>
      <c r="AI256" s="446"/>
      <c r="AJ256" s="446"/>
      <c r="AK256" s="446"/>
      <c r="AL256" s="446"/>
      <c r="AM256" s="446"/>
      <c r="AN256" s="446"/>
      <c r="AO256" s="446"/>
      <c r="AP256" s="446"/>
      <c r="AQ256" s="446"/>
      <c r="AR256" s="446"/>
      <c r="AS256" s="446"/>
      <c r="AT256" s="446"/>
      <c r="AU256" s="446"/>
      <c r="AV256" s="446"/>
      <c r="AW256" s="446"/>
      <c r="AX256" s="446"/>
      <c r="AY256" s="446"/>
      <c r="AZ256" s="446"/>
      <c r="BA256" s="446"/>
      <c r="BB256" s="446"/>
      <c r="BC256" s="446"/>
      <c r="BD256" s="446"/>
      <c r="BE256" s="446"/>
      <c r="BF256" s="446"/>
      <c r="BG256" s="446"/>
      <c r="BH256" s="446"/>
      <c r="BI256" s="446"/>
      <c r="BJ256" s="446"/>
      <c r="BK256" s="446"/>
      <c r="BL256" s="446"/>
    </row>
    <row r="257" spans="4:64" x14ac:dyDescent="0.2">
      <c r="D257" s="446"/>
      <c r="E257" s="446"/>
      <c r="F257" s="446"/>
      <c r="G257" s="446"/>
      <c r="H257" s="446"/>
      <c r="I257" s="446"/>
      <c r="J257" s="446"/>
      <c r="K257" s="446"/>
      <c r="L257" s="446"/>
      <c r="M257" s="446"/>
      <c r="N257" s="446"/>
      <c r="O257" s="446"/>
      <c r="P257" s="446"/>
      <c r="Q257" s="446"/>
      <c r="R257" s="446"/>
      <c r="S257" s="446"/>
      <c r="T257" s="446"/>
      <c r="U257" s="446"/>
      <c r="V257" s="446"/>
      <c r="W257" s="446"/>
      <c r="X257" s="446"/>
      <c r="Y257" s="446"/>
      <c r="Z257" s="446"/>
      <c r="AA257" s="446"/>
      <c r="AB257" s="446"/>
      <c r="AC257" s="446"/>
      <c r="AD257" s="446"/>
      <c r="AE257" s="446"/>
      <c r="AF257" s="446"/>
      <c r="AG257" s="446"/>
      <c r="AH257" s="446"/>
      <c r="AI257" s="446"/>
      <c r="AJ257" s="446"/>
      <c r="AK257" s="446"/>
      <c r="AL257" s="446"/>
      <c r="AM257" s="446"/>
      <c r="AN257" s="446"/>
      <c r="AO257" s="446"/>
      <c r="AP257" s="446"/>
      <c r="AQ257" s="446"/>
      <c r="AR257" s="446"/>
      <c r="AS257" s="446"/>
      <c r="AT257" s="446"/>
      <c r="AU257" s="446"/>
      <c r="AV257" s="446"/>
      <c r="AW257" s="446"/>
      <c r="AX257" s="446"/>
      <c r="AY257" s="446"/>
      <c r="AZ257" s="446"/>
      <c r="BA257" s="446"/>
      <c r="BB257" s="446"/>
      <c r="BC257" s="446"/>
      <c r="BD257" s="446"/>
      <c r="BE257" s="446"/>
      <c r="BF257" s="446"/>
      <c r="BG257" s="446"/>
      <c r="BH257" s="446"/>
      <c r="BI257" s="446"/>
      <c r="BJ257" s="446"/>
      <c r="BK257" s="446"/>
      <c r="BL257" s="446"/>
    </row>
    <row r="258" spans="4:64" x14ac:dyDescent="0.2">
      <c r="D258" s="446"/>
      <c r="E258" s="446"/>
      <c r="F258" s="446"/>
      <c r="G258" s="446"/>
      <c r="H258" s="446"/>
      <c r="I258" s="446"/>
      <c r="J258" s="446"/>
      <c r="K258" s="446"/>
      <c r="L258" s="446"/>
      <c r="M258" s="446"/>
      <c r="N258" s="446"/>
      <c r="O258" s="446"/>
      <c r="P258" s="446"/>
      <c r="Q258" s="446"/>
      <c r="R258" s="446"/>
      <c r="S258" s="446"/>
      <c r="T258" s="446"/>
      <c r="U258" s="446"/>
      <c r="V258" s="446"/>
      <c r="W258" s="446"/>
      <c r="X258" s="446"/>
      <c r="Y258" s="446"/>
      <c r="Z258" s="446"/>
      <c r="AA258" s="446"/>
      <c r="AB258" s="446"/>
      <c r="AC258" s="446"/>
      <c r="AD258" s="446"/>
      <c r="AE258" s="446"/>
      <c r="AF258" s="446"/>
      <c r="AG258" s="446"/>
      <c r="AH258" s="446"/>
      <c r="AI258" s="446"/>
      <c r="AJ258" s="446"/>
      <c r="AK258" s="446"/>
      <c r="AL258" s="446"/>
      <c r="AM258" s="446"/>
      <c r="AN258" s="446"/>
      <c r="AO258" s="446"/>
      <c r="AP258" s="446"/>
      <c r="AQ258" s="446"/>
      <c r="AR258" s="446"/>
      <c r="AS258" s="446"/>
      <c r="AT258" s="446"/>
      <c r="AU258" s="446"/>
      <c r="AV258" s="446"/>
      <c r="AW258" s="446"/>
      <c r="AX258" s="446"/>
      <c r="AY258" s="446"/>
      <c r="AZ258" s="446"/>
      <c r="BA258" s="446"/>
      <c r="BB258" s="446"/>
      <c r="BC258" s="446"/>
      <c r="BD258" s="446"/>
      <c r="BE258" s="446"/>
      <c r="BF258" s="446"/>
      <c r="BG258" s="446"/>
      <c r="BH258" s="446"/>
      <c r="BI258" s="446"/>
      <c r="BJ258" s="446"/>
      <c r="BK258" s="446"/>
      <c r="BL258" s="446"/>
    </row>
    <row r="259" spans="4:64" x14ac:dyDescent="0.2">
      <c r="D259" s="446"/>
      <c r="E259" s="446"/>
      <c r="F259" s="446"/>
      <c r="G259" s="446"/>
      <c r="H259" s="446"/>
      <c r="I259" s="446"/>
      <c r="J259" s="446"/>
      <c r="K259" s="446"/>
      <c r="L259" s="446"/>
      <c r="M259" s="446"/>
      <c r="N259" s="446"/>
      <c r="O259" s="446"/>
      <c r="P259" s="446"/>
      <c r="Q259" s="446"/>
      <c r="R259" s="446"/>
      <c r="S259" s="446"/>
      <c r="T259" s="446"/>
      <c r="U259" s="446"/>
      <c r="V259" s="446"/>
      <c r="W259" s="446"/>
      <c r="X259" s="446"/>
      <c r="Y259" s="446"/>
      <c r="Z259" s="446"/>
      <c r="AA259" s="446"/>
      <c r="AB259" s="446"/>
      <c r="AC259" s="446"/>
      <c r="AD259" s="446"/>
      <c r="AE259" s="446"/>
      <c r="AF259" s="446"/>
      <c r="AG259" s="446"/>
      <c r="AH259" s="446"/>
      <c r="AI259" s="446"/>
      <c r="AJ259" s="446"/>
      <c r="AK259" s="446"/>
      <c r="AL259" s="446"/>
      <c r="AM259" s="446"/>
      <c r="AN259" s="446"/>
      <c r="AO259" s="446"/>
      <c r="AP259" s="446"/>
      <c r="AQ259" s="446"/>
      <c r="AR259" s="446"/>
      <c r="AS259" s="446"/>
      <c r="AT259" s="446"/>
      <c r="AU259" s="446"/>
      <c r="AV259" s="446"/>
      <c r="AW259" s="446"/>
      <c r="AX259" s="446"/>
      <c r="AY259" s="446"/>
      <c r="AZ259" s="446"/>
      <c r="BA259" s="446"/>
      <c r="BB259" s="446"/>
      <c r="BC259" s="446"/>
      <c r="BD259" s="446"/>
      <c r="BE259" s="446"/>
      <c r="BF259" s="446"/>
      <c r="BG259" s="446"/>
      <c r="BH259" s="446"/>
      <c r="BI259" s="446"/>
      <c r="BJ259" s="446"/>
      <c r="BK259" s="446"/>
      <c r="BL259" s="446"/>
    </row>
    <row r="260" spans="4:64" x14ac:dyDescent="0.2">
      <c r="D260" s="446"/>
      <c r="E260" s="446"/>
      <c r="F260" s="446"/>
      <c r="G260" s="446"/>
      <c r="H260" s="446"/>
      <c r="I260" s="446"/>
      <c r="J260" s="446"/>
      <c r="K260" s="446"/>
      <c r="L260" s="446"/>
      <c r="M260" s="446"/>
      <c r="N260" s="446"/>
      <c r="O260" s="446"/>
      <c r="P260" s="446"/>
      <c r="Q260" s="446"/>
      <c r="R260" s="446"/>
      <c r="S260" s="446"/>
      <c r="T260" s="446"/>
      <c r="U260" s="446"/>
      <c r="V260" s="446"/>
      <c r="W260" s="446"/>
      <c r="X260" s="446"/>
      <c r="Y260" s="446"/>
      <c r="Z260" s="446"/>
      <c r="AA260" s="446"/>
      <c r="AB260" s="446"/>
      <c r="AC260" s="446"/>
      <c r="AD260" s="446"/>
      <c r="AE260" s="446"/>
      <c r="AF260" s="446"/>
      <c r="AG260" s="446"/>
      <c r="AH260" s="446"/>
      <c r="AI260" s="446"/>
      <c r="AJ260" s="446"/>
      <c r="AK260" s="446"/>
      <c r="AL260" s="446"/>
      <c r="AM260" s="446"/>
      <c r="AN260" s="446"/>
      <c r="AO260" s="446"/>
      <c r="AP260" s="446"/>
      <c r="AQ260" s="446"/>
      <c r="AR260" s="446"/>
      <c r="AS260" s="446"/>
      <c r="AT260" s="446"/>
      <c r="AU260" s="446"/>
      <c r="AV260" s="446"/>
      <c r="AW260" s="446"/>
      <c r="AX260" s="446"/>
      <c r="AY260" s="446"/>
      <c r="AZ260" s="446"/>
      <c r="BA260" s="446"/>
      <c r="BB260" s="446"/>
      <c r="BC260" s="446"/>
      <c r="BD260" s="446"/>
      <c r="BE260" s="446"/>
      <c r="BF260" s="446"/>
      <c r="BG260" s="446"/>
      <c r="BH260" s="446"/>
      <c r="BI260" s="446"/>
      <c r="BJ260" s="446"/>
      <c r="BK260" s="446"/>
      <c r="BL260" s="446"/>
    </row>
    <row r="261" spans="4:64" x14ac:dyDescent="0.2">
      <c r="D261" s="446"/>
      <c r="E261" s="446"/>
      <c r="F261" s="446"/>
      <c r="G261" s="446"/>
      <c r="H261" s="446"/>
      <c r="I261" s="446"/>
      <c r="J261" s="446"/>
      <c r="K261" s="446"/>
      <c r="L261" s="446"/>
      <c r="M261" s="446"/>
      <c r="N261" s="446"/>
      <c r="O261" s="446"/>
      <c r="P261" s="446"/>
      <c r="Q261" s="446"/>
      <c r="R261" s="446"/>
      <c r="S261" s="446"/>
      <c r="T261" s="446"/>
      <c r="U261" s="446"/>
      <c r="V261" s="446"/>
      <c r="W261" s="446"/>
      <c r="X261" s="446"/>
      <c r="Y261" s="446"/>
      <c r="Z261" s="446"/>
      <c r="AA261" s="446"/>
      <c r="AB261" s="446"/>
      <c r="AC261" s="446"/>
      <c r="AD261" s="446"/>
      <c r="AE261" s="446"/>
      <c r="AF261" s="446"/>
      <c r="AG261" s="446"/>
      <c r="AH261" s="446"/>
      <c r="AI261" s="446"/>
      <c r="AJ261" s="446"/>
      <c r="AK261" s="446"/>
      <c r="AL261" s="446"/>
      <c r="AM261" s="446"/>
      <c r="AN261" s="446"/>
      <c r="AO261" s="446"/>
      <c r="AP261" s="446"/>
      <c r="AQ261" s="446"/>
      <c r="AR261" s="446"/>
      <c r="AS261" s="446"/>
      <c r="AT261" s="446"/>
      <c r="AU261" s="446"/>
      <c r="AV261" s="446"/>
      <c r="AW261" s="446"/>
      <c r="AX261" s="446"/>
      <c r="AY261" s="446"/>
      <c r="AZ261" s="446"/>
      <c r="BA261" s="446"/>
      <c r="BB261" s="446"/>
      <c r="BC261" s="446"/>
      <c r="BD261" s="446"/>
      <c r="BE261" s="446"/>
      <c r="BF261" s="446"/>
      <c r="BG261" s="446"/>
      <c r="BH261" s="446"/>
      <c r="BI261" s="446"/>
      <c r="BJ261" s="446"/>
      <c r="BK261" s="446"/>
      <c r="BL261" s="446"/>
    </row>
    <row r="262" spans="4:64" x14ac:dyDescent="0.2">
      <c r="D262" s="446"/>
      <c r="E262" s="446"/>
      <c r="F262" s="446"/>
      <c r="G262" s="446"/>
      <c r="H262" s="446"/>
      <c r="I262" s="446"/>
      <c r="J262" s="446"/>
      <c r="K262" s="446"/>
      <c r="L262" s="446"/>
      <c r="M262" s="446"/>
      <c r="N262" s="446"/>
      <c r="O262" s="446"/>
      <c r="P262" s="446"/>
      <c r="Q262" s="446"/>
      <c r="R262" s="446"/>
      <c r="S262" s="446"/>
      <c r="T262" s="446"/>
      <c r="U262" s="446"/>
      <c r="V262" s="446"/>
      <c r="W262" s="446"/>
      <c r="X262" s="446"/>
      <c r="Y262" s="446"/>
      <c r="Z262" s="446"/>
      <c r="AA262" s="446"/>
      <c r="AB262" s="446"/>
      <c r="AC262" s="446"/>
      <c r="AD262" s="446"/>
      <c r="AE262" s="446"/>
      <c r="AF262" s="446"/>
      <c r="AG262" s="446"/>
      <c r="AH262" s="446"/>
      <c r="AI262" s="446"/>
      <c r="AJ262" s="446"/>
      <c r="AK262" s="446"/>
      <c r="AL262" s="446"/>
      <c r="AM262" s="446"/>
      <c r="AN262" s="446"/>
      <c r="AO262" s="446"/>
      <c r="AP262" s="446"/>
      <c r="AQ262" s="446"/>
      <c r="AR262" s="446"/>
      <c r="AS262" s="446"/>
      <c r="AT262" s="446"/>
      <c r="AU262" s="446"/>
      <c r="AV262" s="446"/>
      <c r="AW262" s="446"/>
      <c r="AX262" s="446"/>
      <c r="AY262" s="446"/>
      <c r="AZ262" s="446"/>
      <c r="BA262" s="446"/>
      <c r="BB262" s="446"/>
      <c r="BC262" s="446"/>
      <c r="BD262" s="446"/>
      <c r="BE262" s="446"/>
      <c r="BF262" s="446"/>
      <c r="BG262" s="446"/>
      <c r="BH262" s="446"/>
      <c r="BI262" s="446"/>
      <c r="BJ262" s="446"/>
      <c r="BK262" s="446"/>
      <c r="BL262" s="446"/>
    </row>
    <row r="263" spans="4:64" x14ac:dyDescent="0.2">
      <c r="D263" s="446"/>
      <c r="E263" s="446"/>
      <c r="F263" s="446"/>
      <c r="G263" s="446"/>
      <c r="H263" s="446"/>
      <c r="I263" s="446"/>
      <c r="J263" s="446"/>
      <c r="K263" s="446"/>
      <c r="L263" s="446"/>
      <c r="M263" s="446"/>
      <c r="N263" s="446"/>
      <c r="O263" s="446"/>
      <c r="P263" s="446"/>
      <c r="Q263" s="446"/>
      <c r="R263" s="446"/>
      <c r="S263" s="446"/>
      <c r="T263" s="446"/>
      <c r="U263" s="446"/>
      <c r="V263" s="446"/>
      <c r="W263" s="446"/>
      <c r="X263" s="446"/>
      <c r="Y263" s="446"/>
      <c r="Z263" s="446"/>
      <c r="AA263" s="446"/>
      <c r="AB263" s="446"/>
      <c r="AC263" s="446"/>
      <c r="AD263" s="446"/>
      <c r="AE263" s="446"/>
      <c r="AF263" s="446"/>
      <c r="AG263" s="446"/>
      <c r="AH263" s="446"/>
      <c r="AI263" s="446"/>
      <c r="AJ263" s="446"/>
      <c r="AK263" s="446"/>
      <c r="AL263" s="446"/>
      <c r="AM263" s="446"/>
      <c r="AN263" s="446"/>
      <c r="AO263" s="446"/>
      <c r="AP263" s="446"/>
      <c r="AQ263" s="446"/>
      <c r="AR263" s="446"/>
      <c r="AS263" s="446"/>
      <c r="AT263" s="446"/>
      <c r="AU263" s="446"/>
      <c r="AV263" s="446"/>
      <c r="AW263" s="446"/>
      <c r="AX263" s="446"/>
      <c r="AY263" s="446"/>
      <c r="AZ263" s="446"/>
      <c r="BA263" s="446"/>
      <c r="BB263" s="446"/>
      <c r="BC263" s="446"/>
      <c r="BD263" s="446"/>
      <c r="BE263" s="446"/>
      <c r="BF263" s="446"/>
      <c r="BG263" s="446"/>
      <c r="BH263" s="446"/>
      <c r="BI263" s="446"/>
      <c r="BJ263" s="446"/>
      <c r="BK263" s="446"/>
      <c r="BL263" s="446"/>
    </row>
    <row r="264" spans="4:64" x14ac:dyDescent="0.2">
      <c r="D264" s="446"/>
      <c r="E264" s="446"/>
      <c r="F264" s="446"/>
      <c r="G264" s="446"/>
      <c r="H264" s="446"/>
      <c r="I264" s="446"/>
      <c r="J264" s="446"/>
      <c r="K264" s="446"/>
      <c r="L264" s="446"/>
      <c r="M264" s="446"/>
      <c r="N264" s="446"/>
      <c r="O264" s="446"/>
      <c r="P264" s="446"/>
      <c r="Q264" s="446"/>
      <c r="R264" s="446"/>
      <c r="S264" s="446"/>
      <c r="T264" s="446"/>
      <c r="U264" s="446"/>
      <c r="V264" s="446"/>
      <c r="W264" s="446"/>
      <c r="X264" s="446"/>
      <c r="Y264" s="446"/>
      <c r="Z264" s="446"/>
      <c r="AA264" s="446"/>
      <c r="AB264" s="446"/>
      <c r="AC264" s="446"/>
      <c r="AD264" s="446"/>
      <c r="AE264" s="446"/>
      <c r="AF264" s="446"/>
      <c r="AG264" s="446"/>
      <c r="AH264" s="446"/>
      <c r="AI264" s="446"/>
      <c r="AJ264" s="446"/>
      <c r="AK264" s="446"/>
      <c r="AL264" s="446"/>
      <c r="AM264" s="446"/>
      <c r="AN264" s="446"/>
      <c r="AO264" s="446"/>
      <c r="AP264" s="446"/>
      <c r="AQ264" s="446"/>
      <c r="AR264" s="446"/>
      <c r="AS264" s="446"/>
      <c r="AT264" s="446"/>
      <c r="AU264" s="446"/>
      <c r="AV264" s="446"/>
      <c r="AW264" s="446"/>
      <c r="AX264" s="446"/>
      <c r="AY264" s="446"/>
      <c r="AZ264" s="446"/>
      <c r="BA264" s="446"/>
      <c r="BB264" s="446"/>
      <c r="BC264" s="446"/>
      <c r="BD264" s="446"/>
      <c r="BE264" s="446"/>
      <c r="BF264" s="446"/>
      <c r="BG264" s="446"/>
      <c r="BH264" s="446"/>
      <c r="BI264" s="446"/>
      <c r="BJ264" s="446"/>
      <c r="BK264" s="446"/>
      <c r="BL264" s="446"/>
    </row>
    <row r="265" spans="4:64" x14ac:dyDescent="0.2">
      <c r="D265" s="446"/>
      <c r="E265" s="446"/>
      <c r="F265" s="446"/>
      <c r="G265" s="446"/>
      <c r="H265" s="446"/>
      <c r="I265" s="446"/>
      <c r="J265" s="446"/>
      <c r="K265" s="446"/>
      <c r="L265" s="446"/>
      <c r="M265" s="446"/>
      <c r="N265" s="446"/>
      <c r="O265" s="446"/>
      <c r="P265" s="446"/>
      <c r="Q265" s="446"/>
      <c r="R265" s="446"/>
      <c r="S265" s="446"/>
      <c r="T265" s="446"/>
      <c r="U265" s="446"/>
      <c r="V265" s="446"/>
      <c r="W265" s="446"/>
      <c r="X265" s="446"/>
      <c r="Y265" s="446"/>
      <c r="Z265" s="446"/>
      <c r="AA265" s="446"/>
      <c r="AB265" s="446"/>
      <c r="AC265" s="446"/>
      <c r="AD265" s="446"/>
      <c r="AE265" s="446"/>
      <c r="AF265" s="446"/>
      <c r="AG265" s="446"/>
      <c r="AH265" s="446"/>
      <c r="AI265" s="446"/>
      <c r="AJ265" s="446"/>
      <c r="AK265" s="446"/>
      <c r="AL265" s="446"/>
      <c r="AM265" s="446"/>
      <c r="AN265" s="446"/>
      <c r="AO265" s="446"/>
      <c r="AP265" s="446"/>
      <c r="AQ265" s="446"/>
      <c r="AR265" s="446"/>
      <c r="AS265" s="446"/>
      <c r="AT265" s="446"/>
      <c r="AU265" s="446"/>
      <c r="AV265" s="446"/>
      <c r="AW265" s="446"/>
      <c r="AX265" s="446"/>
      <c r="AY265" s="446"/>
      <c r="AZ265" s="446"/>
      <c r="BA265" s="446"/>
      <c r="BB265" s="446"/>
      <c r="BC265" s="446"/>
      <c r="BD265" s="446"/>
      <c r="BE265" s="446"/>
      <c r="BF265" s="446"/>
      <c r="BG265" s="446"/>
      <c r="BH265" s="446"/>
      <c r="BI265" s="446"/>
      <c r="BJ265" s="446"/>
      <c r="BK265" s="446"/>
      <c r="BL265" s="446"/>
    </row>
    <row r="266" spans="4:64" x14ac:dyDescent="0.2">
      <c r="D266" s="446"/>
      <c r="E266" s="446"/>
      <c r="F266" s="446"/>
      <c r="G266" s="446"/>
      <c r="H266" s="446"/>
      <c r="I266" s="446"/>
      <c r="J266" s="446"/>
      <c r="K266" s="446"/>
      <c r="L266" s="446"/>
      <c r="M266" s="446"/>
      <c r="N266" s="446"/>
      <c r="O266" s="446"/>
      <c r="P266" s="446"/>
      <c r="Q266" s="446"/>
      <c r="R266" s="446"/>
      <c r="S266" s="446"/>
      <c r="T266" s="446"/>
      <c r="U266" s="446"/>
      <c r="V266" s="446"/>
      <c r="W266" s="446"/>
      <c r="X266" s="446"/>
      <c r="Y266" s="446"/>
      <c r="Z266" s="446"/>
      <c r="AA266" s="446"/>
      <c r="AB266" s="446"/>
      <c r="AC266" s="446"/>
      <c r="AD266" s="446"/>
      <c r="AE266" s="446"/>
      <c r="AF266" s="446"/>
      <c r="AG266" s="446"/>
      <c r="AH266" s="446"/>
      <c r="AI266" s="446"/>
      <c r="AJ266" s="446"/>
      <c r="AK266" s="446"/>
      <c r="AL266" s="446"/>
      <c r="AM266" s="446"/>
      <c r="AN266" s="446"/>
      <c r="AO266" s="446"/>
      <c r="AP266" s="446"/>
      <c r="AQ266" s="446"/>
      <c r="AR266" s="446"/>
      <c r="AS266" s="446"/>
      <c r="AT266" s="446"/>
      <c r="AU266" s="446"/>
      <c r="AV266" s="446"/>
      <c r="AW266" s="446"/>
      <c r="AX266" s="446"/>
      <c r="AY266" s="446"/>
      <c r="AZ266" s="446"/>
      <c r="BA266" s="446"/>
      <c r="BB266" s="446"/>
      <c r="BC266" s="446"/>
      <c r="BD266" s="446"/>
      <c r="BE266" s="446"/>
      <c r="BF266" s="446"/>
      <c r="BG266" s="446"/>
      <c r="BH266" s="446"/>
      <c r="BI266" s="446"/>
      <c r="BJ266" s="446"/>
      <c r="BK266" s="446"/>
      <c r="BL266" s="446"/>
    </row>
    <row r="267" spans="4:64" x14ac:dyDescent="0.2">
      <c r="D267" s="446"/>
      <c r="E267" s="446"/>
      <c r="F267" s="446"/>
      <c r="G267" s="446"/>
      <c r="H267" s="446"/>
      <c r="I267" s="446"/>
      <c r="J267" s="446"/>
      <c r="K267" s="446"/>
      <c r="L267" s="446"/>
      <c r="M267" s="446"/>
      <c r="N267" s="446"/>
      <c r="O267" s="446"/>
      <c r="P267" s="446"/>
      <c r="Q267" s="446"/>
      <c r="R267" s="446"/>
      <c r="S267" s="446"/>
      <c r="T267" s="446"/>
      <c r="U267" s="446"/>
      <c r="V267" s="446"/>
      <c r="W267" s="446"/>
      <c r="X267" s="446"/>
      <c r="Y267" s="446"/>
      <c r="Z267" s="446"/>
      <c r="AA267" s="446"/>
      <c r="AB267" s="446"/>
      <c r="AC267" s="446"/>
      <c r="AD267" s="446"/>
      <c r="AE267" s="446"/>
      <c r="AF267" s="446"/>
      <c r="AG267" s="446"/>
      <c r="AH267" s="446"/>
      <c r="AI267" s="446"/>
      <c r="AJ267" s="446"/>
      <c r="AK267" s="446"/>
      <c r="AL267" s="446"/>
      <c r="AM267" s="446"/>
      <c r="AN267" s="446"/>
      <c r="AO267" s="446"/>
      <c r="AP267" s="446"/>
      <c r="AQ267" s="446"/>
      <c r="AR267" s="446"/>
      <c r="AS267" s="446"/>
      <c r="AT267" s="446"/>
      <c r="AU267" s="446"/>
      <c r="AV267" s="446"/>
      <c r="AW267" s="446"/>
      <c r="AX267" s="446"/>
      <c r="AY267" s="446"/>
      <c r="AZ267" s="446"/>
      <c r="BA267" s="446"/>
      <c r="BB267" s="446"/>
      <c r="BC267" s="446"/>
      <c r="BD267" s="446"/>
      <c r="BE267" s="446"/>
      <c r="BF267" s="446"/>
      <c r="BG267" s="446"/>
      <c r="BH267" s="446"/>
      <c r="BI267" s="446"/>
      <c r="BJ267" s="446"/>
      <c r="BK267" s="446"/>
      <c r="BL267" s="446"/>
    </row>
    <row r="268" spans="4:64" x14ac:dyDescent="0.2">
      <c r="D268" s="446"/>
      <c r="E268" s="446"/>
      <c r="F268" s="446"/>
      <c r="G268" s="446"/>
      <c r="H268" s="446"/>
      <c r="I268" s="446"/>
      <c r="J268" s="446"/>
      <c r="K268" s="446"/>
      <c r="L268" s="446"/>
      <c r="M268" s="446"/>
      <c r="N268" s="446"/>
      <c r="O268" s="446"/>
      <c r="P268" s="446"/>
      <c r="Q268" s="446"/>
      <c r="R268" s="446"/>
      <c r="S268" s="446"/>
      <c r="T268" s="446"/>
      <c r="U268" s="446"/>
      <c r="V268" s="446"/>
      <c r="W268" s="446"/>
      <c r="X268" s="446"/>
      <c r="Y268" s="446"/>
      <c r="Z268" s="446"/>
      <c r="AA268" s="446"/>
      <c r="AB268" s="446"/>
      <c r="AC268" s="446"/>
      <c r="AD268" s="446"/>
      <c r="AE268" s="446"/>
      <c r="AF268" s="446"/>
      <c r="AG268" s="446"/>
      <c r="AH268" s="446"/>
      <c r="AI268" s="446"/>
      <c r="AJ268" s="446"/>
      <c r="AK268" s="446"/>
      <c r="AL268" s="446"/>
      <c r="AM268" s="446"/>
      <c r="AN268" s="446"/>
      <c r="AO268" s="446"/>
      <c r="AP268" s="446"/>
      <c r="AQ268" s="446"/>
      <c r="AR268" s="446"/>
      <c r="AS268" s="446"/>
      <c r="AT268" s="446"/>
      <c r="AU268" s="446"/>
      <c r="AV268" s="446"/>
      <c r="AW268" s="446"/>
      <c r="AX268" s="446"/>
      <c r="AY268" s="446"/>
      <c r="AZ268" s="446"/>
      <c r="BA268" s="446"/>
      <c r="BB268" s="446"/>
      <c r="BC268" s="446"/>
      <c r="BD268" s="446"/>
      <c r="BE268" s="446"/>
      <c r="BF268" s="446"/>
      <c r="BG268" s="446"/>
      <c r="BH268" s="446"/>
      <c r="BI268" s="446"/>
      <c r="BJ268" s="446"/>
      <c r="BK268" s="446"/>
      <c r="BL268" s="446"/>
    </row>
    <row r="269" spans="4:64" x14ac:dyDescent="0.2">
      <c r="D269" s="446"/>
      <c r="E269" s="446"/>
      <c r="F269" s="446"/>
      <c r="G269" s="446"/>
      <c r="H269" s="446"/>
      <c r="I269" s="446"/>
      <c r="J269" s="446"/>
      <c r="K269" s="446"/>
      <c r="L269" s="446"/>
      <c r="M269" s="446"/>
      <c r="N269" s="446"/>
      <c r="O269" s="446"/>
      <c r="P269" s="446"/>
      <c r="Q269" s="446"/>
      <c r="R269" s="446"/>
      <c r="S269" s="446"/>
      <c r="T269" s="446"/>
      <c r="U269" s="446"/>
      <c r="V269" s="446"/>
      <c r="W269" s="446"/>
      <c r="X269" s="446"/>
      <c r="Y269" s="446"/>
      <c r="Z269" s="446"/>
      <c r="AA269" s="446"/>
      <c r="AB269" s="446"/>
      <c r="AC269" s="446"/>
      <c r="AD269" s="446"/>
      <c r="AE269" s="446"/>
      <c r="AF269" s="446"/>
      <c r="AG269" s="446"/>
      <c r="AH269" s="446"/>
      <c r="AI269" s="446"/>
      <c r="AJ269" s="446"/>
      <c r="AK269" s="446"/>
      <c r="AL269" s="446"/>
      <c r="AM269" s="446"/>
      <c r="AN269" s="446"/>
      <c r="AO269" s="446"/>
      <c r="AP269" s="446"/>
      <c r="AQ269" s="446"/>
      <c r="AR269" s="446"/>
      <c r="AS269" s="446"/>
      <c r="AT269" s="446"/>
      <c r="AU269" s="446"/>
      <c r="AV269" s="446"/>
      <c r="AW269" s="446"/>
      <c r="AX269" s="446"/>
      <c r="AY269" s="446"/>
      <c r="AZ269" s="446"/>
      <c r="BA269" s="446"/>
      <c r="BB269" s="446"/>
      <c r="BC269" s="446"/>
      <c r="BD269" s="446"/>
      <c r="BE269" s="446"/>
      <c r="BF269" s="446"/>
      <c r="BG269" s="446"/>
      <c r="BH269" s="446"/>
      <c r="BI269" s="446"/>
      <c r="BJ269" s="446"/>
      <c r="BK269" s="446"/>
      <c r="BL269" s="446"/>
    </row>
    <row r="270" spans="4:64" x14ac:dyDescent="0.2">
      <c r="D270" s="446"/>
      <c r="E270" s="446"/>
      <c r="F270" s="446"/>
      <c r="G270" s="446"/>
      <c r="H270" s="446"/>
      <c r="I270" s="446"/>
      <c r="J270" s="446"/>
      <c r="K270" s="446"/>
      <c r="L270" s="446"/>
      <c r="M270" s="446"/>
      <c r="N270" s="446"/>
      <c r="O270" s="446"/>
      <c r="P270" s="446"/>
      <c r="Q270" s="446"/>
      <c r="R270" s="446"/>
      <c r="S270" s="446"/>
      <c r="T270" s="446"/>
      <c r="U270" s="446"/>
      <c r="V270" s="446"/>
      <c r="W270" s="446"/>
      <c r="X270" s="446"/>
      <c r="Y270" s="446"/>
      <c r="Z270" s="446"/>
      <c r="AA270" s="446"/>
      <c r="AB270" s="446"/>
      <c r="AC270" s="446"/>
      <c r="AD270" s="446"/>
      <c r="AE270" s="446"/>
      <c r="AF270" s="446"/>
      <c r="AG270" s="446"/>
      <c r="AH270" s="446"/>
      <c r="AI270" s="446"/>
      <c r="AJ270" s="446"/>
      <c r="AK270" s="446"/>
      <c r="AL270" s="446"/>
      <c r="AM270" s="446"/>
      <c r="AN270" s="446"/>
      <c r="AO270" s="446"/>
      <c r="AP270" s="446"/>
      <c r="AQ270" s="446"/>
      <c r="AR270" s="446"/>
      <c r="AS270" s="446"/>
      <c r="AT270" s="446"/>
      <c r="AU270" s="446"/>
      <c r="AV270" s="446"/>
      <c r="AW270" s="446"/>
      <c r="AX270" s="446"/>
      <c r="AY270" s="446"/>
      <c r="AZ270" s="446"/>
      <c r="BA270" s="446"/>
      <c r="BB270" s="446"/>
      <c r="BC270" s="446"/>
      <c r="BD270" s="446"/>
      <c r="BE270" s="446"/>
      <c r="BF270" s="446"/>
      <c r="BG270" s="446"/>
      <c r="BH270" s="446"/>
      <c r="BI270" s="446"/>
      <c r="BJ270" s="446"/>
      <c r="BK270" s="446"/>
      <c r="BL270" s="446"/>
    </row>
    <row r="271" spans="4:64" x14ac:dyDescent="0.2">
      <c r="D271" s="446"/>
      <c r="E271" s="446"/>
      <c r="F271" s="446"/>
      <c r="G271" s="446"/>
      <c r="H271" s="446"/>
      <c r="I271" s="446"/>
      <c r="J271" s="446"/>
      <c r="K271" s="446"/>
      <c r="L271" s="446"/>
      <c r="M271" s="446"/>
      <c r="N271" s="446"/>
      <c r="O271" s="446"/>
      <c r="P271" s="446"/>
      <c r="Q271" s="446"/>
      <c r="R271" s="446"/>
      <c r="S271" s="446"/>
      <c r="T271" s="446"/>
      <c r="U271" s="446"/>
      <c r="V271" s="446"/>
      <c r="W271" s="446"/>
      <c r="X271" s="446"/>
      <c r="Y271" s="446"/>
      <c r="Z271" s="446"/>
      <c r="AA271" s="446"/>
      <c r="AB271" s="446"/>
      <c r="AC271" s="446"/>
      <c r="AD271" s="446"/>
      <c r="AE271" s="446"/>
      <c r="AF271" s="446"/>
      <c r="AG271" s="446"/>
      <c r="AH271" s="446"/>
      <c r="AI271" s="446"/>
      <c r="AJ271" s="446"/>
      <c r="AK271" s="446"/>
      <c r="AL271" s="446"/>
      <c r="AM271" s="446"/>
      <c r="AN271" s="446"/>
      <c r="AO271" s="446"/>
      <c r="AP271" s="446"/>
      <c r="AQ271" s="446"/>
      <c r="AR271" s="446"/>
      <c r="AS271" s="446"/>
      <c r="AT271" s="446"/>
      <c r="AU271" s="446"/>
      <c r="AV271" s="446"/>
      <c r="AW271" s="446"/>
      <c r="AX271" s="446"/>
      <c r="AY271" s="446"/>
      <c r="AZ271" s="446"/>
      <c r="BA271" s="446"/>
      <c r="BB271" s="446"/>
      <c r="BC271" s="446"/>
      <c r="BD271" s="446"/>
      <c r="BE271" s="446"/>
      <c r="BF271" s="446"/>
      <c r="BG271" s="446"/>
      <c r="BH271" s="446"/>
      <c r="BI271" s="446"/>
      <c r="BJ271" s="446"/>
      <c r="BK271" s="446"/>
      <c r="BL271" s="446"/>
    </row>
    <row r="272" spans="4:64" x14ac:dyDescent="0.2">
      <c r="D272" s="446"/>
      <c r="E272" s="446"/>
      <c r="F272" s="446"/>
      <c r="G272" s="446"/>
      <c r="H272" s="446"/>
      <c r="I272" s="446"/>
      <c r="J272" s="446"/>
      <c r="K272" s="446"/>
      <c r="L272" s="446"/>
      <c r="M272" s="446"/>
      <c r="N272" s="446"/>
      <c r="O272" s="446"/>
      <c r="P272" s="446"/>
      <c r="Q272" s="446"/>
      <c r="R272" s="446"/>
      <c r="S272" s="446"/>
      <c r="T272" s="446"/>
      <c r="U272" s="446"/>
      <c r="V272" s="446"/>
      <c r="W272" s="446"/>
      <c r="X272" s="446"/>
      <c r="Y272" s="446"/>
      <c r="Z272" s="446"/>
      <c r="AA272" s="446"/>
      <c r="AB272" s="446"/>
      <c r="AC272" s="446"/>
      <c r="AD272" s="446"/>
      <c r="AE272" s="446"/>
      <c r="AF272" s="446"/>
      <c r="AG272" s="446"/>
      <c r="AH272" s="446"/>
      <c r="AI272" s="446"/>
      <c r="AJ272" s="446"/>
      <c r="AK272" s="446"/>
      <c r="AL272" s="446"/>
      <c r="AM272" s="446"/>
      <c r="AN272" s="446"/>
      <c r="AO272" s="446"/>
      <c r="AP272" s="446"/>
      <c r="AQ272" s="446"/>
      <c r="AR272" s="446"/>
      <c r="AS272" s="446"/>
      <c r="AT272" s="446"/>
      <c r="AU272" s="446"/>
      <c r="AV272" s="446"/>
      <c r="AW272" s="446"/>
      <c r="AX272" s="446"/>
      <c r="AY272" s="446"/>
      <c r="AZ272" s="446"/>
      <c r="BA272" s="446"/>
      <c r="BB272" s="446"/>
      <c r="BC272" s="446"/>
      <c r="BD272" s="446"/>
      <c r="BE272" s="446"/>
      <c r="BF272" s="446"/>
      <c r="BG272" s="446"/>
      <c r="BH272" s="446"/>
      <c r="BI272" s="446"/>
      <c r="BJ272" s="446"/>
      <c r="BK272" s="446"/>
      <c r="BL272" s="446"/>
    </row>
    <row r="273" spans="4:64" x14ac:dyDescent="0.2">
      <c r="D273" s="446"/>
      <c r="E273" s="446"/>
      <c r="F273" s="446"/>
      <c r="G273" s="446"/>
      <c r="H273" s="446"/>
      <c r="I273" s="446"/>
      <c r="J273" s="446"/>
      <c r="K273" s="446"/>
      <c r="L273" s="446"/>
      <c r="M273" s="446"/>
      <c r="N273" s="446"/>
      <c r="O273" s="446"/>
      <c r="P273" s="446"/>
      <c r="Q273" s="446"/>
      <c r="R273" s="446"/>
      <c r="S273" s="446"/>
      <c r="T273" s="446"/>
      <c r="U273" s="446"/>
      <c r="V273" s="446"/>
      <c r="W273" s="446"/>
      <c r="X273" s="446"/>
      <c r="Y273" s="446"/>
      <c r="Z273" s="446"/>
      <c r="AA273" s="446"/>
      <c r="AB273" s="446"/>
      <c r="AC273" s="446"/>
      <c r="AD273" s="446"/>
      <c r="AE273" s="446"/>
      <c r="AF273" s="446"/>
      <c r="AG273" s="446"/>
      <c r="AH273" s="446"/>
      <c r="AI273" s="446"/>
      <c r="AJ273" s="446"/>
      <c r="AK273" s="446"/>
      <c r="AL273" s="446"/>
      <c r="AM273" s="446"/>
      <c r="AN273" s="446"/>
      <c r="AO273" s="446"/>
      <c r="AP273" s="446"/>
      <c r="AQ273" s="446"/>
      <c r="AR273" s="446"/>
      <c r="AS273" s="446"/>
      <c r="AT273" s="446"/>
      <c r="AU273" s="446"/>
      <c r="AV273" s="446"/>
      <c r="AW273" s="446"/>
      <c r="AX273" s="446"/>
      <c r="AY273" s="446"/>
      <c r="AZ273" s="446"/>
      <c r="BA273" s="446"/>
      <c r="BB273" s="446"/>
      <c r="BC273" s="446"/>
      <c r="BD273" s="446"/>
      <c r="BE273" s="446"/>
      <c r="BF273" s="446"/>
      <c r="BG273" s="446"/>
      <c r="BH273" s="446"/>
      <c r="BI273" s="446"/>
      <c r="BJ273" s="446"/>
      <c r="BK273" s="446"/>
      <c r="BL273" s="446"/>
    </row>
    <row r="274" spans="4:64" x14ac:dyDescent="0.2">
      <c r="D274" s="446"/>
      <c r="E274" s="446"/>
      <c r="F274" s="446"/>
      <c r="G274" s="446"/>
      <c r="H274" s="446"/>
      <c r="I274" s="446"/>
      <c r="J274" s="446"/>
      <c r="K274" s="446"/>
      <c r="L274" s="446"/>
      <c r="M274" s="446"/>
      <c r="N274" s="446"/>
      <c r="O274" s="446"/>
      <c r="P274" s="446"/>
      <c r="Q274" s="446"/>
      <c r="R274" s="446"/>
      <c r="S274" s="446"/>
      <c r="T274" s="446"/>
      <c r="U274" s="446"/>
      <c r="V274" s="446"/>
      <c r="W274" s="446"/>
      <c r="X274" s="446"/>
      <c r="Y274" s="446"/>
      <c r="Z274" s="446"/>
      <c r="AA274" s="446"/>
      <c r="AB274" s="446"/>
      <c r="AC274" s="446"/>
      <c r="AD274" s="446"/>
      <c r="AE274" s="446"/>
      <c r="AF274" s="446"/>
      <c r="AG274" s="446"/>
      <c r="AH274" s="446"/>
      <c r="AI274" s="446"/>
      <c r="AJ274" s="446"/>
      <c r="AK274" s="446"/>
      <c r="AL274" s="446"/>
      <c r="AM274" s="446"/>
      <c r="AN274" s="446"/>
      <c r="AO274" s="446"/>
      <c r="AP274" s="446"/>
      <c r="AQ274" s="446"/>
      <c r="AR274" s="446"/>
      <c r="AS274" s="446"/>
      <c r="AT274" s="446"/>
      <c r="AU274" s="446"/>
      <c r="AV274" s="446"/>
      <c r="AW274" s="446"/>
      <c r="AX274" s="446"/>
      <c r="AY274" s="446"/>
      <c r="AZ274" s="446"/>
      <c r="BA274" s="446"/>
      <c r="BB274" s="446"/>
      <c r="BC274" s="446"/>
      <c r="BD274" s="446"/>
      <c r="BE274" s="446"/>
      <c r="BF274" s="446"/>
      <c r="BG274" s="446"/>
      <c r="BH274" s="446"/>
      <c r="BI274" s="446"/>
      <c r="BJ274" s="446"/>
      <c r="BK274" s="446"/>
      <c r="BL274" s="446"/>
    </row>
    <row r="275" spans="4:64" x14ac:dyDescent="0.2">
      <c r="D275" s="446"/>
      <c r="E275" s="446"/>
      <c r="F275" s="446"/>
      <c r="G275" s="446"/>
      <c r="H275" s="446"/>
      <c r="I275" s="446"/>
      <c r="J275" s="446"/>
      <c r="K275" s="446"/>
      <c r="L275" s="446"/>
      <c r="M275" s="446"/>
      <c r="N275" s="446"/>
      <c r="O275" s="446"/>
      <c r="P275" s="446"/>
      <c r="Q275" s="446"/>
      <c r="R275" s="446"/>
      <c r="S275" s="446"/>
      <c r="T275" s="446"/>
      <c r="U275" s="446"/>
      <c r="V275" s="446"/>
      <c r="W275" s="446"/>
      <c r="X275" s="446"/>
      <c r="Y275" s="446"/>
      <c r="Z275" s="446"/>
      <c r="AA275" s="446"/>
      <c r="AB275" s="446"/>
      <c r="AC275" s="446"/>
      <c r="AD275" s="446"/>
      <c r="AE275" s="446"/>
      <c r="AF275" s="446"/>
      <c r="AG275" s="446"/>
      <c r="AH275" s="446"/>
      <c r="AI275" s="446"/>
      <c r="AJ275" s="446"/>
      <c r="AK275" s="446"/>
      <c r="AL275" s="446"/>
      <c r="AM275" s="446"/>
      <c r="AN275" s="446"/>
      <c r="AO275" s="446"/>
      <c r="AP275" s="446"/>
      <c r="AQ275" s="446"/>
      <c r="AR275" s="446"/>
      <c r="AS275" s="446"/>
      <c r="AT275" s="446"/>
      <c r="AU275" s="446"/>
      <c r="AV275" s="446"/>
      <c r="AW275" s="446"/>
      <c r="AX275" s="446"/>
      <c r="AY275" s="446"/>
      <c r="AZ275" s="446"/>
      <c r="BA275" s="446"/>
      <c r="BB275" s="446"/>
      <c r="BC275" s="446"/>
      <c r="BD275" s="446"/>
      <c r="BE275" s="446"/>
      <c r="BF275" s="446"/>
      <c r="BG275" s="446"/>
      <c r="BH275" s="446"/>
      <c r="BI275" s="446"/>
      <c r="BJ275" s="446"/>
      <c r="BK275" s="446"/>
      <c r="BL275" s="446"/>
    </row>
    <row r="276" spans="4:64" x14ac:dyDescent="0.2">
      <c r="D276" s="446"/>
      <c r="E276" s="446"/>
      <c r="F276" s="446"/>
      <c r="G276" s="446"/>
      <c r="H276" s="446"/>
      <c r="I276" s="446"/>
      <c r="J276" s="446"/>
      <c r="K276" s="446"/>
      <c r="L276" s="446"/>
      <c r="M276" s="446"/>
      <c r="N276" s="446"/>
      <c r="O276" s="446"/>
      <c r="P276" s="446"/>
      <c r="Q276" s="446"/>
      <c r="R276" s="446"/>
      <c r="S276" s="446"/>
      <c r="T276" s="446"/>
      <c r="U276" s="446"/>
      <c r="V276" s="446"/>
      <c r="W276" s="446"/>
      <c r="X276" s="446"/>
      <c r="Y276" s="446"/>
      <c r="Z276" s="446"/>
      <c r="AA276" s="446"/>
      <c r="AB276" s="446"/>
      <c r="AC276" s="446"/>
      <c r="AD276" s="446"/>
      <c r="AE276" s="446"/>
      <c r="AF276" s="446"/>
      <c r="AG276" s="446"/>
      <c r="AH276" s="446"/>
      <c r="AI276" s="446"/>
      <c r="AJ276" s="446"/>
      <c r="AK276" s="446"/>
      <c r="AL276" s="446"/>
      <c r="AM276" s="446"/>
      <c r="AN276" s="446"/>
      <c r="AO276" s="446"/>
      <c r="AP276" s="446"/>
      <c r="AQ276" s="446"/>
      <c r="AR276" s="446"/>
      <c r="AS276" s="446"/>
      <c r="AT276" s="446"/>
      <c r="AU276" s="446"/>
      <c r="AV276" s="446"/>
      <c r="AW276" s="446"/>
      <c r="AX276" s="446"/>
      <c r="AY276" s="446"/>
      <c r="AZ276" s="446"/>
      <c r="BA276" s="446"/>
      <c r="BB276" s="446"/>
      <c r="BC276" s="446"/>
      <c r="BD276" s="446"/>
      <c r="BE276" s="446"/>
      <c r="BF276" s="446"/>
      <c r="BG276" s="446"/>
      <c r="BH276" s="446"/>
      <c r="BI276" s="446"/>
      <c r="BJ276" s="446"/>
      <c r="BK276" s="446"/>
      <c r="BL276" s="446"/>
    </row>
    <row r="277" spans="4:64" x14ac:dyDescent="0.2">
      <c r="D277" s="446"/>
      <c r="E277" s="446"/>
      <c r="F277" s="446"/>
      <c r="G277" s="446"/>
      <c r="H277" s="446"/>
      <c r="I277" s="446"/>
      <c r="J277" s="446"/>
      <c r="K277" s="446"/>
      <c r="L277" s="446"/>
      <c r="M277" s="446"/>
      <c r="N277" s="446"/>
      <c r="O277" s="446"/>
      <c r="P277" s="446"/>
      <c r="Q277" s="446"/>
      <c r="R277" s="446"/>
      <c r="S277" s="446"/>
      <c r="T277" s="446"/>
      <c r="U277" s="446"/>
      <c r="V277" s="446"/>
      <c r="W277" s="446"/>
      <c r="X277" s="446"/>
      <c r="Y277" s="446"/>
      <c r="Z277" s="446"/>
      <c r="AA277" s="446"/>
      <c r="AB277" s="446"/>
      <c r="AC277" s="446"/>
      <c r="AD277" s="446"/>
      <c r="AE277" s="446"/>
      <c r="AF277" s="446"/>
      <c r="AG277" s="446"/>
      <c r="AH277" s="446"/>
      <c r="AI277" s="446"/>
      <c r="AJ277" s="446"/>
      <c r="AK277" s="446"/>
      <c r="AL277" s="446"/>
      <c r="AM277" s="446"/>
      <c r="AN277" s="446"/>
      <c r="AO277" s="446"/>
      <c r="AP277" s="446"/>
      <c r="AQ277" s="446"/>
      <c r="AR277" s="446"/>
      <c r="AS277" s="446"/>
      <c r="AT277" s="446"/>
      <c r="AU277" s="446"/>
      <c r="AV277" s="446"/>
      <c r="AW277" s="446"/>
      <c r="AX277" s="446"/>
      <c r="AY277" s="446"/>
      <c r="AZ277" s="446"/>
      <c r="BA277" s="446"/>
      <c r="BB277" s="446"/>
      <c r="BC277" s="446"/>
      <c r="BD277" s="446"/>
      <c r="BE277" s="446"/>
      <c r="BF277" s="446"/>
      <c r="BG277" s="446"/>
      <c r="BH277" s="446"/>
      <c r="BI277" s="446"/>
      <c r="BJ277" s="446"/>
      <c r="BK277" s="446"/>
      <c r="BL277" s="446"/>
    </row>
    <row r="278" spans="4:64" x14ac:dyDescent="0.2">
      <c r="D278" s="446"/>
      <c r="E278" s="446"/>
      <c r="F278" s="446"/>
      <c r="G278" s="446"/>
      <c r="H278" s="446"/>
      <c r="I278" s="446"/>
      <c r="J278" s="446"/>
      <c r="K278" s="446"/>
      <c r="L278" s="446"/>
      <c r="M278" s="446"/>
      <c r="N278" s="446"/>
      <c r="O278" s="446"/>
      <c r="P278" s="446"/>
      <c r="Q278" s="446"/>
      <c r="R278" s="446"/>
      <c r="S278" s="446"/>
      <c r="T278" s="446"/>
      <c r="U278" s="446"/>
      <c r="V278" s="446"/>
      <c r="W278" s="446"/>
      <c r="X278" s="446"/>
      <c r="Y278" s="446"/>
      <c r="Z278" s="446"/>
      <c r="AA278" s="446"/>
      <c r="AB278" s="446"/>
      <c r="AC278" s="446"/>
      <c r="AD278" s="446"/>
      <c r="AE278" s="446"/>
      <c r="AF278" s="446"/>
      <c r="AG278" s="446"/>
      <c r="AH278" s="446"/>
      <c r="AI278" s="446"/>
      <c r="AJ278" s="446"/>
      <c r="AK278" s="446"/>
      <c r="AL278" s="446"/>
      <c r="AM278" s="446"/>
      <c r="AN278" s="446"/>
      <c r="AO278" s="446"/>
      <c r="AP278" s="446"/>
      <c r="AQ278" s="446"/>
      <c r="AR278" s="446"/>
      <c r="AS278" s="446"/>
      <c r="AT278" s="446"/>
      <c r="AU278" s="446"/>
      <c r="AV278" s="446"/>
      <c r="AW278" s="446"/>
      <c r="AX278" s="446"/>
      <c r="AY278" s="446"/>
      <c r="AZ278" s="446"/>
      <c r="BA278" s="446"/>
      <c r="BB278" s="446"/>
      <c r="BC278" s="446"/>
      <c r="BD278" s="446"/>
      <c r="BE278" s="446"/>
      <c r="BF278" s="446"/>
      <c r="BG278" s="446"/>
      <c r="BH278" s="446"/>
      <c r="BI278" s="446"/>
      <c r="BJ278" s="446"/>
      <c r="BK278" s="446"/>
      <c r="BL278" s="446"/>
    </row>
    <row r="279" spans="4:64" x14ac:dyDescent="0.2">
      <c r="D279" s="446"/>
      <c r="E279" s="446"/>
      <c r="F279" s="446"/>
      <c r="G279" s="446"/>
      <c r="H279" s="446"/>
      <c r="I279" s="446"/>
      <c r="J279" s="446"/>
      <c r="K279" s="446"/>
      <c r="L279" s="446"/>
      <c r="M279" s="446"/>
      <c r="N279" s="446"/>
      <c r="O279" s="446"/>
      <c r="P279" s="446"/>
      <c r="Q279" s="446"/>
      <c r="R279" s="446"/>
      <c r="S279" s="446"/>
      <c r="T279" s="446"/>
      <c r="U279" s="446"/>
      <c r="V279" s="446"/>
      <c r="W279" s="446"/>
      <c r="X279" s="446"/>
      <c r="Y279" s="446"/>
      <c r="Z279" s="446"/>
      <c r="AA279" s="446"/>
      <c r="AB279" s="446"/>
      <c r="AC279" s="446"/>
      <c r="AD279" s="446"/>
      <c r="AE279" s="446"/>
      <c r="AF279" s="446"/>
      <c r="AG279" s="446"/>
      <c r="AH279" s="446"/>
      <c r="AI279" s="446"/>
      <c r="AJ279" s="446"/>
      <c r="AK279" s="446"/>
      <c r="AL279" s="446"/>
      <c r="AM279" s="446"/>
      <c r="AN279" s="446"/>
      <c r="AO279" s="446"/>
      <c r="AP279" s="446"/>
      <c r="AQ279" s="446"/>
      <c r="AR279" s="446"/>
      <c r="AS279" s="446"/>
      <c r="AT279" s="446"/>
      <c r="AU279" s="446"/>
      <c r="AV279" s="446"/>
      <c r="AW279" s="446"/>
      <c r="AX279" s="446"/>
      <c r="AY279" s="446"/>
      <c r="AZ279" s="446"/>
      <c r="BA279" s="446"/>
      <c r="BB279" s="446"/>
      <c r="BC279" s="446"/>
      <c r="BD279" s="446"/>
      <c r="BE279" s="446"/>
      <c r="BF279" s="446"/>
      <c r="BG279" s="446"/>
      <c r="BH279" s="446"/>
      <c r="BI279" s="446"/>
      <c r="BJ279" s="446"/>
      <c r="BK279" s="446"/>
      <c r="BL279" s="446"/>
    </row>
    <row r="280" spans="4:64" x14ac:dyDescent="0.2">
      <c r="D280" s="446"/>
      <c r="E280" s="446"/>
      <c r="F280" s="446"/>
      <c r="G280" s="446"/>
      <c r="H280" s="446"/>
      <c r="I280" s="446"/>
      <c r="J280" s="446"/>
      <c r="K280" s="446"/>
      <c r="L280" s="446"/>
      <c r="M280" s="446"/>
      <c r="N280" s="446"/>
      <c r="O280" s="446"/>
      <c r="P280" s="446"/>
      <c r="Q280" s="446"/>
      <c r="R280" s="446"/>
      <c r="S280" s="446"/>
      <c r="T280" s="446"/>
      <c r="U280" s="446"/>
      <c r="V280" s="446"/>
      <c r="W280" s="446"/>
      <c r="X280" s="446"/>
      <c r="Y280" s="446"/>
      <c r="Z280" s="446"/>
      <c r="AA280" s="446"/>
      <c r="AB280" s="446"/>
      <c r="AC280" s="446"/>
      <c r="AD280" s="446"/>
      <c r="AE280" s="446"/>
      <c r="AF280" s="446"/>
      <c r="AG280" s="446"/>
      <c r="AH280" s="446"/>
      <c r="AI280" s="446"/>
      <c r="AJ280" s="446"/>
      <c r="AK280" s="446"/>
      <c r="AL280" s="446"/>
      <c r="AM280" s="446"/>
      <c r="AN280" s="446"/>
      <c r="AO280" s="446"/>
      <c r="AP280" s="446"/>
      <c r="AQ280" s="446"/>
      <c r="AR280" s="446"/>
      <c r="AS280" s="446"/>
      <c r="AT280" s="446"/>
      <c r="AU280" s="446"/>
      <c r="AV280" s="446"/>
      <c r="AW280" s="446"/>
      <c r="AX280" s="446"/>
      <c r="AY280" s="446"/>
      <c r="AZ280" s="446"/>
      <c r="BA280" s="446"/>
      <c r="BB280" s="446"/>
      <c r="BC280" s="446"/>
      <c r="BD280" s="446"/>
      <c r="BE280" s="446"/>
      <c r="BF280" s="446"/>
      <c r="BG280" s="446"/>
      <c r="BH280" s="446"/>
      <c r="BI280" s="446"/>
      <c r="BJ280" s="446"/>
      <c r="BK280" s="446"/>
      <c r="BL280" s="446"/>
    </row>
    <row r="281" spans="4:64" x14ac:dyDescent="0.2">
      <c r="D281" s="446"/>
      <c r="E281" s="446"/>
      <c r="F281" s="446"/>
      <c r="G281" s="446"/>
      <c r="H281" s="446"/>
      <c r="I281" s="446"/>
      <c r="J281" s="446"/>
      <c r="K281" s="446"/>
      <c r="L281" s="446"/>
      <c r="M281" s="446"/>
      <c r="N281" s="446"/>
      <c r="O281" s="446"/>
      <c r="P281" s="446"/>
      <c r="Q281" s="446"/>
      <c r="R281" s="446"/>
      <c r="S281" s="446"/>
      <c r="T281" s="446"/>
      <c r="U281" s="446"/>
      <c r="V281" s="446"/>
      <c r="W281" s="446"/>
      <c r="X281" s="446"/>
      <c r="Y281" s="446"/>
      <c r="Z281" s="446"/>
      <c r="AA281" s="446"/>
      <c r="AB281" s="446"/>
      <c r="AC281" s="446"/>
      <c r="AD281" s="446"/>
      <c r="AE281" s="446"/>
      <c r="AF281" s="446"/>
      <c r="AG281" s="446"/>
      <c r="AH281" s="446"/>
      <c r="AI281" s="446"/>
      <c r="AJ281" s="446"/>
      <c r="AK281" s="446"/>
      <c r="AL281" s="446"/>
      <c r="AM281" s="446"/>
      <c r="AN281" s="446"/>
      <c r="AO281" s="446"/>
      <c r="AP281" s="446"/>
      <c r="AQ281" s="446"/>
      <c r="AR281" s="446"/>
      <c r="AS281" s="446"/>
      <c r="AT281" s="446"/>
      <c r="AU281" s="446"/>
      <c r="AV281" s="446"/>
      <c r="AW281" s="446"/>
      <c r="AX281" s="446"/>
      <c r="AY281" s="446"/>
      <c r="AZ281" s="446"/>
      <c r="BA281" s="446"/>
      <c r="BB281" s="446"/>
      <c r="BC281" s="446"/>
      <c r="BD281" s="446"/>
      <c r="BE281" s="446"/>
      <c r="BF281" s="446"/>
      <c r="BG281" s="446"/>
      <c r="BH281" s="446"/>
      <c r="BI281" s="446"/>
      <c r="BJ281" s="446"/>
      <c r="BK281" s="446"/>
      <c r="BL281" s="446"/>
    </row>
    <row r="282" spans="4:64" x14ac:dyDescent="0.2">
      <c r="D282" s="446"/>
      <c r="E282" s="446"/>
      <c r="F282" s="446"/>
      <c r="G282" s="446"/>
      <c r="H282" s="446"/>
      <c r="I282" s="446"/>
      <c r="J282" s="446"/>
      <c r="K282" s="446"/>
      <c r="L282" s="446"/>
      <c r="M282" s="446"/>
      <c r="N282" s="446"/>
      <c r="O282" s="446"/>
      <c r="P282" s="446"/>
      <c r="Q282" s="446"/>
      <c r="R282" s="446"/>
      <c r="S282" s="446"/>
      <c r="T282" s="446"/>
      <c r="U282" s="446"/>
      <c r="V282" s="446"/>
      <c r="W282" s="446"/>
      <c r="X282" s="446"/>
      <c r="Y282" s="446"/>
      <c r="Z282" s="446"/>
      <c r="AA282" s="446"/>
      <c r="AB282" s="446"/>
      <c r="AC282" s="446"/>
      <c r="AD282" s="446"/>
      <c r="AE282" s="446"/>
      <c r="AF282" s="446"/>
      <c r="AG282" s="446"/>
      <c r="AH282" s="446"/>
      <c r="AI282" s="446"/>
      <c r="AJ282" s="446"/>
      <c r="AK282" s="446"/>
      <c r="AL282" s="446"/>
      <c r="AM282" s="446"/>
      <c r="AN282" s="446"/>
      <c r="AO282" s="446"/>
      <c r="AP282" s="446"/>
      <c r="AQ282" s="446"/>
      <c r="AR282" s="446"/>
      <c r="AS282" s="446"/>
      <c r="AT282" s="446"/>
      <c r="AU282" s="446"/>
      <c r="AV282" s="446"/>
      <c r="AW282" s="446"/>
      <c r="AX282" s="446"/>
      <c r="AY282" s="446"/>
      <c r="AZ282" s="446"/>
      <c r="BA282" s="446"/>
      <c r="BB282" s="446"/>
      <c r="BC282" s="446"/>
      <c r="BD282" s="446"/>
      <c r="BE282" s="446"/>
      <c r="BF282" s="446"/>
      <c r="BG282" s="446"/>
      <c r="BH282" s="446"/>
      <c r="BI282" s="446"/>
      <c r="BJ282" s="446"/>
      <c r="BK282" s="446"/>
      <c r="BL282" s="446"/>
    </row>
    <row r="283" spans="4:64" x14ac:dyDescent="0.2">
      <c r="D283" s="446"/>
      <c r="E283" s="446"/>
      <c r="F283" s="446"/>
      <c r="G283" s="446"/>
      <c r="H283" s="446"/>
      <c r="I283" s="446"/>
      <c r="J283" s="446"/>
      <c r="K283" s="446"/>
      <c r="L283" s="446"/>
      <c r="M283" s="446"/>
      <c r="N283" s="446"/>
      <c r="O283" s="446"/>
      <c r="P283" s="446"/>
      <c r="Q283" s="446"/>
      <c r="R283" s="446"/>
      <c r="S283" s="446"/>
      <c r="T283" s="446"/>
      <c r="U283" s="446"/>
      <c r="V283" s="446"/>
      <c r="W283" s="446"/>
      <c r="X283" s="446"/>
      <c r="Y283" s="446"/>
      <c r="Z283" s="446"/>
      <c r="AA283" s="446"/>
      <c r="AB283" s="446"/>
      <c r="AC283" s="446"/>
      <c r="AD283" s="446"/>
      <c r="AE283" s="446"/>
      <c r="AF283" s="446"/>
      <c r="AG283" s="446"/>
      <c r="AH283" s="446"/>
      <c r="AI283" s="446"/>
      <c r="AJ283" s="446"/>
      <c r="AK283" s="446"/>
      <c r="AL283" s="446"/>
      <c r="AM283" s="446"/>
      <c r="AN283" s="446"/>
      <c r="AO283" s="446"/>
      <c r="AP283" s="446"/>
      <c r="AQ283" s="446"/>
      <c r="AR283" s="446"/>
      <c r="AS283" s="446"/>
      <c r="AT283" s="446"/>
      <c r="AU283" s="446"/>
      <c r="AV283" s="446"/>
      <c r="AW283" s="446"/>
      <c r="AX283" s="446"/>
      <c r="AY283" s="446"/>
      <c r="AZ283" s="446"/>
      <c r="BA283" s="446"/>
      <c r="BB283" s="446"/>
      <c r="BC283" s="446"/>
      <c r="BD283" s="446"/>
      <c r="BE283" s="446"/>
      <c r="BF283" s="446"/>
      <c r="BG283" s="446"/>
      <c r="BH283" s="446"/>
      <c r="BI283" s="446"/>
      <c r="BJ283" s="446"/>
      <c r="BK283" s="446"/>
      <c r="BL283" s="446"/>
    </row>
    <row r="284" spans="4:64" x14ac:dyDescent="0.2">
      <c r="D284" s="446"/>
      <c r="E284" s="446"/>
      <c r="F284" s="446"/>
      <c r="G284" s="446"/>
      <c r="H284" s="446"/>
      <c r="I284" s="446"/>
      <c r="J284" s="446"/>
      <c r="K284" s="446"/>
      <c r="L284" s="446"/>
      <c r="M284" s="446"/>
      <c r="N284" s="446"/>
      <c r="O284" s="446"/>
      <c r="P284" s="446"/>
      <c r="Q284" s="446"/>
      <c r="R284" s="446"/>
      <c r="S284" s="446"/>
      <c r="T284" s="446"/>
      <c r="U284" s="446"/>
      <c r="V284" s="446"/>
      <c r="W284" s="446"/>
      <c r="X284" s="446"/>
      <c r="Y284" s="446"/>
      <c r="Z284" s="446"/>
      <c r="AA284" s="446"/>
      <c r="AB284" s="446"/>
      <c r="AC284" s="446"/>
      <c r="AD284" s="446"/>
      <c r="AE284" s="446"/>
      <c r="AF284" s="446"/>
      <c r="AG284" s="446"/>
      <c r="AH284" s="446"/>
      <c r="AI284" s="446"/>
      <c r="AJ284" s="446"/>
      <c r="AK284" s="446"/>
      <c r="AL284" s="446"/>
      <c r="AM284" s="446"/>
      <c r="AN284" s="446"/>
      <c r="AO284" s="446"/>
      <c r="AP284" s="446"/>
      <c r="AQ284" s="446"/>
      <c r="AR284" s="446"/>
      <c r="AS284" s="446"/>
      <c r="AT284" s="446"/>
      <c r="AU284" s="446"/>
      <c r="AV284" s="446"/>
      <c r="AW284" s="446"/>
      <c r="AX284" s="446"/>
      <c r="AY284" s="446"/>
      <c r="AZ284" s="446"/>
      <c r="BA284" s="446"/>
      <c r="BB284" s="446"/>
      <c r="BC284" s="446"/>
      <c r="BD284" s="446"/>
      <c r="BE284" s="446"/>
      <c r="BF284" s="446"/>
      <c r="BG284" s="446"/>
      <c r="BH284" s="446"/>
      <c r="BI284" s="446"/>
      <c r="BJ284" s="446"/>
      <c r="BK284" s="446"/>
      <c r="BL284" s="446"/>
    </row>
    <row r="285" spans="4:64" x14ac:dyDescent="0.2">
      <c r="D285" s="446"/>
      <c r="E285" s="446"/>
      <c r="F285" s="446"/>
      <c r="G285" s="446"/>
      <c r="H285" s="446"/>
      <c r="I285" s="446"/>
      <c r="J285" s="446"/>
      <c r="K285" s="446"/>
      <c r="L285" s="446"/>
      <c r="M285" s="446"/>
      <c r="N285" s="446"/>
      <c r="O285" s="446"/>
      <c r="P285" s="446"/>
      <c r="Q285" s="446"/>
      <c r="R285" s="446"/>
      <c r="S285" s="446"/>
      <c r="T285" s="446"/>
      <c r="U285" s="446"/>
      <c r="V285" s="446"/>
      <c r="W285" s="446"/>
      <c r="X285" s="446"/>
      <c r="Y285" s="446"/>
      <c r="Z285" s="446"/>
      <c r="AA285" s="446"/>
      <c r="AB285" s="446"/>
      <c r="AC285" s="446"/>
      <c r="AD285" s="446"/>
      <c r="AE285" s="446"/>
      <c r="AF285" s="446"/>
      <c r="AG285" s="446"/>
      <c r="AH285" s="446"/>
      <c r="AI285" s="446"/>
      <c r="AJ285" s="446"/>
      <c r="AK285" s="446"/>
      <c r="AL285" s="446"/>
      <c r="AM285" s="446"/>
      <c r="AN285" s="446"/>
      <c r="AO285" s="446"/>
      <c r="AP285" s="446"/>
      <c r="AQ285" s="446"/>
      <c r="AR285" s="446"/>
      <c r="AS285" s="446"/>
      <c r="AT285" s="446"/>
      <c r="AU285" s="446"/>
      <c r="AV285" s="446"/>
      <c r="AW285" s="446"/>
      <c r="AX285" s="446"/>
      <c r="AY285" s="446"/>
      <c r="AZ285" s="446"/>
      <c r="BA285" s="446"/>
      <c r="BB285" s="446"/>
      <c r="BC285" s="446"/>
      <c r="BD285" s="446"/>
      <c r="BE285" s="446"/>
      <c r="BF285" s="446"/>
      <c r="BG285" s="446"/>
      <c r="BH285" s="446"/>
      <c r="BI285" s="446"/>
      <c r="BJ285" s="446"/>
      <c r="BK285" s="446"/>
      <c r="BL285" s="446"/>
    </row>
    <row r="286" spans="4:64" x14ac:dyDescent="0.2">
      <c r="D286" s="446"/>
      <c r="E286" s="446"/>
      <c r="F286" s="446"/>
      <c r="G286" s="446"/>
      <c r="H286" s="446"/>
      <c r="I286" s="446"/>
      <c r="J286" s="446"/>
      <c r="K286" s="446"/>
      <c r="L286" s="446"/>
      <c r="M286" s="446"/>
      <c r="N286" s="446"/>
      <c r="O286" s="446"/>
      <c r="P286" s="446"/>
      <c r="Q286" s="446"/>
      <c r="R286" s="446"/>
      <c r="S286" s="446"/>
      <c r="T286" s="446"/>
      <c r="U286" s="446"/>
      <c r="V286" s="446"/>
      <c r="W286" s="446"/>
      <c r="X286" s="446"/>
      <c r="Y286" s="446"/>
      <c r="Z286" s="446"/>
      <c r="AA286" s="446"/>
      <c r="AB286" s="446"/>
      <c r="AC286" s="446"/>
      <c r="AD286" s="446"/>
      <c r="AE286" s="446"/>
      <c r="AF286" s="446"/>
      <c r="AG286" s="446"/>
      <c r="AH286" s="446"/>
      <c r="AI286" s="446"/>
      <c r="AJ286" s="446"/>
      <c r="AK286" s="446"/>
      <c r="AL286" s="446"/>
      <c r="AM286" s="446"/>
      <c r="AN286" s="446"/>
      <c r="AO286" s="446"/>
      <c r="AP286" s="446"/>
      <c r="AQ286" s="446"/>
      <c r="AR286" s="446"/>
      <c r="AS286" s="446"/>
      <c r="AT286" s="446"/>
      <c r="AU286" s="446"/>
      <c r="AV286" s="446"/>
      <c r="AW286" s="446"/>
      <c r="AX286" s="446"/>
      <c r="AY286" s="446"/>
      <c r="AZ286" s="446"/>
      <c r="BA286" s="446"/>
      <c r="BB286" s="446"/>
      <c r="BC286" s="446"/>
      <c r="BD286" s="446"/>
      <c r="BE286" s="446"/>
      <c r="BF286" s="446"/>
      <c r="BG286" s="446"/>
      <c r="BH286" s="446"/>
      <c r="BI286" s="446"/>
      <c r="BJ286" s="446"/>
      <c r="BK286" s="446"/>
      <c r="BL286" s="446"/>
    </row>
    <row r="287" spans="4:64" x14ac:dyDescent="0.2">
      <c r="D287" s="446"/>
      <c r="E287" s="446"/>
      <c r="F287" s="446"/>
      <c r="G287" s="446"/>
      <c r="H287" s="446"/>
      <c r="I287" s="446"/>
      <c r="J287" s="446"/>
      <c r="K287" s="446"/>
      <c r="L287" s="446"/>
      <c r="M287" s="446"/>
      <c r="N287" s="446"/>
      <c r="O287" s="446"/>
      <c r="P287" s="446"/>
      <c r="Q287" s="446"/>
      <c r="R287" s="446"/>
      <c r="S287" s="446"/>
      <c r="T287" s="446"/>
      <c r="U287" s="446"/>
      <c r="V287" s="446"/>
      <c r="W287" s="446"/>
      <c r="X287" s="446"/>
      <c r="Y287" s="446"/>
      <c r="Z287" s="446"/>
      <c r="AA287" s="446"/>
      <c r="AB287" s="446"/>
      <c r="AC287" s="446"/>
      <c r="AD287" s="446"/>
      <c r="AE287" s="446"/>
      <c r="AF287" s="446"/>
      <c r="AG287" s="446"/>
      <c r="AH287" s="446"/>
      <c r="AI287" s="446"/>
      <c r="AJ287" s="446"/>
      <c r="AK287" s="446"/>
      <c r="AL287" s="446"/>
      <c r="AM287" s="446"/>
      <c r="AN287" s="446"/>
      <c r="AO287" s="446"/>
      <c r="AP287" s="446"/>
      <c r="AQ287" s="446"/>
      <c r="AR287" s="446"/>
      <c r="AS287" s="446"/>
      <c r="AT287" s="446"/>
      <c r="AU287" s="446"/>
      <c r="AV287" s="446"/>
      <c r="AW287" s="446"/>
      <c r="AX287" s="446"/>
      <c r="AY287" s="446"/>
      <c r="AZ287" s="446"/>
      <c r="BA287" s="446"/>
      <c r="BB287" s="446"/>
      <c r="BC287" s="446"/>
      <c r="BD287" s="446"/>
      <c r="BE287" s="446"/>
      <c r="BF287" s="446"/>
      <c r="BG287" s="446"/>
      <c r="BH287" s="446"/>
      <c r="BI287" s="446"/>
      <c r="BJ287" s="446"/>
      <c r="BK287" s="446"/>
      <c r="BL287" s="446"/>
    </row>
    <row r="288" spans="4:64" x14ac:dyDescent="0.2">
      <c r="D288" s="446"/>
      <c r="E288" s="446"/>
      <c r="F288" s="446"/>
      <c r="G288" s="446"/>
      <c r="H288" s="446"/>
      <c r="I288" s="446"/>
      <c r="J288" s="446"/>
      <c r="K288" s="446"/>
      <c r="L288" s="446"/>
      <c r="M288" s="446"/>
      <c r="N288" s="446"/>
      <c r="O288" s="446"/>
      <c r="P288" s="446"/>
      <c r="Q288" s="446"/>
      <c r="R288" s="446"/>
      <c r="S288" s="446"/>
      <c r="T288" s="446"/>
      <c r="U288" s="446"/>
      <c r="V288" s="446"/>
      <c r="W288" s="446"/>
      <c r="X288" s="446"/>
      <c r="Y288" s="446"/>
      <c r="Z288" s="446"/>
      <c r="AA288" s="446"/>
      <c r="AB288" s="446"/>
      <c r="AC288" s="446"/>
      <c r="AD288" s="446"/>
      <c r="AE288" s="446"/>
      <c r="AF288" s="446"/>
      <c r="AG288" s="446"/>
      <c r="AH288" s="446"/>
      <c r="AI288" s="446"/>
      <c r="AJ288" s="446"/>
      <c r="AK288" s="446"/>
      <c r="AL288" s="446"/>
      <c r="AM288" s="446"/>
      <c r="AN288" s="446"/>
      <c r="AO288" s="446"/>
      <c r="AP288" s="446"/>
      <c r="AQ288" s="446"/>
      <c r="AR288" s="446"/>
      <c r="AS288" s="446"/>
      <c r="AT288" s="446"/>
      <c r="AU288" s="446"/>
      <c r="AV288" s="446"/>
      <c r="AW288" s="446"/>
      <c r="AX288" s="446"/>
      <c r="AY288" s="446"/>
      <c r="AZ288" s="446"/>
      <c r="BA288" s="446"/>
      <c r="BB288" s="446"/>
      <c r="BC288" s="446"/>
      <c r="BD288" s="446"/>
      <c r="BE288" s="446"/>
      <c r="BF288" s="446"/>
      <c r="BG288" s="446"/>
      <c r="BH288" s="446"/>
      <c r="BI288" s="446"/>
      <c r="BJ288" s="446"/>
      <c r="BK288" s="446"/>
      <c r="BL288" s="446"/>
    </row>
    <row r="289" spans="4:64" x14ac:dyDescent="0.2">
      <c r="D289" s="446"/>
      <c r="E289" s="446"/>
      <c r="F289" s="446"/>
      <c r="G289" s="446"/>
      <c r="H289" s="446"/>
      <c r="I289" s="446"/>
      <c r="J289" s="446"/>
      <c r="K289" s="446"/>
      <c r="L289" s="446"/>
      <c r="M289" s="446"/>
      <c r="N289" s="446"/>
      <c r="O289" s="446"/>
      <c r="P289" s="446"/>
      <c r="Q289" s="446"/>
      <c r="R289" s="446"/>
      <c r="S289" s="446"/>
      <c r="T289" s="446"/>
      <c r="U289" s="446"/>
      <c r="V289" s="446"/>
      <c r="W289" s="446"/>
      <c r="X289" s="446"/>
      <c r="Y289" s="446"/>
      <c r="Z289" s="446"/>
      <c r="AA289" s="446"/>
      <c r="AB289" s="446"/>
      <c r="AC289" s="446"/>
      <c r="AD289" s="446"/>
      <c r="AE289" s="446"/>
      <c r="AF289" s="446"/>
      <c r="AG289" s="446"/>
      <c r="AH289" s="446"/>
      <c r="AI289" s="446"/>
      <c r="AJ289" s="446"/>
      <c r="AK289" s="446"/>
      <c r="AL289" s="446"/>
      <c r="AM289" s="446"/>
      <c r="AN289" s="446"/>
      <c r="AO289" s="446"/>
      <c r="AP289" s="446"/>
      <c r="AQ289" s="446"/>
      <c r="AR289" s="446"/>
      <c r="AS289" s="446"/>
      <c r="AT289" s="446"/>
      <c r="AU289" s="446"/>
      <c r="AV289" s="446"/>
      <c r="AW289" s="446"/>
      <c r="AX289" s="446"/>
      <c r="AY289" s="446"/>
      <c r="AZ289" s="446"/>
      <c r="BA289" s="446"/>
      <c r="BB289" s="446"/>
      <c r="BC289" s="446"/>
      <c r="BD289" s="446"/>
      <c r="BE289" s="446"/>
      <c r="BF289" s="446"/>
      <c r="BG289" s="446"/>
      <c r="BH289" s="446"/>
      <c r="BI289" s="446"/>
      <c r="BJ289" s="446"/>
      <c r="BK289" s="446"/>
      <c r="BL289" s="446"/>
    </row>
    <row r="290" spans="4:64" x14ac:dyDescent="0.2">
      <c r="D290" s="446"/>
      <c r="E290" s="446"/>
      <c r="F290" s="446"/>
      <c r="G290" s="446"/>
      <c r="H290" s="446"/>
      <c r="I290" s="446"/>
      <c r="J290" s="446"/>
      <c r="K290" s="446"/>
      <c r="L290" s="446"/>
      <c r="M290" s="446"/>
      <c r="N290" s="446"/>
      <c r="O290" s="446"/>
      <c r="P290" s="446"/>
      <c r="Q290" s="446"/>
      <c r="R290" s="446"/>
      <c r="S290" s="446"/>
      <c r="T290" s="446"/>
      <c r="U290" s="446"/>
      <c r="V290" s="446"/>
      <c r="W290" s="446"/>
      <c r="X290" s="446"/>
      <c r="Y290" s="446"/>
      <c r="Z290" s="446"/>
      <c r="AA290" s="446"/>
      <c r="AB290" s="446"/>
      <c r="AC290" s="446"/>
      <c r="AD290" s="446"/>
      <c r="AE290" s="446"/>
      <c r="AF290" s="446"/>
      <c r="AG290" s="446"/>
      <c r="AH290" s="446"/>
      <c r="AI290" s="446"/>
      <c r="AJ290" s="446"/>
      <c r="AK290" s="446"/>
      <c r="AL290" s="446"/>
      <c r="AM290" s="446"/>
      <c r="AN290" s="446"/>
      <c r="AO290" s="446"/>
      <c r="AP290" s="446"/>
      <c r="AQ290" s="446"/>
      <c r="AR290" s="446"/>
      <c r="AS290" s="446"/>
      <c r="AT290" s="446"/>
      <c r="AU290" s="446"/>
      <c r="AV290" s="446"/>
      <c r="AW290" s="446"/>
      <c r="AX290" s="446"/>
      <c r="AY290" s="446"/>
      <c r="AZ290" s="446"/>
      <c r="BA290" s="446"/>
      <c r="BB290" s="446"/>
      <c r="BC290" s="446"/>
      <c r="BD290" s="446"/>
      <c r="BE290" s="446"/>
      <c r="BF290" s="446"/>
      <c r="BG290" s="446"/>
      <c r="BH290" s="446"/>
      <c r="BI290" s="446"/>
      <c r="BJ290" s="446"/>
      <c r="BK290" s="446"/>
      <c r="BL290" s="446"/>
    </row>
    <row r="291" spans="4:64" x14ac:dyDescent="0.2">
      <c r="D291" s="446"/>
      <c r="E291" s="446"/>
      <c r="F291" s="446"/>
      <c r="G291" s="446"/>
      <c r="H291" s="446"/>
      <c r="I291" s="446"/>
      <c r="J291" s="446"/>
      <c r="K291" s="446"/>
      <c r="L291" s="446"/>
      <c r="M291" s="446"/>
      <c r="N291" s="446"/>
      <c r="O291" s="446"/>
      <c r="P291" s="446"/>
      <c r="Q291" s="446"/>
      <c r="R291" s="446"/>
      <c r="S291" s="446"/>
      <c r="T291" s="446"/>
      <c r="U291" s="446"/>
      <c r="V291" s="446"/>
      <c r="W291" s="446"/>
      <c r="X291" s="446"/>
      <c r="Y291" s="446"/>
      <c r="Z291" s="446"/>
      <c r="AA291" s="446"/>
      <c r="AB291" s="446"/>
      <c r="AC291" s="446"/>
      <c r="AD291" s="446"/>
      <c r="AE291" s="446"/>
      <c r="AF291" s="446"/>
      <c r="AG291" s="446"/>
      <c r="AH291" s="446"/>
      <c r="AI291" s="446"/>
      <c r="AJ291" s="446"/>
      <c r="AK291" s="446"/>
      <c r="AL291" s="446"/>
      <c r="AM291" s="446"/>
      <c r="AN291" s="446"/>
      <c r="AO291" s="446"/>
      <c r="AP291" s="446"/>
      <c r="AQ291" s="446"/>
      <c r="AR291" s="446"/>
      <c r="AS291" s="446"/>
      <c r="AT291" s="446"/>
      <c r="AU291" s="446"/>
      <c r="AV291" s="446"/>
      <c r="AW291" s="446"/>
      <c r="AX291" s="446"/>
      <c r="AY291" s="446"/>
      <c r="AZ291" s="446"/>
      <c r="BA291" s="446"/>
      <c r="BB291" s="446"/>
      <c r="BC291" s="446"/>
      <c r="BD291" s="446"/>
      <c r="BE291" s="446"/>
      <c r="BF291" s="446"/>
      <c r="BG291" s="446"/>
      <c r="BH291" s="446"/>
      <c r="BI291" s="446"/>
      <c r="BJ291" s="446"/>
      <c r="BK291" s="446"/>
      <c r="BL291" s="446"/>
    </row>
    <row r="292" spans="4:64" x14ac:dyDescent="0.2">
      <c r="D292" s="446"/>
      <c r="E292" s="446"/>
      <c r="F292" s="446"/>
      <c r="G292" s="446"/>
      <c r="H292" s="446"/>
      <c r="I292" s="446"/>
      <c r="J292" s="446"/>
      <c r="K292" s="446"/>
      <c r="L292" s="446"/>
      <c r="M292" s="446"/>
      <c r="N292" s="446"/>
      <c r="O292" s="446"/>
      <c r="P292" s="446"/>
      <c r="Q292" s="446"/>
      <c r="R292" s="446"/>
      <c r="S292" s="446"/>
      <c r="T292" s="446"/>
      <c r="U292" s="446"/>
      <c r="V292" s="446"/>
      <c r="W292" s="446"/>
      <c r="X292" s="446"/>
      <c r="Y292" s="446"/>
      <c r="Z292" s="446"/>
      <c r="AA292" s="446"/>
      <c r="AB292" s="446"/>
      <c r="AC292" s="446"/>
      <c r="AD292" s="446"/>
      <c r="AE292" s="446"/>
      <c r="AF292" s="446"/>
      <c r="AG292" s="446"/>
      <c r="AH292" s="446"/>
      <c r="AI292" s="446"/>
      <c r="AJ292" s="446"/>
      <c r="AK292" s="446"/>
      <c r="AL292" s="446"/>
      <c r="AM292" s="446"/>
      <c r="AN292" s="446"/>
      <c r="AO292" s="446"/>
      <c r="AP292" s="446"/>
      <c r="AQ292" s="446"/>
      <c r="AR292" s="446"/>
      <c r="AS292" s="446"/>
      <c r="AT292" s="446"/>
      <c r="AU292" s="446"/>
      <c r="AV292" s="446"/>
      <c r="AW292" s="446"/>
      <c r="AX292" s="446"/>
      <c r="AY292" s="446"/>
      <c r="AZ292" s="446"/>
      <c r="BA292" s="446"/>
      <c r="BB292" s="446"/>
      <c r="BC292" s="446"/>
      <c r="BD292" s="446"/>
      <c r="BE292" s="446"/>
      <c r="BF292" s="446"/>
      <c r="BG292" s="446"/>
      <c r="BH292" s="446"/>
      <c r="BI292" s="446"/>
      <c r="BJ292" s="446"/>
      <c r="BK292" s="446"/>
      <c r="BL292" s="446"/>
    </row>
    <row r="293" spans="4:64" x14ac:dyDescent="0.2">
      <c r="D293" s="446"/>
      <c r="E293" s="446"/>
      <c r="F293" s="446"/>
      <c r="G293" s="446"/>
      <c r="H293" s="446"/>
      <c r="I293" s="446"/>
      <c r="J293" s="446"/>
      <c r="K293" s="446"/>
      <c r="L293" s="446"/>
      <c r="M293" s="446"/>
      <c r="N293" s="446"/>
      <c r="O293" s="446"/>
      <c r="P293" s="446"/>
      <c r="Q293" s="446"/>
      <c r="R293" s="446"/>
      <c r="S293" s="446"/>
      <c r="T293" s="446"/>
      <c r="U293" s="446"/>
      <c r="V293" s="446"/>
      <c r="W293" s="446"/>
      <c r="X293" s="446"/>
      <c r="Y293" s="446"/>
      <c r="Z293" s="446"/>
      <c r="AA293" s="446"/>
      <c r="AB293" s="446"/>
      <c r="AC293" s="446"/>
      <c r="AD293" s="446"/>
      <c r="AE293" s="446"/>
      <c r="AF293" s="446"/>
      <c r="AG293" s="446"/>
      <c r="AH293" s="446"/>
      <c r="AI293" s="446"/>
      <c r="AJ293" s="446"/>
      <c r="AK293" s="446"/>
      <c r="AL293" s="446"/>
      <c r="AM293" s="446"/>
      <c r="AN293" s="446"/>
      <c r="AO293" s="446"/>
      <c r="AP293" s="446"/>
      <c r="AQ293" s="446"/>
      <c r="AR293" s="446"/>
      <c r="AS293" s="446"/>
      <c r="AT293" s="446"/>
      <c r="AU293" s="446"/>
      <c r="AV293" s="446"/>
      <c r="AW293" s="446"/>
      <c r="AX293" s="446"/>
      <c r="AY293" s="446"/>
      <c r="AZ293" s="446"/>
      <c r="BA293" s="446"/>
      <c r="BB293" s="446"/>
      <c r="BC293" s="446"/>
      <c r="BD293" s="446"/>
      <c r="BE293" s="446"/>
      <c r="BF293" s="446"/>
      <c r="BG293" s="446"/>
      <c r="BH293" s="446"/>
      <c r="BI293" s="446"/>
      <c r="BJ293" s="446"/>
      <c r="BK293" s="446"/>
      <c r="BL293" s="446"/>
    </row>
    <row r="294" spans="4:64" x14ac:dyDescent="0.2">
      <c r="D294" s="446"/>
      <c r="E294" s="446"/>
      <c r="F294" s="446"/>
      <c r="G294" s="446"/>
      <c r="H294" s="446"/>
      <c r="I294" s="446"/>
      <c r="J294" s="446"/>
      <c r="K294" s="446"/>
      <c r="L294" s="446"/>
      <c r="M294" s="446"/>
      <c r="N294" s="446"/>
      <c r="O294" s="446"/>
      <c r="P294" s="446"/>
      <c r="Q294" s="446"/>
      <c r="R294" s="446"/>
      <c r="S294" s="446"/>
      <c r="T294" s="446"/>
      <c r="U294" s="446"/>
      <c r="V294" s="446"/>
      <c r="W294" s="446"/>
      <c r="X294" s="446"/>
      <c r="Y294" s="446"/>
      <c r="Z294" s="446"/>
      <c r="AA294" s="446"/>
      <c r="AB294" s="446"/>
      <c r="AC294" s="446"/>
      <c r="AD294" s="446"/>
      <c r="AE294" s="446"/>
      <c r="AF294" s="446"/>
      <c r="AG294" s="446"/>
      <c r="AH294" s="446"/>
      <c r="AI294" s="446"/>
      <c r="AJ294" s="446"/>
      <c r="AK294" s="446"/>
      <c r="AL294" s="446"/>
      <c r="AM294" s="446"/>
      <c r="AN294" s="446"/>
      <c r="AO294" s="446"/>
      <c r="AP294" s="446"/>
      <c r="AQ294" s="446"/>
      <c r="AR294" s="446"/>
      <c r="AS294" s="446"/>
      <c r="AT294" s="446"/>
      <c r="AU294" s="446"/>
      <c r="AV294" s="446"/>
      <c r="AW294" s="446"/>
      <c r="AX294" s="446"/>
      <c r="AY294" s="446"/>
      <c r="AZ294" s="446"/>
      <c r="BA294" s="446"/>
      <c r="BB294" s="446"/>
      <c r="BC294" s="446"/>
      <c r="BD294" s="446"/>
      <c r="BE294" s="446"/>
      <c r="BF294" s="446"/>
      <c r="BG294" s="446"/>
      <c r="BH294" s="446"/>
      <c r="BI294" s="446"/>
      <c r="BJ294" s="446"/>
      <c r="BK294" s="446"/>
      <c r="BL294" s="446"/>
    </row>
    <row r="295" spans="4:64" x14ac:dyDescent="0.2">
      <c r="D295" s="446"/>
      <c r="E295" s="446"/>
      <c r="F295" s="446"/>
      <c r="G295" s="446"/>
      <c r="H295" s="446"/>
      <c r="I295" s="446"/>
      <c r="J295" s="446"/>
      <c r="K295" s="446"/>
      <c r="L295" s="446"/>
      <c r="M295" s="446"/>
      <c r="N295" s="446"/>
      <c r="O295" s="446"/>
      <c r="P295" s="446"/>
      <c r="Q295" s="446"/>
      <c r="R295" s="446"/>
      <c r="S295" s="446"/>
      <c r="T295" s="446"/>
      <c r="U295" s="446"/>
      <c r="V295" s="446"/>
      <c r="W295" s="446"/>
      <c r="X295" s="446"/>
      <c r="Y295" s="446"/>
      <c r="Z295" s="446"/>
      <c r="AA295" s="446"/>
      <c r="AB295" s="446"/>
      <c r="AC295" s="446"/>
      <c r="AD295" s="446"/>
      <c r="AE295" s="446"/>
      <c r="AF295" s="446"/>
      <c r="AG295" s="446"/>
      <c r="AH295" s="446"/>
      <c r="AI295" s="446"/>
      <c r="AJ295" s="446"/>
      <c r="AK295" s="446"/>
      <c r="AL295" s="446"/>
      <c r="AM295" s="446"/>
      <c r="AN295" s="446"/>
      <c r="AO295" s="446"/>
      <c r="AP295" s="446"/>
      <c r="AQ295" s="446"/>
      <c r="AR295" s="446"/>
      <c r="AS295" s="446"/>
      <c r="AT295" s="446"/>
      <c r="AU295" s="446"/>
      <c r="AV295" s="446"/>
      <c r="AW295" s="446"/>
      <c r="AX295" s="446"/>
      <c r="AY295" s="446"/>
      <c r="AZ295" s="446"/>
      <c r="BA295" s="446"/>
      <c r="BB295" s="446"/>
      <c r="BC295" s="446"/>
      <c r="BD295" s="446"/>
      <c r="BE295" s="446"/>
      <c r="BF295" s="446"/>
      <c r="BG295" s="446"/>
      <c r="BH295" s="446"/>
      <c r="BI295" s="446"/>
      <c r="BJ295" s="446"/>
      <c r="BK295" s="446"/>
      <c r="BL295" s="446"/>
    </row>
    <row r="296" spans="4:64" x14ac:dyDescent="0.2">
      <c r="D296" s="446"/>
      <c r="E296" s="446"/>
      <c r="F296" s="446"/>
      <c r="G296" s="446"/>
      <c r="H296" s="446"/>
      <c r="I296" s="446"/>
      <c r="J296" s="446"/>
      <c r="K296" s="446"/>
      <c r="L296" s="446"/>
      <c r="M296" s="446"/>
      <c r="N296" s="446"/>
      <c r="O296" s="446"/>
      <c r="P296" s="446"/>
      <c r="Q296" s="446"/>
      <c r="R296" s="446"/>
      <c r="S296" s="446"/>
      <c r="T296" s="446"/>
      <c r="U296" s="446"/>
      <c r="V296" s="446"/>
      <c r="W296" s="446"/>
      <c r="X296" s="446"/>
      <c r="Y296" s="446"/>
      <c r="Z296" s="446"/>
      <c r="AA296" s="446"/>
      <c r="AB296" s="446"/>
      <c r="AC296" s="446"/>
      <c r="AD296" s="446"/>
      <c r="AE296" s="446"/>
      <c r="AF296" s="446"/>
      <c r="AG296" s="446"/>
      <c r="AH296" s="446"/>
      <c r="AI296" s="446"/>
      <c r="AJ296" s="446"/>
      <c r="AK296" s="446"/>
      <c r="AL296" s="446"/>
      <c r="AM296" s="446"/>
      <c r="AN296" s="446"/>
      <c r="AO296" s="446"/>
      <c r="AP296" s="446"/>
      <c r="AQ296" s="446"/>
      <c r="AR296" s="446"/>
      <c r="AS296" s="446"/>
      <c r="AT296" s="446"/>
      <c r="AU296" s="446"/>
      <c r="AV296" s="446"/>
      <c r="AW296" s="446"/>
      <c r="AX296" s="446"/>
      <c r="AY296" s="446"/>
      <c r="AZ296" s="446"/>
      <c r="BA296" s="446"/>
      <c r="BB296" s="446"/>
      <c r="BC296" s="446"/>
      <c r="BD296" s="446"/>
      <c r="BE296" s="446"/>
      <c r="BF296" s="446"/>
      <c r="BG296" s="446"/>
      <c r="BH296" s="446"/>
      <c r="BI296" s="446"/>
      <c r="BJ296" s="446"/>
      <c r="BK296" s="446"/>
      <c r="BL296" s="446"/>
    </row>
    <row r="297" spans="4:64" x14ac:dyDescent="0.2">
      <c r="D297" s="446"/>
      <c r="E297" s="446"/>
      <c r="F297" s="446"/>
      <c r="G297" s="446"/>
      <c r="H297" s="446"/>
      <c r="I297" s="446"/>
      <c r="J297" s="446"/>
      <c r="K297" s="446"/>
      <c r="L297" s="446"/>
      <c r="M297" s="446"/>
      <c r="N297" s="446"/>
      <c r="O297" s="446"/>
      <c r="P297" s="446"/>
      <c r="Q297" s="446"/>
      <c r="R297" s="446"/>
      <c r="S297" s="446"/>
      <c r="T297" s="446"/>
      <c r="U297" s="446"/>
      <c r="V297" s="446"/>
      <c r="W297" s="446"/>
      <c r="X297" s="446"/>
      <c r="Y297" s="446"/>
      <c r="Z297" s="446"/>
      <c r="AA297" s="446"/>
      <c r="AB297" s="446"/>
      <c r="AC297" s="446"/>
      <c r="AD297" s="446"/>
      <c r="AE297" s="446"/>
      <c r="AF297" s="446"/>
      <c r="AG297" s="446"/>
      <c r="AH297" s="446"/>
      <c r="AI297" s="446"/>
      <c r="AJ297" s="446"/>
      <c r="AK297" s="446"/>
      <c r="AL297" s="446"/>
      <c r="AM297" s="446"/>
      <c r="AN297" s="446"/>
      <c r="AO297" s="446"/>
      <c r="AP297" s="446"/>
      <c r="AQ297" s="446"/>
      <c r="AR297" s="446"/>
      <c r="AS297" s="446"/>
      <c r="AT297" s="446"/>
      <c r="AU297" s="446"/>
      <c r="AV297" s="446"/>
      <c r="AW297" s="446"/>
      <c r="AX297" s="446"/>
      <c r="AY297" s="446"/>
      <c r="AZ297" s="446"/>
      <c r="BA297" s="446"/>
      <c r="BB297" s="446"/>
      <c r="BC297" s="446"/>
      <c r="BD297" s="446"/>
      <c r="BE297" s="446"/>
      <c r="BF297" s="446"/>
      <c r="BG297" s="446"/>
      <c r="BH297" s="446"/>
      <c r="BI297" s="446"/>
      <c r="BJ297" s="446"/>
      <c r="BK297" s="446"/>
      <c r="BL297" s="446"/>
    </row>
    <row r="298" spans="4:64" x14ac:dyDescent="0.2">
      <c r="D298" s="446"/>
      <c r="E298" s="446"/>
      <c r="F298" s="446"/>
      <c r="G298" s="446"/>
      <c r="H298" s="446"/>
      <c r="I298" s="446"/>
      <c r="J298" s="446"/>
      <c r="K298" s="446"/>
      <c r="L298" s="446"/>
      <c r="M298" s="446"/>
      <c r="N298" s="446"/>
      <c r="O298" s="446"/>
      <c r="P298" s="446"/>
      <c r="Q298" s="446"/>
      <c r="R298" s="446"/>
      <c r="S298" s="446"/>
      <c r="T298" s="446"/>
      <c r="U298" s="446"/>
      <c r="V298" s="446"/>
      <c r="W298" s="446"/>
      <c r="X298" s="446"/>
      <c r="Y298" s="446"/>
      <c r="Z298" s="446"/>
      <c r="AA298" s="446"/>
      <c r="AB298" s="446"/>
      <c r="AC298" s="446"/>
      <c r="AD298" s="446"/>
      <c r="AE298" s="446"/>
      <c r="AF298" s="446"/>
      <c r="AG298" s="446"/>
      <c r="AH298" s="446"/>
      <c r="AI298" s="446"/>
      <c r="AJ298" s="446"/>
      <c r="AK298" s="446"/>
      <c r="AL298" s="446"/>
      <c r="AM298" s="446"/>
      <c r="AN298" s="446"/>
      <c r="AO298" s="446"/>
      <c r="AP298" s="446"/>
      <c r="AQ298" s="446"/>
      <c r="AR298" s="446"/>
      <c r="AS298" s="446"/>
      <c r="AT298" s="446"/>
      <c r="AU298" s="446"/>
      <c r="AV298" s="446"/>
      <c r="AW298" s="446"/>
      <c r="AX298" s="446"/>
      <c r="AY298" s="446"/>
      <c r="AZ298" s="446"/>
      <c r="BA298" s="446"/>
      <c r="BB298" s="446"/>
      <c r="BC298" s="446"/>
      <c r="BD298" s="446"/>
      <c r="BE298" s="446"/>
      <c r="BF298" s="446"/>
      <c r="BG298" s="446"/>
      <c r="BH298" s="446"/>
      <c r="BI298" s="446"/>
      <c r="BJ298" s="446"/>
      <c r="BK298" s="446"/>
      <c r="BL298" s="446"/>
    </row>
    <row r="299" spans="4:64" x14ac:dyDescent="0.2">
      <c r="D299" s="446"/>
      <c r="E299" s="446"/>
      <c r="F299" s="446"/>
      <c r="G299" s="446"/>
      <c r="H299" s="446"/>
      <c r="I299" s="446"/>
      <c r="J299" s="446"/>
      <c r="K299" s="446"/>
      <c r="L299" s="446"/>
      <c r="M299" s="446"/>
      <c r="N299" s="446"/>
      <c r="O299" s="446"/>
      <c r="P299" s="446"/>
      <c r="Q299" s="446"/>
      <c r="R299" s="446"/>
      <c r="S299" s="446"/>
      <c r="T299" s="446"/>
      <c r="U299" s="446"/>
      <c r="V299" s="446"/>
      <c r="W299" s="446"/>
      <c r="X299" s="446"/>
      <c r="Y299" s="446"/>
      <c r="Z299" s="446"/>
      <c r="AA299" s="446"/>
      <c r="AB299" s="446"/>
      <c r="AC299" s="446"/>
      <c r="AD299" s="446"/>
      <c r="AE299" s="446"/>
      <c r="AF299" s="446"/>
      <c r="AG299" s="446"/>
      <c r="AH299" s="446"/>
      <c r="AI299" s="446"/>
      <c r="AJ299" s="446"/>
      <c r="AK299" s="446"/>
      <c r="AL299" s="446"/>
      <c r="AM299" s="446"/>
      <c r="AN299" s="446"/>
      <c r="AO299" s="446"/>
      <c r="AP299" s="446"/>
      <c r="AQ299" s="446"/>
      <c r="AR299" s="446"/>
      <c r="AS299" s="446"/>
      <c r="AT299" s="446"/>
      <c r="AU299" s="446"/>
      <c r="AV299" s="446"/>
      <c r="AW299" s="446"/>
      <c r="AX299" s="446"/>
      <c r="AY299" s="446"/>
      <c r="AZ299" s="446"/>
      <c r="BA299" s="446"/>
      <c r="BB299" s="446"/>
      <c r="BC299" s="446"/>
      <c r="BD299" s="446"/>
      <c r="BE299" s="446"/>
      <c r="BF299" s="446"/>
      <c r="BG299" s="446"/>
      <c r="BH299" s="446"/>
      <c r="BI299" s="446"/>
      <c r="BJ299" s="446"/>
      <c r="BK299" s="446"/>
      <c r="BL299" s="446"/>
    </row>
    <row r="300" spans="4:64" x14ac:dyDescent="0.2">
      <c r="D300" s="446"/>
      <c r="E300" s="446"/>
      <c r="F300" s="446"/>
      <c r="G300" s="446"/>
      <c r="H300" s="446"/>
      <c r="I300" s="446"/>
      <c r="J300" s="446"/>
      <c r="K300" s="446"/>
      <c r="L300" s="446"/>
      <c r="M300" s="446"/>
      <c r="N300" s="446"/>
      <c r="O300" s="446"/>
      <c r="P300" s="446"/>
      <c r="Q300" s="446"/>
      <c r="R300" s="446"/>
      <c r="S300" s="446"/>
      <c r="T300" s="446"/>
      <c r="U300" s="446"/>
      <c r="V300" s="446"/>
      <c r="W300" s="446"/>
      <c r="X300" s="446"/>
      <c r="Y300" s="446"/>
      <c r="Z300" s="446"/>
      <c r="AA300" s="446"/>
      <c r="AB300" s="446"/>
      <c r="AC300" s="446"/>
      <c r="AD300" s="446"/>
      <c r="AE300" s="446"/>
      <c r="AF300" s="446"/>
      <c r="AG300" s="446"/>
      <c r="AH300" s="446"/>
      <c r="AI300" s="446"/>
      <c r="AJ300" s="446"/>
      <c r="AK300" s="446"/>
      <c r="AL300" s="446"/>
      <c r="AM300" s="446"/>
      <c r="AN300" s="446"/>
      <c r="AO300" s="446"/>
      <c r="AP300" s="446"/>
      <c r="AQ300" s="446"/>
      <c r="AR300" s="446"/>
      <c r="AS300" s="446"/>
      <c r="AT300" s="446"/>
      <c r="AU300" s="446"/>
      <c r="AV300" s="446"/>
      <c r="AW300" s="446"/>
      <c r="AX300" s="446"/>
      <c r="AY300" s="446"/>
      <c r="AZ300" s="446"/>
      <c r="BA300" s="446"/>
      <c r="BB300" s="446"/>
      <c r="BC300" s="446"/>
      <c r="BD300" s="446"/>
      <c r="BE300" s="446"/>
      <c r="BF300" s="446"/>
      <c r="BG300" s="446"/>
      <c r="BH300" s="446"/>
      <c r="BI300" s="446"/>
      <c r="BJ300" s="446"/>
      <c r="BK300" s="446"/>
      <c r="BL300" s="446"/>
    </row>
    <row r="301" spans="4:64" x14ac:dyDescent="0.2">
      <c r="D301" s="446"/>
      <c r="E301" s="446"/>
      <c r="F301" s="446"/>
      <c r="G301" s="446"/>
      <c r="H301" s="446"/>
      <c r="I301" s="446"/>
      <c r="J301" s="446"/>
      <c r="K301" s="446"/>
      <c r="L301" s="446"/>
      <c r="M301" s="446"/>
      <c r="N301" s="446"/>
      <c r="O301" s="446"/>
      <c r="P301" s="446"/>
      <c r="Q301" s="446"/>
      <c r="R301" s="446"/>
      <c r="S301" s="446"/>
      <c r="T301" s="446"/>
      <c r="U301" s="446"/>
      <c r="V301" s="446"/>
      <c r="W301" s="446"/>
      <c r="X301" s="446"/>
      <c r="Y301" s="446"/>
      <c r="Z301" s="446"/>
      <c r="AA301" s="446"/>
      <c r="AB301" s="446"/>
      <c r="AC301" s="446"/>
      <c r="AD301" s="446"/>
      <c r="AE301" s="446"/>
      <c r="AF301" s="446"/>
      <c r="AG301" s="446"/>
      <c r="AH301" s="446"/>
      <c r="AI301" s="446"/>
      <c r="AJ301" s="446"/>
      <c r="AK301" s="446"/>
      <c r="AL301" s="446"/>
      <c r="AM301" s="446"/>
      <c r="AN301" s="446"/>
      <c r="AO301" s="446"/>
      <c r="AP301" s="446"/>
      <c r="AQ301" s="446"/>
      <c r="AR301" s="446"/>
      <c r="AS301" s="446"/>
      <c r="AT301" s="446"/>
      <c r="AU301" s="446"/>
      <c r="AV301" s="446"/>
      <c r="AW301" s="446"/>
      <c r="AX301" s="446"/>
      <c r="AY301" s="446"/>
      <c r="AZ301" s="446"/>
      <c r="BA301" s="446"/>
      <c r="BB301" s="446"/>
      <c r="BC301" s="446"/>
      <c r="BD301" s="446"/>
      <c r="BE301" s="446"/>
      <c r="BF301" s="446"/>
      <c r="BG301" s="446"/>
      <c r="BH301" s="446"/>
      <c r="BI301" s="446"/>
      <c r="BJ301" s="446"/>
      <c r="BK301" s="446"/>
      <c r="BL301" s="446"/>
    </row>
    <row r="302" spans="4:64" x14ac:dyDescent="0.2">
      <c r="D302" s="446"/>
      <c r="E302" s="446"/>
      <c r="F302" s="446"/>
      <c r="G302" s="446"/>
      <c r="H302" s="446"/>
      <c r="I302" s="446"/>
      <c r="J302" s="446"/>
      <c r="K302" s="446"/>
      <c r="L302" s="446"/>
      <c r="M302" s="446"/>
      <c r="N302" s="446"/>
      <c r="O302" s="446"/>
      <c r="P302" s="446"/>
      <c r="Q302" s="446"/>
      <c r="R302" s="446"/>
      <c r="S302" s="446"/>
      <c r="T302" s="446"/>
      <c r="U302" s="446"/>
      <c r="V302" s="446"/>
      <c r="W302" s="446"/>
      <c r="X302" s="446"/>
      <c r="Y302" s="446"/>
      <c r="Z302" s="446"/>
      <c r="AA302" s="446"/>
      <c r="AB302" s="446"/>
      <c r="AC302" s="446"/>
      <c r="AD302" s="446"/>
      <c r="AE302" s="446"/>
      <c r="AF302" s="446"/>
      <c r="AG302" s="446"/>
      <c r="AH302" s="446"/>
      <c r="AI302" s="446"/>
      <c r="AJ302" s="446"/>
      <c r="AK302" s="446"/>
      <c r="AL302" s="446"/>
      <c r="AM302" s="446"/>
      <c r="AN302" s="446"/>
      <c r="AO302" s="446"/>
      <c r="AP302" s="446"/>
      <c r="AQ302" s="446"/>
      <c r="AR302" s="446"/>
      <c r="AS302" s="446"/>
      <c r="AT302" s="446"/>
      <c r="AU302" s="446"/>
      <c r="AV302" s="446"/>
      <c r="AW302" s="446"/>
      <c r="AX302" s="446"/>
      <c r="AY302" s="446"/>
      <c r="AZ302" s="446"/>
      <c r="BA302" s="446"/>
      <c r="BB302" s="446"/>
      <c r="BC302" s="446"/>
      <c r="BD302" s="446"/>
      <c r="BE302" s="446"/>
      <c r="BF302" s="446"/>
      <c r="BG302" s="446"/>
      <c r="BH302" s="446"/>
      <c r="BI302" s="446"/>
      <c r="BJ302" s="446"/>
      <c r="BK302" s="446"/>
      <c r="BL302" s="446"/>
    </row>
    <row r="303" spans="4:64" x14ac:dyDescent="0.2">
      <c r="D303" s="446"/>
      <c r="E303" s="446"/>
      <c r="F303" s="446"/>
      <c r="G303" s="446"/>
      <c r="H303" s="446"/>
      <c r="I303" s="446"/>
      <c r="J303" s="446"/>
      <c r="K303" s="446"/>
      <c r="L303" s="446"/>
      <c r="M303" s="446"/>
      <c r="N303" s="446"/>
      <c r="O303" s="446"/>
      <c r="P303" s="446"/>
      <c r="Q303" s="446"/>
      <c r="R303" s="446"/>
      <c r="S303" s="446"/>
      <c r="T303" s="446"/>
      <c r="U303" s="446"/>
      <c r="V303" s="446"/>
      <c r="W303" s="446"/>
      <c r="X303" s="446"/>
      <c r="Y303" s="446"/>
      <c r="Z303" s="446"/>
      <c r="AA303" s="446"/>
      <c r="AB303" s="446"/>
      <c r="AC303" s="446"/>
      <c r="AD303" s="446"/>
      <c r="AE303" s="446"/>
      <c r="AF303" s="446"/>
      <c r="AG303" s="446"/>
      <c r="AH303" s="446"/>
      <c r="AI303" s="446"/>
      <c r="AJ303" s="446"/>
      <c r="AK303" s="446"/>
      <c r="AL303" s="446"/>
      <c r="AM303" s="446"/>
      <c r="AN303" s="446"/>
      <c r="AO303" s="446"/>
      <c r="AP303" s="446"/>
      <c r="AQ303" s="446"/>
      <c r="AR303" s="446"/>
      <c r="AS303" s="446"/>
      <c r="AT303" s="446"/>
      <c r="AU303" s="446"/>
      <c r="AV303" s="446"/>
      <c r="AW303" s="446"/>
      <c r="AX303" s="446"/>
      <c r="AY303" s="446"/>
      <c r="AZ303" s="446"/>
      <c r="BA303" s="446"/>
      <c r="BB303" s="446"/>
      <c r="BC303" s="446"/>
      <c r="BD303" s="446"/>
      <c r="BE303" s="446"/>
      <c r="BF303" s="446"/>
      <c r="BG303" s="446"/>
      <c r="BH303" s="446"/>
      <c r="BI303" s="446"/>
      <c r="BJ303" s="446"/>
      <c r="BK303" s="446"/>
      <c r="BL303" s="446"/>
    </row>
    <row r="304" spans="4:64" x14ac:dyDescent="0.2">
      <c r="D304" s="446"/>
      <c r="E304" s="446"/>
      <c r="F304" s="446"/>
      <c r="G304" s="446"/>
      <c r="H304" s="446"/>
      <c r="I304" s="446"/>
      <c r="J304" s="446"/>
      <c r="K304" s="446"/>
      <c r="L304" s="446"/>
      <c r="M304" s="446"/>
      <c r="N304" s="446"/>
      <c r="O304" s="446"/>
      <c r="P304" s="446"/>
      <c r="Q304" s="446"/>
      <c r="R304" s="446"/>
      <c r="S304" s="446"/>
      <c r="T304" s="446"/>
      <c r="U304" s="446"/>
      <c r="V304" s="446"/>
      <c r="W304" s="446"/>
      <c r="X304" s="446"/>
      <c r="Y304" s="446"/>
      <c r="Z304" s="446"/>
      <c r="AA304" s="446"/>
      <c r="AB304" s="446"/>
      <c r="AC304" s="446"/>
      <c r="AD304" s="446"/>
      <c r="AE304" s="446"/>
      <c r="AF304" s="446"/>
      <c r="AG304" s="446"/>
      <c r="AH304" s="446"/>
      <c r="AI304" s="446"/>
      <c r="AJ304" s="446"/>
      <c r="AK304" s="446"/>
      <c r="AL304" s="446"/>
      <c r="AM304" s="446"/>
      <c r="AN304" s="446"/>
      <c r="AO304" s="446"/>
      <c r="AP304" s="446"/>
      <c r="AQ304" s="446"/>
      <c r="AR304" s="446"/>
      <c r="AS304" s="446"/>
      <c r="AT304" s="446"/>
      <c r="AU304" s="446"/>
      <c r="AV304" s="446"/>
      <c r="AW304" s="446"/>
      <c r="AX304" s="446"/>
      <c r="AY304" s="446"/>
      <c r="AZ304" s="446"/>
      <c r="BA304" s="446"/>
      <c r="BB304" s="446"/>
      <c r="BC304" s="446"/>
      <c r="BD304" s="446"/>
      <c r="BE304" s="446"/>
      <c r="BF304" s="446"/>
      <c r="BG304" s="446"/>
      <c r="BH304" s="446"/>
      <c r="BI304" s="446"/>
      <c r="BJ304" s="446"/>
      <c r="BK304" s="446"/>
      <c r="BL304" s="446"/>
    </row>
    <row r="305" spans="4:64" x14ac:dyDescent="0.2">
      <c r="D305" s="446"/>
      <c r="E305" s="446"/>
      <c r="F305" s="446"/>
      <c r="G305" s="446"/>
      <c r="H305" s="446"/>
      <c r="I305" s="446"/>
      <c r="J305" s="446"/>
      <c r="K305" s="446"/>
      <c r="L305" s="446"/>
      <c r="M305" s="446"/>
      <c r="N305" s="446"/>
      <c r="O305" s="446"/>
      <c r="P305" s="446"/>
      <c r="Q305" s="446"/>
      <c r="R305" s="446"/>
      <c r="S305" s="446"/>
      <c r="T305" s="446"/>
      <c r="U305" s="446"/>
      <c r="V305" s="446"/>
      <c r="W305" s="446"/>
      <c r="X305" s="446"/>
      <c r="Y305" s="446"/>
      <c r="Z305" s="446"/>
      <c r="AA305" s="446"/>
      <c r="AB305" s="446"/>
      <c r="AC305" s="446"/>
      <c r="AD305" s="446"/>
      <c r="AE305" s="446"/>
      <c r="AF305" s="446"/>
      <c r="AG305" s="446"/>
      <c r="AH305" s="446"/>
      <c r="AI305" s="446"/>
      <c r="AJ305" s="446"/>
      <c r="AK305" s="446"/>
      <c r="AL305" s="446"/>
      <c r="AM305" s="446"/>
      <c r="AN305" s="446"/>
      <c r="AO305" s="446"/>
      <c r="AP305" s="446"/>
      <c r="AQ305" s="446"/>
      <c r="AR305" s="446"/>
      <c r="AS305" s="446"/>
      <c r="AT305" s="446"/>
      <c r="AU305" s="446"/>
      <c r="AV305" s="446"/>
      <c r="AW305" s="446"/>
      <c r="AX305" s="446"/>
      <c r="AY305" s="446"/>
      <c r="AZ305" s="446"/>
      <c r="BA305" s="446"/>
      <c r="BB305" s="446"/>
      <c r="BC305" s="446"/>
      <c r="BD305" s="446"/>
      <c r="BE305" s="446"/>
      <c r="BF305" s="446"/>
      <c r="BG305" s="446"/>
      <c r="BH305" s="446"/>
      <c r="BI305" s="446"/>
      <c r="BJ305" s="446"/>
      <c r="BK305" s="446"/>
      <c r="BL305" s="446"/>
    </row>
    <row r="306" spans="4:64" x14ac:dyDescent="0.2">
      <c r="D306" s="446"/>
      <c r="E306" s="446"/>
      <c r="F306" s="446"/>
      <c r="G306" s="446"/>
      <c r="H306" s="446"/>
      <c r="I306" s="446"/>
      <c r="J306" s="446"/>
      <c r="K306" s="446"/>
      <c r="L306" s="446"/>
      <c r="M306" s="446"/>
      <c r="N306" s="446"/>
      <c r="O306" s="446"/>
      <c r="P306" s="446"/>
      <c r="Q306" s="446"/>
      <c r="R306" s="446"/>
      <c r="S306" s="446"/>
      <c r="T306" s="446"/>
      <c r="U306" s="446"/>
      <c r="V306" s="446"/>
      <c r="W306" s="446"/>
      <c r="X306" s="446"/>
      <c r="Y306" s="446"/>
      <c r="Z306" s="446"/>
      <c r="AA306" s="446"/>
      <c r="AB306" s="446"/>
      <c r="AC306" s="446"/>
      <c r="AD306" s="446"/>
      <c r="AE306" s="446"/>
      <c r="AF306" s="446"/>
      <c r="AG306" s="446"/>
      <c r="AH306" s="446"/>
      <c r="AI306" s="446"/>
      <c r="AJ306" s="446"/>
      <c r="AK306" s="446"/>
      <c r="AL306" s="446"/>
      <c r="AM306" s="446"/>
      <c r="AN306" s="446"/>
      <c r="AO306" s="446"/>
      <c r="AP306" s="446"/>
      <c r="AQ306" s="446"/>
      <c r="AR306" s="446"/>
      <c r="AS306" s="446"/>
      <c r="AT306" s="446"/>
      <c r="AU306" s="446"/>
      <c r="AV306" s="446"/>
      <c r="AW306" s="446"/>
      <c r="AX306" s="446"/>
      <c r="AY306" s="446"/>
      <c r="AZ306" s="446"/>
      <c r="BA306" s="446"/>
      <c r="BB306" s="446"/>
      <c r="BC306" s="446"/>
      <c r="BD306" s="446"/>
      <c r="BE306" s="446"/>
      <c r="BF306" s="446"/>
      <c r="BG306" s="446"/>
      <c r="BH306" s="446"/>
      <c r="BI306" s="446"/>
      <c r="BJ306" s="446"/>
      <c r="BK306" s="446"/>
      <c r="BL306" s="446"/>
    </row>
    <row r="307" spans="4:64" x14ac:dyDescent="0.2">
      <c r="D307" s="446"/>
      <c r="E307" s="446"/>
      <c r="F307" s="446"/>
      <c r="G307" s="446"/>
      <c r="H307" s="446"/>
      <c r="I307" s="446"/>
      <c r="J307" s="446"/>
      <c r="K307" s="446"/>
      <c r="L307" s="446"/>
      <c r="M307" s="446"/>
      <c r="N307" s="446"/>
      <c r="O307" s="446"/>
      <c r="P307" s="446"/>
      <c r="Q307" s="446"/>
      <c r="R307" s="446"/>
      <c r="S307" s="446"/>
      <c r="T307" s="446"/>
      <c r="U307" s="446"/>
      <c r="V307" s="446"/>
      <c r="W307" s="446"/>
      <c r="X307" s="446"/>
      <c r="Y307" s="446"/>
      <c r="Z307" s="446"/>
      <c r="AA307" s="446"/>
      <c r="AB307" s="446"/>
      <c r="AC307" s="446"/>
      <c r="AD307" s="446"/>
      <c r="AE307" s="446"/>
      <c r="AF307" s="446"/>
      <c r="AG307" s="446"/>
      <c r="AH307" s="446"/>
      <c r="AI307" s="446"/>
      <c r="AJ307" s="446"/>
      <c r="AK307" s="446"/>
      <c r="AL307" s="446"/>
      <c r="AM307" s="446"/>
      <c r="AN307" s="446"/>
      <c r="AO307" s="446"/>
      <c r="AP307" s="446"/>
      <c r="AQ307" s="446"/>
      <c r="AR307" s="446"/>
      <c r="AS307" s="446"/>
      <c r="AT307" s="446"/>
      <c r="AU307" s="446"/>
      <c r="AV307" s="446"/>
      <c r="AW307" s="446"/>
      <c r="AX307" s="446"/>
      <c r="AY307" s="446"/>
      <c r="AZ307" s="446"/>
      <c r="BA307" s="446"/>
      <c r="BB307" s="446"/>
      <c r="BC307" s="446"/>
      <c r="BD307" s="446"/>
      <c r="BE307" s="446"/>
      <c r="BF307" s="446"/>
      <c r="BG307" s="446"/>
      <c r="BH307" s="446"/>
      <c r="BI307" s="446"/>
      <c r="BJ307" s="446"/>
      <c r="BK307" s="446"/>
      <c r="BL307" s="446"/>
    </row>
    <row r="308" spans="4:64" x14ac:dyDescent="0.2">
      <c r="D308" s="446"/>
      <c r="E308" s="446"/>
      <c r="F308" s="446"/>
      <c r="G308" s="446"/>
      <c r="H308" s="446"/>
      <c r="I308" s="446"/>
      <c r="J308" s="446"/>
      <c r="K308" s="446"/>
      <c r="L308" s="446"/>
      <c r="M308" s="446"/>
      <c r="N308" s="446"/>
      <c r="O308" s="446"/>
      <c r="P308" s="446"/>
      <c r="Q308" s="446"/>
      <c r="R308" s="446"/>
      <c r="S308" s="446"/>
      <c r="T308" s="446"/>
      <c r="U308" s="446"/>
      <c r="V308" s="446"/>
      <c r="W308" s="446"/>
      <c r="X308" s="446"/>
      <c r="Y308" s="446"/>
      <c r="Z308" s="446"/>
      <c r="AA308" s="446"/>
      <c r="AB308" s="446"/>
      <c r="AC308" s="446"/>
      <c r="AD308" s="446"/>
      <c r="AE308" s="446"/>
      <c r="AF308" s="446"/>
      <c r="AG308" s="446"/>
      <c r="AH308" s="446"/>
      <c r="AI308" s="446"/>
      <c r="AJ308" s="446"/>
      <c r="AK308" s="446"/>
      <c r="AL308" s="446"/>
      <c r="AM308" s="446"/>
      <c r="AN308" s="446"/>
      <c r="AO308" s="446"/>
      <c r="AP308" s="446"/>
      <c r="AQ308" s="446"/>
      <c r="AR308" s="446"/>
      <c r="AS308" s="446"/>
      <c r="AT308" s="446"/>
      <c r="AU308" s="446"/>
      <c r="AV308" s="446"/>
      <c r="AW308" s="446"/>
      <c r="AX308" s="446"/>
      <c r="AY308" s="446"/>
      <c r="AZ308" s="446"/>
      <c r="BA308" s="446"/>
      <c r="BB308" s="446"/>
      <c r="BC308" s="446"/>
      <c r="BD308" s="446"/>
      <c r="BE308" s="446"/>
      <c r="BF308" s="446"/>
      <c r="BG308" s="446"/>
      <c r="BH308" s="446"/>
      <c r="BI308" s="446"/>
      <c r="BJ308" s="446"/>
      <c r="BK308" s="446"/>
      <c r="BL308" s="446"/>
    </row>
    <row r="309" spans="4:64" x14ac:dyDescent="0.2">
      <c r="D309" s="446"/>
      <c r="E309" s="446"/>
      <c r="F309" s="446"/>
      <c r="G309" s="446"/>
      <c r="H309" s="446"/>
      <c r="I309" s="446"/>
      <c r="J309" s="446"/>
      <c r="K309" s="446"/>
      <c r="L309" s="446"/>
      <c r="M309" s="446"/>
      <c r="N309" s="446"/>
      <c r="O309" s="446"/>
      <c r="P309" s="446"/>
      <c r="Q309" s="446"/>
      <c r="R309" s="446"/>
      <c r="S309" s="446"/>
      <c r="T309" s="446"/>
      <c r="U309" s="446"/>
      <c r="V309" s="446"/>
      <c r="W309" s="446"/>
      <c r="X309" s="446"/>
      <c r="Y309" s="446"/>
      <c r="Z309" s="446"/>
      <c r="AA309" s="446"/>
      <c r="AB309" s="446"/>
      <c r="AC309" s="446"/>
      <c r="AD309" s="446"/>
      <c r="AE309" s="446"/>
      <c r="AF309" s="446"/>
      <c r="AG309" s="446"/>
      <c r="AH309" s="446"/>
      <c r="AI309" s="446"/>
      <c r="AJ309" s="446"/>
      <c r="AK309" s="446"/>
      <c r="AL309" s="446"/>
      <c r="AM309" s="446"/>
      <c r="AN309" s="446"/>
      <c r="AO309" s="446"/>
      <c r="AP309" s="446"/>
      <c r="AQ309" s="446"/>
      <c r="AR309" s="446"/>
      <c r="AS309" s="446"/>
      <c r="AT309" s="446"/>
      <c r="AU309" s="446"/>
      <c r="AV309" s="446"/>
      <c r="AW309" s="446"/>
      <c r="AX309" s="446"/>
      <c r="AY309" s="446"/>
      <c r="AZ309" s="446"/>
      <c r="BA309" s="446"/>
      <c r="BB309" s="446"/>
      <c r="BC309" s="446"/>
      <c r="BD309" s="446"/>
      <c r="BE309" s="446"/>
      <c r="BF309" s="446"/>
      <c r="BG309" s="446"/>
      <c r="BH309" s="446"/>
      <c r="BI309" s="446"/>
      <c r="BJ309" s="446"/>
      <c r="BK309" s="446"/>
      <c r="BL309" s="446"/>
    </row>
    <row r="310" spans="4:64" x14ac:dyDescent="0.2">
      <c r="D310" s="446"/>
      <c r="E310" s="446"/>
      <c r="F310" s="446"/>
      <c r="G310" s="446"/>
      <c r="H310" s="446"/>
      <c r="I310" s="446"/>
      <c r="J310" s="446"/>
      <c r="K310" s="446"/>
      <c r="L310" s="446"/>
      <c r="M310" s="446"/>
      <c r="N310" s="446"/>
      <c r="O310" s="446"/>
      <c r="P310" s="446"/>
      <c r="Q310" s="446"/>
      <c r="R310" s="446"/>
      <c r="S310" s="446"/>
      <c r="T310" s="446"/>
      <c r="U310" s="446"/>
      <c r="V310" s="446"/>
      <c r="W310" s="446"/>
      <c r="X310" s="446"/>
      <c r="Y310" s="446"/>
      <c r="Z310" s="446"/>
      <c r="AA310" s="446"/>
      <c r="AB310" s="446"/>
      <c r="AC310" s="446"/>
      <c r="AD310" s="446"/>
      <c r="AE310" s="446"/>
      <c r="AF310" s="446"/>
      <c r="AG310" s="446"/>
      <c r="AH310" s="446"/>
      <c r="AI310" s="446"/>
      <c r="AJ310" s="446"/>
      <c r="AK310" s="446"/>
      <c r="AL310" s="446"/>
      <c r="AM310" s="446"/>
      <c r="AN310" s="446"/>
      <c r="AO310" s="446"/>
      <c r="AP310" s="446"/>
      <c r="AQ310" s="446"/>
      <c r="AR310" s="446"/>
      <c r="AS310" s="446"/>
      <c r="AT310" s="446"/>
      <c r="AU310" s="446"/>
      <c r="AV310" s="446"/>
      <c r="AW310" s="446"/>
      <c r="AX310" s="446"/>
      <c r="AY310" s="446"/>
      <c r="AZ310" s="446"/>
      <c r="BA310" s="446"/>
      <c r="BB310" s="446"/>
      <c r="BC310" s="446"/>
      <c r="BD310" s="446"/>
      <c r="BE310" s="446"/>
      <c r="BF310" s="446"/>
      <c r="BG310" s="446"/>
      <c r="BH310" s="446"/>
      <c r="BI310" s="446"/>
      <c r="BJ310" s="446"/>
      <c r="BK310" s="446"/>
      <c r="BL310" s="446"/>
    </row>
    <row r="311" spans="4:64" x14ac:dyDescent="0.2">
      <c r="D311" s="446"/>
      <c r="E311" s="446"/>
      <c r="F311" s="446"/>
      <c r="G311" s="446"/>
      <c r="H311" s="446"/>
      <c r="I311" s="446"/>
      <c r="J311" s="446"/>
      <c r="K311" s="446"/>
      <c r="L311" s="446"/>
      <c r="M311" s="446"/>
      <c r="N311" s="446"/>
      <c r="O311" s="446"/>
      <c r="P311" s="446"/>
      <c r="Q311" s="446"/>
      <c r="R311" s="446"/>
      <c r="S311" s="446"/>
      <c r="T311" s="446"/>
      <c r="U311" s="446"/>
      <c r="V311" s="446"/>
      <c r="W311" s="446"/>
      <c r="X311" s="446"/>
      <c r="Y311" s="446"/>
      <c r="Z311" s="446"/>
      <c r="AA311" s="446"/>
      <c r="AB311" s="446"/>
      <c r="AC311" s="446"/>
      <c r="AD311" s="446"/>
      <c r="AE311" s="446"/>
      <c r="AF311" s="446"/>
      <c r="AG311" s="446"/>
      <c r="AH311" s="446"/>
      <c r="AI311" s="446"/>
      <c r="AJ311" s="446"/>
      <c r="AK311" s="446"/>
      <c r="AL311" s="446"/>
      <c r="AM311" s="446"/>
      <c r="AN311" s="446"/>
      <c r="AO311" s="446"/>
      <c r="AP311" s="446"/>
      <c r="AQ311" s="446"/>
      <c r="AR311" s="446"/>
      <c r="AS311" s="446"/>
      <c r="AT311" s="446"/>
      <c r="AU311" s="446"/>
      <c r="AV311" s="446"/>
      <c r="AW311" s="446"/>
      <c r="AX311" s="446"/>
      <c r="AY311" s="446"/>
      <c r="AZ311" s="446"/>
      <c r="BA311" s="446"/>
      <c r="BB311" s="446"/>
      <c r="BC311" s="446"/>
      <c r="BD311" s="446"/>
      <c r="BE311" s="446"/>
      <c r="BF311" s="446"/>
      <c r="BG311" s="446"/>
      <c r="BH311" s="446"/>
      <c r="BI311" s="446"/>
      <c r="BJ311" s="446"/>
      <c r="BK311" s="446"/>
      <c r="BL311" s="446"/>
    </row>
    <row r="312" spans="4:64" x14ac:dyDescent="0.2">
      <c r="D312" s="446"/>
      <c r="E312" s="446"/>
      <c r="F312" s="446"/>
      <c r="G312" s="446"/>
      <c r="H312" s="446"/>
      <c r="I312" s="446"/>
      <c r="J312" s="446"/>
      <c r="K312" s="446"/>
      <c r="L312" s="446"/>
      <c r="M312" s="446"/>
      <c r="N312" s="446"/>
      <c r="O312" s="446"/>
      <c r="P312" s="446"/>
      <c r="Q312" s="446"/>
      <c r="R312" s="446"/>
      <c r="S312" s="446"/>
      <c r="T312" s="446"/>
      <c r="U312" s="446"/>
      <c r="V312" s="446"/>
      <c r="W312" s="446"/>
      <c r="X312" s="446"/>
      <c r="Y312" s="446"/>
      <c r="Z312" s="446"/>
      <c r="AA312" s="446"/>
      <c r="AB312" s="446"/>
      <c r="AC312" s="446"/>
      <c r="AD312" s="446"/>
      <c r="AE312" s="446"/>
      <c r="AF312" s="446"/>
      <c r="AG312" s="446"/>
      <c r="AH312" s="446"/>
      <c r="AI312" s="446"/>
      <c r="AJ312" s="446"/>
      <c r="AK312" s="446"/>
      <c r="AL312" s="446"/>
      <c r="AM312" s="446"/>
      <c r="AN312" s="446"/>
      <c r="AO312" s="446"/>
      <c r="AP312" s="446"/>
      <c r="AQ312" s="446"/>
      <c r="AR312" s="446"/>
      <c r="AS312" s="446"/>
      <c r="AT312" s="446"/>
      <c r="AU312" s="446"/>
      <c r="AV312" s="446"/>
      <c r="AW312" s="446"/>
      <c r="AX312" s="446"/>
      <c r="AY312" s="446"/>
      <c r="AZ312" s="446"/>
      <c r="BA312" s="446"/>
      <c r="BB312" s="446"/>
      <c r="BC312" s="446"/>
      <c r="BD312" s="446"/>
      <c r="BE312" s="446"/>
      <c r="BF312" s="446"/>
      <c r="BG312" s="446"/>
      <c r="BH312" s="446"/>
      <c r="BI312" s="446"/>
      <c r="BJ312" s="446"/>
      <c r="BK312" s="446"/>
      <c r="BL312" s="446"/>
    </row>
    <row r="313" spans="4:64" x14ac:dyDescent="0.2">
      <c r="D313" s="446"/>
      <c r="E313" s="446"/>
      <c r="F313" s="446"/>
      <c r="G313" s="446"/>
      <c r="H313" s="446"/>
      <c r="I313" s="446"/>
      <c r="J313" s="446"/>
      <c r="K313" s="446"/>
      <c r="L313" s="446"/>
      <c r="M313" s="446"/>
      <c r="N313" s="446"/>
      <c r="O313" s="446"/>
      <c r="P313" s="446"/>
      <c r="Q313" s="446"/>
      <c r="R313" s="446"/>
      <c r="S313" s="446"/>
      <c r="T313" s="446"/>
      <c r="U313" s="446"/>
      <c r="V313" s="446"/>
      <c r="W313" s="446"/>
      <c r="X313" s="446"/>
      <c r="Y313" s="446"/>
      <c r="Z313" s="446"/>
      <c r="AA313" s="446"/>
      <c r="AB313" s="446"/>
      <c r="AC313" s="446"/>
      <c r="AD313" s="446"/>
      <c r="AE313" s="446"/>
      <c r="AF313" s="446"/>
      <c r="AG313" s="446"/>
      <c r="AH313" s="446"/>
      <c r="AI313" s="446"/>
      <c r="AJ313" s="446"/>
      <c r="AK313" s="446"/>
      <c r="AL313" s="446"/>
      <c r="AM313" s="446"/>
      <c r="AN313" s="446"/>
      <c r="AO313" s="446"/>
      <c r="AP313" s="446"/>
      <c r="AQ313" s="446"/>
      <c r="AR313" s="446"/>
      <c r="AS313" s="446"/>
      <c r="AT313" s="446"/>
      <c r="AU313" s="446"/>
      <c r="AV313" s="446"/>
      <c r="AW313" s="446"/>
      <c r="AX313" s="446"/>
      <c r="AY313" s="446"/>
      <c r="AZ313" s="446"/>
      <c r="BA313" s="446"/>
      <c r="BB313" s="446"/>
      <c r="BC313" s="446"/>
      <c r="BD313" s="446"/>
      <c r="BE313" s="446"/>
      <c r="BF313" s="446"/>
      <c r="BG313" s="446"/>
      <c r="BH313" s="446"/>
      <c r="BI313" s="446"/>
      <c r="BJ313" s="446"/>
      <c r="BK313" s="446"/>
      <c r="BL313" s="446"/>
    </row>
    <row r="314" spans="4:64" x14ac:dyDescent="0.2">
      <c r="D314" s="446"/>
      <c r="E314" s="446"/>
      <c r="F314" s="446"/>
      <c r="G314" s="446"/>
      <c r="H314" s="446"/>
      <c r="I314" s="446"/>
      <c r="J314" s="446"/>
      <c r="K314" s="446"/>
      <c r="L314" s="446"/>
      <c r="M314" s="446"/>
      <c r="N314" s="446"/>
      <c r="O314" s="446"/>
      <c r="P314" s="446"/>
      <c r="Q314" s="446"/>
      <c r="R314" s="446"/>
      <c r="S314" s="446"/>
      <c r="T314" s="446"/>
      <c r="U314" s="446"/>
      <c r="V314" s="446"/>
      <c r="W314" s="446"/>
      <c r="X314" s="446"/>
      <c r="Y314" s="446"/>
      <c r="Z314" s="446"/>
      <c r="AA314" s="446"/>
      <c r="AB314" s="446"/>
      <c r="AC314" s="446"/>
      <c r="AD314" s="446"/>
      <c r="AE314" s="446"/>
      <c r="AF314" s="446"/>
      <c r="AG314" s="446"/>
      <c r="AH314" s="446"/>
      <c r="AI314" s="446"/>
      <c r="AJ314" s="446"/>
      <c r="AK314" s="446"/>
      <c r="AL314" s="446"/>
      <c r="AM314" s="446"/>
      <c r="AN314" s="446"/>
      <c r="AO314" s="446"/>
      <c r="AP314" s="446"/>
      <c r="AQ314" s="446"/>
      <c r="AR314" s="446"/>
      <c r="AS314" s="446"/>
      <c r="AT314" s="446"/>
      <c r="AU314" s="446"/>
      <c r="AV314" s="446"/>
      <c r="AW314" s="446"/>
      <c r="AX314" s="446"/>
      <c r="AY314" s="446"/>
      <c r="AZ314" s="446"/>
      <c r="BA314" s="446"/>
      <c r="BB314" s="446"/>
      <c r="BC314" s="446"/>
      <c r="BD314" s="446"/>
      <c r="BE314" s="446"/>
      <c r="BF314" s="446"/>
      <c r="BG314" s="446"/>
      <c r="BH314" s="446"/>
      <c r="BI314" s="446"/>
      <c r="BJ314" s="446"/>
      <c r="BK314" s="446"/>
      <c r="BL314" s="446"/>
    </row>
    <row r="315" spans="4:64" x14ac:dyDescent="0.2">
      <c r="D315" s="446"/>
      <c r="E315" s="446"/>
      <c r="F315" s="446"/>
      <c r="G315" s="446"/>
      <c r="H315" s="446"/>
      <c r="I315" s="446"/>
      <c r="J315" s="446"/>
      <c r="K315" s="446"/>
      <c r="L315" s="446"/>
      <c r="M315" s="446"/>
      <c r="N315" s="446"/>
      <c r="O315" s="446"/>
      <c r="P315" s="446"/>
      <c r="Q315" s="446"/>
      <c r="R315" s="446"/>
      <c r="S315" s="446"/>
      <c r="T315" s="446"/>
      <c r="U315" s="446"/>
      <c r="V315" s="446"/>
      <c r="W315" s="446"/>
      <c r="X315" s="446"/>
      <c r="Y315" s="446"/>
      <c r="Z315" s="446"/>
      <c r="AA315" s="446"/>
      <c r="AB315" s="446"/>
      <c r="AC315" s="446"/>
      <c r="AD315" s="446"/>
      <c r="AE315" s="446"/>
      <c r="AF315" s="446"/>
      <c r="AG315" s="446"/>
      <c r="AH315" s="446"/>
      <c r="AI315" s="446"/>
      <c r="AJ315" s="446"/>
      <c r="AK315" s="446"/>
      <c r="AL315" s="446"/>
      <c r="AM315" s="446"/>
      <c r="AN315" s="446"/>
      <c r="AO315" s="446"/>
      <c r="AP315" s="446"/>
      <c r="AQ315" s="446"/>
      <c r="AR315" s="446"/>
      <c r="AS315" s="446"/>
      <c r="AT315" s="446"/>
      <c r="AU315" s="446"/>
      <c r="AV315" s="446"/>
      <c r="AW315" s="446"/>
      <c r="AX315" s="446"/>
      <c r="AY315" s="446"/>
      <c r="AZ315" s="446"/>
      <c r="BA315" s="446"/>
      <c r="BB315" s="446"/>
      <c r="BC315" s="446"/>
      <c r="BD315" s="446"/>
      <c r="BE315" s="446"/>
      <c r="BF315" s="446"/>
      <c r="BG315" s="446"/>
      <c r="BH315" s="446"/>
      <c r="BI315" s="446"/>
      <c r="BJ315" s="446"/>
      <c r="BK315" s="446"/>
      <c r="BL315" s="446"/>
    </row>
    <row r="316" spans="4:64" x14ac:dyDescent="0.2">
      <c r="D316" s="446"/>
      <c r="E316" s="446"/>
      <c r="F316" s="446"/>
      <c r="G316" s="446"/>
      <c r="H316" s="446"/>
      <c r="I316" s="446"/>
      <c r="J316" s="446"/>
      <c r="K316" s="446"/>
      <c r="L316" s="446"/>
      <c r="M316" s="446"/>
      <c r="N316" s="446"/>
      <c r="O316" s="446"/>
      <c r="P316" s="446"/>
      <c r="Q316" s="446"/>
      <c r="R316" s="446"/>
      <c r="S316" s="446"/>
      <c r="T316" s="446"/>
      <c r="U316" s="446"/>
      <c r="V316" s="446"/>
      <c r="W316" s="446"/>
      <c r="X316" s="446"/>
      <c r="Y316" s="446"/>
      <c r="Z316" s="446"/>
      <c r="AA316" s="446"/>
      <c r="AB316" s="446"/>
      <c r="AC316" s="446"/>
      <c r="AD316" s="446"/>
      <c r="AE316" s="446"/>
      <c r="AF316" s="446"/>
      <c r="AG316" s="446"/>
      <c r="AH316" s="446"/>
      <c r="AI316" s="446"/>
      <c r="AJ316" s="446"/>
      <c r="AK316" s="446"/>
      <c r="AL316" s="446"/>
      <c r="AM316" s="446"/>
      <c r="AN316" s="446"/>
      <c r="AO316" s="446"/>
      <c r="AP316" s="446"/>
      <c r="AQ316" s="446"/>
      <c r="AR316" s="446"/>
      <c r="AS316" s="446"/>
      <c r="AT316" s="446"/>
      <c r="AU316" s="446"/>
      <c r="AV316" s="446"/>
      <c r="AW316" s="446"/>
      <c r="AX316" s="446"/>
      <c r="AY316" s="446"/>
      <c r="AZ316" s="446"/>
      <c r="BA316" s="446"/>
      <c r="BB316" s="446"/>
      <c r="BC316" s="446"/>
      <c r="BD316" s="446"/>
      <c r="BE316" s="446"/>
      <c r="BF316" s="446"/>
      <c r="BG316" s="446"/>
      <c r="BH316" s="446"/>
      <c r="BI316" s="446"/>
      <c r="BJ316" s="446"/>
      <c r="BK316" s="446"/>
      <c r="BL316" s="446"/>
    </row>
    <row r="317" spans="4:64" x14ac:dyDescent="0.2">
      <c r="D317" s="446"/>
      <c r="E317" s="446"/>
      <c r="F317" s="446"/>
      <c r="G317" s="446"/>
      <c r="H317" s="446"/>
      <c r="I317" s="446"/>
      <c r="J317" s="446"/>
      <c r="K317" s="446"/>
      <c r="L317" s="446"/>
      <c r="M317" s="446"/>
      <c r="N317" s="446"/>
      <c r="O317" s="446"/>
      <c r="P317" s="446"/>
      <c r="Q317" s="446"/>
      <c r="R317" s="446"/>
      <c r="S317" s="446"/>
      <c r="T317" s="446"/>
      <c r="U317" s="446"/>
      <c r="V317" s="446"/>
      <c r="W317" s="446"/>
      <c r="X317" s="446"/>
      <c r="Y317" s="446"/>
      <c r="Z317" s="446"/>
      <c r="AA317" s="446"/>
      <c r="AB317" s="446"/>
      <c r="AC317" s="446"/>
      <c r="AD317" s="446"/>
      <c r="AE317" s="446"/>
      <c r="AF317" s="446"/>
      <c r="AG317" s="446"/>
      <c r="AH317" s="446"/>
      <c r="AI317" s="446"/>
      <c r="AJ317" s="446"/>
      <c r="AK317" s="446"/>
      <c r="AL317" s="446"/>
      <c r="AM317" s="446"/>
      <c r="AN317" s="446"/>
      <c r="AO317" s="446"/>
      <c r="AP317" s="446"/>
      <c r="AQ317" s="446"/>
      <c r="AR317" s="446"/>
      <c r="AS317" s="446"/>
      <c r="AT317" s="446"/>
      <c r="AU317" s="446"/>
      <c r="AV317" s="446"/>
      <c r="AW317" s="446"/>
      <c r="AX317" s="446"/>
      <c r="AY317" s="446"/>
      <c r="AZ317" s="446"/>
      <c r="BA317" s="446"/>
      <c r="BB317" s="446"/>
      <c r="BC317" s="446"/>
      <c r="BD317" s="446"/>
      <c r="BE317" s="446"/>
      <c r="BF317" s="446"/>
      <c r="BG317" s="446"/>
      <c r="BH317" s="446"/>
      <c r="BI317" s="446"/>
      <c r="BJ317" s="446"/>
      <c r="BK317" s="446"/>
      <c r="BL317" s="446"/>
    </row>
    <row r="318" spans="4:64" x14ac:dyDescent="0.2">
      <c r="D318" s="446"/>
      <c r="E318" s="446"/>
      <c r="F318" s="446"/>
      <c r="G318" s="446"/>
      <c r="H318" s="446"/>
      <c r="I318" s="446"/>
      <c r="J318" s="446"/>
      <c r="K318" s="446"/>
      <c r="L318" s="446"/>
      <c r="M318" s="446"/>
      <c r="N318" s="446"/>
      <c r="O318" s="446"/>
      <c r="P318" s="446"/>
      <c r="Q318" s="446"/>
      <c r="R318" s="446"/>
      <c r="S318" s="446"/>
      <c r="T318" s="446"/>
      <c r="U318" s="446"/>
      <c r="V318" s="446"/>
      <c r="W318" s="446"/>
      <c r="X318" s="446"/>
      <c r="Y318" s="446"/>
      <c r="Z318" s="446"/>
      <c r="AA318" s="446"/>
      <c r="AB318" s="446"/>
      <c r="AC318" s="446"/>
      <c r="AD318" s="446"/>
      <c r="AE318" s="446"/>
      <c r="AF318" s="446"/>
      <c r="AG318" s="446"/>
      <c r="AH318" s="446"/>
      <c r="AI318" s="446"/>
      <c r="AJ318" s="446"/>
      <c r="AK318" s="446"/>
      <c r="AL318" s="446"/>
      <c r="AM318" s="446"/>
      <c r="AN318" s="446"/>
      <c r="AO318" s="446"/>
      <c r="AP318" s="446"/>
      <c r="AQ318" s="446"/>
      <c r="AR318" s="446"/>
      <c r="AS318" s="446"/>
      <c r="AT318" s="446"/>
      <c r="AU318" s="446"/>
      <c r="AV318" s="446"/>
      <c r="AW318" s="446"/>
      <c r="AX318" s="446"/>
      <c r="AY318" s="446"/>
      <c r="AZ318" s="446"/>
      <c r="BA318" s="446"/>
      <c r="BB318" s="446"/>
      <c r="BC318" s="446"/>
      <c r="BD318" s="446"/>
      <c r="BE318" s="446"/>
      <c r="BF318" s="446"/>
      <c r="BG318" s="446"/>
      <c r="BH318" s="446"/>
      <c r="BI318" s="446"/>
      <c r="BJ318" s="446"/>
      <c r="BK318" s="446"/>
      <c r="BL318" s="446"/>
    </row>
    <row r="319" spans="4:64" x14ac:dyDescent="0.2">
      <c r="D319" s="446"/>
      <c r="E319" s="446"/>
      <c r="F319" s="446"/>
      <c r="G319" s="446"/>
      <c r="H319" s="446"/>
      <c r="I319" s="446"/>
      <c r="J319" s="446"/>
      <c r="K319" s="446"/>
      <c r="L319" s="446"/>
      <c r="M319" s="446"/>
      <c r="N319" s="446"/>
      <c r="O319" s="446"/>
      <c r="P319" s="446"/>
      <c r="Q319" s="446"/>
      <c r="R319" s="446"/>
      <c r="S319" s="446"/>
      <c r="T319" s="446"/>
      <c r="U319" s="446"/>
      <c r="V319" s="446"/>
      <c r="W319" s="446"/>
      <c r="X319" s="446"/>
      <c r="Y319" s="446"/>
      <c r="Z319" s="446"/>
      <c r="AA319" s="446"/>
      <c r="AB319" s="446"/>
      <c r="AC319" s="446"/>
      <c r="AD319" s="446"/>
      <c r="AE319" s="446"/>
      <c r="AF319" s="446"/>
      <c r="AG319" s="446"/>
      <c r="AH319" s="446"/>
      <c r="AI319" s="446"/>
      <c r="AJ319" s="446"/>
      <c r="AK319" s="446"/>
      <c r="AL319" s="446"/>
      <c r="AM319" s="446"/>
      <c r="AN319" s="446"/>
      <c r="AO319" s="446"/>
      <c r="AP319" s="446"/>
      <c r="AQ319" s="446"/>
      <c r="AR319" s="446"/>
      <c r="AS319" s="446"/>
      <c r="AT319" s="446"/>
      <c r="AU319" s="446"/>
      <c r="AV319" s="446"/>
      <c r="AW319" s="446"/>
      <c r="AX319" s="446"/>
      <c r="AY319" s="446"/>
      <c r="AZ319" s="446"/>
      <c r="BA319" s="446"/>
      <c r="BB319" s="446"/>
      <c r="BC319" s="446"/>
      <c r="BD319" s="446"/>
      <c r="BE319" s="446"/>
      <c r="BF319" s="446"/>
      <c r="BG319" s="446"/>
      <c r="BH319" s="446"/>
      <c r="BI319" s="446"/>
      <c r="BJ319" s="446"/>
      <c r="BK319" s="446"/>
      <c r="BL319" s="446"/>
    </row>
    <row r="320" spans="4:64" x14ac:dyDescent="0.2">
      <c r="D320" s="446"/>
      <c r="E320" s="446"/>
      <c r="F320" s="446"/>
      <c r="G320" s="446"/>
      <c r="H320" s="446"/>
      <c r="I320" s="446"/>
      <c r="J320" s="446"/>
      <c r="K320" s="446"/>
      <c r="L320" s="446"/>
      <c r="M320" s="446"/>
      <c r="N320" s="446"/>
      <c r="O320" s="446"/>
      <c r="P320" s="446"/>
      <c r="Q320" s="446"/>
      <c r="R320" s="446"/>
      <c r="S320" s="446"/>
      <c r="T320" s="446"/>
      <c r="U320" s="446"/>
      <c r="V320" s="446"/>
      <c r="W320" s="446"/>
      <c r="X320" s="446"/>
      <c r="Y320" s="446"/>
      <c r="Z320" s="446"/>
      <c r="AA320" s="446"/>
      <c r="AB320" s="446"/>
      <c r="AC320" s="446"/>
      <c r="AD320" s="446"/>
      <c r="AE320" s="446"/>
      <c r="AF320" s="446"/>
      <c r="AG320" s="446"/>
      <c r="AH320" s="446"/>
      <c r="AI320" s="446"/>
      <c r="AJ320" s="446"/>
      <c r="AK320" s="446"/>
      <c r="AL320" s="446"/>
      <c r="AM320" s="446"/>
      <c r="AN320" s="446"/>
      <c r="AO320" s="446"/>
      <c r="AP320" s="446"/>
      <c r="AQ320" s="446"/>
      <c r="AR320" s="446"/>
      <c r="AS320" s="446"/>
      <c r="AT320" s="446"/>
      <c r="AU320" s="446"/>
      <c r="AV320" s="446"/>
      <c r="AW320" s="446"/>
      <c r="AX320" s="446"/>
      <c r="AY320" s="446"/>
      <c r="AZ320" s="446"/>
      <c r="BA320" s="446"/>
      <c r="BB320" s="446"/>
      <c r="BC320" s="446"/>
      <c r="BD320" s="446"/>
      <c r="BE320" s="446"/>
      <c r="BF320" s="446"/>
      <c r="BG320" s="446"/>
      <c r="BH320" s="446"/>
      <c r="BI320" s="446"/>
      <c r="BJ320" s="446"/>
      <c r="BK320" s="446"/>
      <c r="BL320" s="446"/>
    </row>
    <row r="321" spans="4:64" x14ac:dyDescent="0.2">
      <c r="D321" s="446"/>
      <c r="E321" s="446"/>
      <c r="F321" s="446"/>
      <c r="G321" s="446"/>
      <c r="H321" s="446"/>
      <c r="I321" s="446"/>
      <c r="J321" s="446"/>
      <c r="K321" s="446"/>
      <c r="L321" s="446"/>
      <c r="M321" s="446"/>
      <c r="N321" s="446"/>
      <c r="O321" s="446"/>
      <c r="P321" s="446"/>
      <c r="Q321" s="446"/>
      <c r="R321" s="446"/>
      <c r="S321" s="446"/>
      <c r="T321" s="446"/>
      <c r="U321" s="446"/>
      <c r="V321" s="446"/>
      <c r="W321" s="446"/>
      <c r="X321" s="446"/>
      <c r="Y321" s="446"/>
      <c r="Z321" s="446"/>
      <c r="AA321" s="446"/>
      <c r="AB321" s="446"/>
      <c r="AC321" s="446"/>
      <c r="AD321" s="446"/>
      <c r="AE321" s="446"/>
      <c r="AF321" s="446"/>
      <c r="AG321" s="446"/>
      <c r="AH321" s="446"/>
      <c r="AI321" s="446"/>
      <c r="AJ321" s="446"/>
      <c r="AK321" s="446"/>
      <c r="AL321" s="446"/>
      <c r="AM321" s="446"/>
      <c r="AN321" s="446"/>
      <c r="AO321" s="446"/>
      <c r="AP321" s="446"/>
      <c r="AQ321" s="446"/>
      <c r="AR321" s="446"/>
      <c r="AS321" s="446"/>
      <c r="AT321" s="446"/>
      <c r="AU321" s="446"/>
      <c r="AV321" s="446"/>
      <c r="AW321" s="446"/>
      <c r="AX321" s="446"/>
      <c r="AY321" s="446"/>
      <c r="AZ321" s="446"/>
      <c r="BA321" s="446"/>
      <c r="BB321" s="446"/>
      <c r="BC321" s="446"/>
      <c r="BD321" s="446"/>
      <c r="BE321" s="446"/>
      <c r="BF321" s="446"/>
      <c r="BG321" s="446"/>
      <c r="BH321" s="446"/>
      <c r="BI321" s="446"/>
      <c r="BJ321" s="446"/>
      <c r="BK321" s="446"/>
      <c r="BL321" s="446"/>
    </row>
    <row r="322" spans="4:64" x14ac:dyDescent="0.2">
      <c r="D322" s="446"/>
      <c r="E322" s="446"/>
      <c r="F322" s="446"/>
      <c r="G322" s="446"/>
      <c r="H322" s="446"/>
      <c r="I322" s="446"/>
      <c r="J322" s="446"/>
      <c r="K322" s="446"/>
      <c r="L322" s="446"/>
      <c r="M322" s="446"/>
      <c r="N322" s="446"/>
      <c r="O322" s="446"/>
      <c r="P322" s="446"/>
      <c r="Q322" s="446"/>
      <c r="R322" s="446"/>
      <c r="S322" s="446"/>
      <c r="T322" s="446"/>
      <c r="U322" s="446"/>
      <c r="V322" s="446"/>
      <c r="W322" s="446"/>
      <c r="X322" s="446"/>
      <c r="Y322" s="446"/>
      <c r="Z322" s="446"/>
      <c r="AA322" s="446"/>
      <c r="AB322" s="446"/>
      <c r="AC322" s="446"/>
      <c r="AD322" s="446"/>
      <c r="AE322" s="446"/>
      <c r="AF322" s="446"/>
      <c r="AG322" s="446"/>
      <c r="AH322" s="446"/>
      <c r="AI322" s="446"/>
      <c r="AJ322" s="446"/>
      <c r="AK322" s="446"/>
      <c r="AL322" s="446"/>
      <c r="AM322" s="446"/>
      <c r="AN322" s="446"/>
      <c r="AO322" s="446"/>
      <c r="AP322" s="446"/>
      <c r="AQ322" s="446"/>
      <c r="AR322" s="446"/>
      <c r="AS322" s="446"/>
      <c r="AT322" s="446"/>
      <c r="AU322" s="446"/>
      <c r="AV322" s="446"/>
      <c r="AW322" s="446"/>
      <c r="AX322" s="446"/>
      <c r="AY322" s="446"/>
      <c r="AZ322" s="446"/>
      <c r="BA322" s="446"/>
      <c r="BB322" s="446"/>
      <c r="BC322" s="446"/>
      <c r="BD322" s="446"/>
      <c r="BE322" s="446"/>
      <c r="BF322" s="446"/>
      <c r="BG322" s="446"/>
      <c r="BH322" s="446"/>
      <c r="BI322" s="446"/>
      <c r="BJ322" s="446"/>
      <c r="BK322" s="446"/>
      <c r="BL322" s="446"/>
    </row>
    <row r="323" spans="4:64" x14ac:dyDescent="0.2">
      <c r="D323" s="446"/>
      <c r="E323" s="446"/>
      <c r="F323" s="446"/>
      <c r="G323" s="446"/>
      <c r="H323" s="446"/>
      <c r="I323" s="446"/>
      <c r="J323" s="446"/>
      <c r="K323" s="446"/>
      <c r="L323" s="446"/>
      <c r="M323" s="446"/>
      <c r="N323" s="446"/>
      <c r="O323" s="446"/>
      <c r="P323" s="446"/>
      <c r="Q323" s="446"/>
      <c r="R323" s="446"/>
      <c r="S323" s="446"/>
      <c r="T323" s="446"/>
      <c r="U323" s="446"/>
      <c r="V323" s="446"/>
      <c r="W323" s="446"/>
      <c r="X323" s="446"/>
      <c r="Y323" s="446"/>
      <c r="Z323" s="446"/>
      <c r="AA323" s="446"/>
      <c r="AB323" s="446"/>
      <c r="AC323" s="446"/>
      <c r="AD323" s="446"/>
      <c r="AE323" s="446"/>
      <c r="AF323" s="446"/>
      <c r="AG323" s="446"/>
      <c r="AH323" s="446"/>
      <c r="AI323" s="446"/>
      <c r="AJ323" s="446"/>
      <c r="AK323" s="446"/>
      <c r="AL323" s="446"/>
      <c r="AM323" s="446"/>
      <c r="AN323" s="446"/>
      <c r="AO323" s="446"/>
      <c r="AP323" s="446"/>
      <c r="AQ323" s="446"/>
      <c r="AR323" s="446"/>
      <c r="AS323" s="446"/>
      <c r="AT323" s="446"/>
      <c r="AU323" s="446"/>
      <c r="AV323" s="446"/>
      <c r="AW323" s="446"/>
      <c r="AX323" s="446"/>
      <c r="AY323" s="446"/>
      <c r="AZ323" s="446"/>
      <c r="BA323" s="446"/>
      <c r="BB323" s="446"/>
      <c r="BC323" s="446"/>
      <c r="BD323" s="446"/>
      <c r="BE323" s="446"/>
      <c r="BF323" s="446"/>
      <c r="BG323" s="446"/>
      <c r="BH323" s="446"/>
      <c r="BI323" s="446"/>
      <c r="BJ323" s="446"/>
      <c r="BK323" s="446"/>
      <c r="BL323" s="446"/>
    </row>
    <row r="324" spans="4:64" x14ac:dyDescent="0.2">
      <c r="D324" s="446"/>
      <c r="E324" s="446"/>
      <c r="F324" s="446"/>
      <c r="G324" s="446"/>
      <c r="H324" s="446"/>
      <c r="I324" s="446"/>
      <c r="J324" s="446"/>
      <c r="K324" s="446"/>
      <c r="L324" s="446"/>
      <c r="M324" s="446"/>
      <c r="N324" s="446"/>
      <c r="O324" s="446"/>
      <c r="P324" s="446"/>
      <c r="Q324" s="446"/>
      <c r="R324" s="446"/>
      <c r="S324" s="446"/>
      <c r="T324" s="446"/>
      <c r="U324" s="446"/>
      <c r="V324" s="446"/>
      <c r="W324" s="446"/>
      <c r="X324" s="446"/>
      <c r="Y324" s="446"/>
      <c r="Z324" s="446"/>
      <c r="AA324" s="446"/>
      <c r="AB324" s="446"/>
      <c r="AC324" s="446"/>
      <c r="AD324" s="446"/>
      <c r="AE324" s="446"/>
      <c r="AF324" s="446"/>
      <c r="AG324" s="446"/>
      <c r="AH324" s="446"/>
      <c r="AI324" s="446"/>
      <c r="AJ324" s="446"/>
      <c r="AK324" s="446"/>
      <c r="AL324" s="446"/>
      <c r="AM324" s="446"/>
      <c r="AN324" s="446"/>
      <c r="AO324" s="446"/>
      <c r="AP324" s="446"/>
      <c r="AQ324" s="446"/>
      <c r="AR324" s="446"/>
      <c r="AS324" s="446"/>
      <c r="AT324" s="446"/>
      <c r="AU324" s="446"/>
      <c r="AV324" s="446"/>
      <c r="AW324" s="446"/>
      <c r="AX324" s="446"/>
      <c r="AY324" s="446"/>
      <c r="AZ324" s="446"/>
      <c r="BA324" s="446"/>
      <c r="BB324" s="446"/>
      <c r="BC324" s="446"/>
      <c r="BD324" s="446"/>
      <c r="BE324" s="446"/>
      <c r="BF324" s="446"/>
      <c r="BG324" s="446"/>
      <c r="BH324" s="446"/>
      <c r="BI324" s="446"/>
      <c r="BJ324" s="446"/>
      <c r="BK324" s="446"/>
      <c r="BL324" s="446"/>
    </row>
    <row r="325" spans="4:64" x14ac:dyDescent="0.2">
      <c r="D325" s="446"/>
      <c r="E325" s="446"/>
      <c r="F325" s="446"/>
      <c r="G325" s="446"/>
      <c r="H325" s="446"/>
      <c r="I325" s="446"/>
      <c r="J325" s="446"/>
      <c r="K325" s="446"/>
      <c r="L325" s="446"/>
      <c r="M325" s="446"/>
      <c r="N325" s="446"/>
      <c r="O325" s="446"/>
      <c r="P325" s="446"/>
      <c r="Q325" s="446"/>
      <c r="R325" s="446"/>
      <c r="S325" s="446"/>
      <c r="T325" s="446"/>
      <c r="U325" s="446"/>
      <c r="V325" s="446"/>
      <c r="W325" s="446"/>
      <c r="X325" s="446"/>
      <c r="Y325" s="446"/>
      <c r="Z325" s="446"/>
      <c r="AA325" s="446"/>
      <c r="AB325" s="446"/>
      <c r="AC325" s="446"/>
      <c r="AD325" s="446"/>
      <c r="AE325" s="446"/>
      <c r="AF325" s="446"/>
      <c r="AG325" s="446"/>
      <c r="AH325" s="446"/>
      <c r="AI325" s="446"/>
      <c r="AJ325" s="446"/>
      <c r="AK325" s="446"/>
      <c r="AL325" s="446"/>
      <c r="AM325" s="446"/>
      <c r="AN325" s="446"/>
      <c r="AO325" s="446"/>
      <c r="AP325" s="446"/>
      <c r="AQ325" s="446"/>
      <c r="AR325" s="446"/>
      <c r="AS325" s="446"/>
      <c r="AT325" s="446"/>
      <c r="AU325" s="446"/>
      <c r="AV325" s="446"/>
      <c r="AW325" s="446"/>
      <c r="AX325" s="446"/>
      <c r="AY325" s="446"/>
      <c r="AZ325" s="446"/>
      <c r="BA325" s="446"/>
      <c r="BB325" s="446"/>
      <c r="BC325" s="446"/>
      <c r="BD325" s="446"/>
      <c r="BE325" s="446"/>
      <c r="BF325" s="446"/>
      <c r="BG325" s="446"/>
      <c r="BH325" s="446"/>
      <c r="BI325" s="446"/>
      <c r="BJ325" s="446"/>
      <c r="BK325" s="446"/>
      <c r="BL325" s="446"/>
    </row>
    <row r="326" spans="4:64" x14ac:dyDescent="0.2">
      <c r="D326" s="446"/>
      <c r="E326" s="446"/>
      <c r="F326" s="446"/>
      <c r="G326" s="446"/>
      <c r="H326" s="446"/>
      <c r="I326" s="446"/>
      <c r="J326" s="446"/>
      <c r="K326" s="446"/>
      <c r="L326" s="446"/>
      <c r="M326" s="446"/>
      <c r="N326" s="446"/>
      <c r="O326" s="446"/>
      <c r="P326" s="446"/>
      <c r="Q326" s="446"/>
      <c r="R326" s="446"/>
      <c r="S326" s="446"/>
      <c r="T326" s="446"/>
      <c r="U326" s="446"/>
      <c r="V326" s="446"/>
      <c r="W326" s="446"/>
      <c r="X326" s="446"/>
      <c r="Y326" s="446"/>
      <c r="Z326" s="446"/>
      <c r="AA326" s="446"/>
      <c r="AB326" s="446"/>
      <c r="AC326" s="446"/>
      <c r="AD326" s="446"/>
      <c r="AE326" s="446"/>
      <c r="AF326" s="446"/>
      <c r="AG326" s="446"/>
      <c r="AH326" s="446"/>
      <c r="AI326" s="446"/>
      <c r="AJ326" s="446"/>
      <c r="AK326" s="446"/>
      <c r="AL326" s="446"/>
      <c r="AM326" s="446"/>
      <c r="AN326" s="446"/>
      <c r="AO326" s="446"/>
      <c r="AP326" s="446"/>
      <c r="AQ326" s="446"/>
      <c r="AR326" s="446"/>
      <c r="AS326" s="446"/>
      <c r="AT326" s="446"/>
      <c r="AU326" s="446"/>
      <c r="AV326" s="446"/>
      <c r="AW326" s="446"/>
      <c r="AX326" s="446"/>
      <c r="AY326" s="446"/>
      <c r="AZ326" s="446"/>
      <c r="BA326" s="446"/>
      <c r="BB326" s="446"/>
      <c r="BC326" s="446"/>
      <c r="BD326" s="446"/>
      <c r="BE326" s="446"/>
      <c r="BF326" s="446"/>
      <c r="BG326" s="446"/>
      <c r="BH326" s="446"/>
      <c r="BI326" s="446"/>
      <c r="BJ326" s="446"/>
      <c r="BK326" s="446"/>
      <c r="BL326" s="446"/>
    </row>
  </sheetData>
  <sheetProtection password="8826" sheet="1" objects="1" scenarios="1" selectLockedCells="1" pivotTables="0"/>
  <mergeCells count="11">
    <mergeCell ref="F11:K11"/>
    <mergeCell ref="M5:N5"/>
    <mergeCell ref="Q5:R5"/>
    <mergeCell ref="J5:L5"/>
    <mergeCell ref="O5:P5"/>
    <mergeCell ref="T3:U3"/>
    <mergeCell ref="M3:R3"/>
    <mergeCell ref="J3:L3"/>
    <mergeCell ref="J4:L4"/>
    <mergeCell ref="AG6:AH6"/>
    <mergeCell ref="S5:U5"/>
  </mergeCells>
  <phoneticPr fontId="59" type="noConversion"/>
  <pageMargins left="0.511811024" right="0.511811024" top="0.78740157499999996" bottom="0.78740157499999996" header="0.31496062000000002" footer="0.31496062000000002"/>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enableFormatConditionsCalculation="0">
    <tabColor theme="7" tint="0.39997558519241921"/>
  </sheetPr>
  <dimension ref="A1:K62"/>
  <sheetViews>
    <sheetView zoomScale="150" zoomScaleNormal="150" zoomScalePageLayoutView="150" workbookViewId="0">
      <selection activeCell="C57" activeCellId="1" sqref="C53:C54 C57"/>
    </sheetView>
  </sheetViews>
  <sheetFormatPr baseColWidth="10" defaultColWidth="8.6640625" defaultRowHeight="15" x14ac:dyDescent="0.2"/>
  <cols>
    <col min="1" max="1" width="5.1640625" style="448" customWidth="1"/>
    <col min="2" max="2" width="34" style="448" bestFit="1" customWidth="1"/>
    <col min="3" max="3" width="13.5" style="448" bestFit="1" customWidth="1"/>
    <col min="4" max="4" width="7.5" style="448" bestFit="1" customWidth="1"/>
    <col min="5" max="5" width="3.5" style="448" customWidth="1"/>
    <col min="6" max="6" width="29.33203125" style="448" customWidth="1"/>
    <col min="7" max="7" width="9.33203125" style="448" customWidth="1"/>
    <col min="8" max="8" width="11.6640625" style="448" customWidth="1"/>
    <col min="9" max="9" width="0.5" style="448" customWidth="1"/>
    <col min="10" max="10" width="9.1640625" style="448" customWidth="1"/>
    <col min="11" max="11" width="8.6640625" style="448" customWidth="1"/>
    <col min="12" max="16384" width="8.6640625" style="448"/>
  </cols>
  <sheetData>
    <row r="1" spans="1:11" x14ac:dyDescent="0.2">
      <c r="A1" s="472"/>
      <c r="B1" s="19"/>
      <c r="C1" s="20"/>
      <c r="D1" s="20"/>
      <c r="E1" s="19"/>
      <c r="F1" s="1"/>
      <c r="G1" s="1"/>
      <c r="H1" s="1"/>
      <c r="I1" s="1"/>
      <c r="J1" s="1"/>
      <c r="K1" s="1"/>
    </row>
    <row r="2" spans="1:11" x14ac:dyDescent="0.2">
      <c r="A2" s="19"/>
      <c r="B2" s="19"/>
      <c r="C2" s="20"/>
      <c r="D2" s="20"/>
      <c r="E2" s="19"/>
      <c r="F2" s="1"/>
      <c r="G2" s="1"/>
      <c r="H2" s="1"/>
      <c r="I2" s="1"/>
      <c r="J2" s="1"/>
      <c r="K2" s="1"/>
    </row>
    <row r="3" spans="1:11" x14ac:dyDescent="0.2">
      <c r="A3" s="19"/>
      <c r="B3" s="19"/>
      <c r="C3" s="20"/>
      <c r="D3" s="20"/>
      <c r="E3" s="19"/>
      <c r="F3" s="1"/>
      <c r="G3" s="1"/>
      <c r="H3" s="1"/>
      <c r="I3" s="1"/>
      <c r="J3" s="1"/>
      <c r="K3" s="1"/>
    </row>
    <row r="4" spans="1:11" x14ac:dyDescent="0.2">
      <c r="A4" s="19"/>
      <c r="B4" s="19"/>
      <c r="C4" s="19"/>
      <c r="D4" s="19"/>
      <c r="E4" s="19"/>
      <c r="F4" s="1"/>
      <c r="G4" s="1"/>
      <c r="H4" s="1"/>
      <c r="I4" s="1"/>
      <c r="J4" s="1"/>
      <c r="K4" s="1"/>
    </row>
    <row r="5" spans="1:11" x14ac:dyDescent="0.2">
      <c r="A5" s="19"/>
      <c r="B5" s="452" t="s">
        <v>34</v>
      </c>
      <c r="C5" s="453">
        <f>Home!$V$3</f>
        <v>2016</v>
      </c>
      <c r="D5" s="454"/>
      <c r="E5" s="19"/>
      <c r="F5" s="1"/>
      <c r="G5" s="1"/>
      <c r="H5" s="1"/>
      <c r="I5" s="1"/>
      <c r="J5" s="1"/>
      <c r="K5" s="1"/>
    </row>
    <row r="6" spans="1:11" x14ac:dyDescent="0.2">
      <c r="A6" s="19"/>
      <c r="B6" s="19"/>
      <c r="C6" s="20"/>
      <c r="D6" s="20"/>
      <c r="E6" s="19"/>
      <c r="F6" s="1"/>
      <c r="G6" s="1"/>
      <c r="H6" s="1"/>
      <c r="I6" s="1"/>
      <c r="J6" s="1"/>
      <c r="K6" s="1"/>
    </row>
    <row r="7" spans="1:11" ht="15" customHeight="1" x14ac:dyDescent="0.2">
      <c r="A7" s="19"/>
      <c r="B7" s="1065" t="s">
        <v>0</v>
      </c>
      <c r="C7" s="1066"/>
      <c r="D7" s="1067"/>
      <c r="E7" s="19"/>
      <c r="F7" s="850" t="s">
        <v>1</v>
      </c>
      <c r="G7" s="424"/>
      <c r="H7" s="2"/>
      <c r="I7" s="2"/>
      <c r="J7" s="2"/>
      <c r="K7" s="1"/>
    </row>
    <row r="8" spans="1:11" ht="15" customHeight="1" x14ac:dyDescent="0.2">
      <c r="A8" s="19"/>
      <c r="B8" s="423" t="s">
        <v>35</v>
      </c>
      <c r="C8" s="455" t="s">
        <v>36</v>
      </c>
      <c r="D8" s="455" t="s">
        <v>37</v>
      </c>
      <c r="E8" s="19"/>
      <c r="F8" s="849" t="e">
        <f>F11/'Input Zootecnico atual'!C19</f>
        <v>#DIV/0!</v>
      </c>
      <c r="G8" s="3"/>
      <c r="H8" s="2"/>
      <c r="I8" s="2"/>
      <c r="J8" s="2"/>
      <c r="K8" s="1"/>
    </row>
    <row r="9" spans="1:11" x14ac:dyDescent="0.2">
      <c r="A9" s="19"/>
      <c r="B9" s="21" t="s">
        <v>43</v>
      </c>
      <c r="C9" s="23"/>
      <c r="D9" s="456" t="s">
        <v>18</v>
      </c>
      <c r="E9" s="19"/>
      <c r="F9" s="4"/>
      <c r="G9" s="4"/>
      <c r="H9" s="2"/>
      <c r="I9" s="2"/>
      <c r="J9" s="2"/>
      <c r="K9" s="1"/>
    </row>
    <row r="10" spans="1:11" x14ac:dyDescent="0.2">
      <c r="A10" s="19"/>
      <c r="B10" s="21" t="s">
        <v>44</v>
      </c>
      <c r="C10" s="24"/>
      <c r="D10" s="457" t="s">
        <v>40</v>
      </c>
      <c r="E10" s="19"/>
      <c r="F10" s="850" t="s">
        <v>475</v>
      </c>
      <c r="K10" s="1"/>
    </row>
    <row r="11" spans="1:11" x14ac:dyDescent="0.2">
      <c r="A11" s="19"/>
      <c r="B11" s="21" t="s">
        <v>450</v>
      </c>
      <c r="C11" s="25"/>
      <c r="D11" s="458" t="s">
        <v>41</v>
      </c>
      <c r="E11" s="19"/>
      <c r="F11" s="844" t="e">
        <f>C23/C11</f>
        <v>#DIV/0!</v>
      </c>
      <c r="G11" s="5"/>
      <c r="H11" s="2"/>
      <c r="I11" s="2"/>
      <c r="J11" s="2"/>
      <c r="K11" s="1"/>
    </row>
    <row r="12" spans="1:11" x14ac:dyDescent="0.2">
      <c r="A12" s="19"/>
      <c r="B12" s="21" t="s">
        <v>3</v>
      </c>
      <c r="C12" s="22"/>
      <c r="D12" s="489" t="s">
        <v>428</v>
      </c>
      <c r="E12" s="19"/>
      <c r="F12" s="4"/>
      <c r="G12" s="4"/>
      <c r="H12" s="2"/>
      <c r="I12" s="2"/>
      <c r="J12" s="2"/>
      <c r="K12" s="1"/>
    </row>
    <row r="13" spans="1:11" x14ac:dyDescent="0.2">
      <c r="A13" s="19"/>
      <c r="B13" s="21" t="s">
        <v>45</v>
      </c>
      <c r="C13" s="23"/>
      <c r="D13" s="456" t="s">
        <v>18</v>
      </c>
      <c r="E13" s="19"/>
      <c r="F13" s="850" t="s">
        <v>505</v>
      </c>
      <c r="G13" s="431"/>
      <c r="H13" s="2"/>
      <c r="I13" s="2"/>
      <c r="J13" s="2"/>
      <c r="K13" s="460"/>
    </row>
    <row r="14" spans="1:11" x14ac:dyDescent="0.2">
      <c r="A14" s="19"/>
      <c r="B14" s="21" t="s">
        <v>46</v>
      </c>
      <c r="C14" s="26"/>
      <c r="D14" s="461" t="s">
        <v>432</v>
      </c>
      <c r="E14" s="19"/>
      <c r="F14" s="845" t="e">
        <f>(C41)/F11</f>
        <v>#DIV/0!</v>
      </c>
      <c r="G14" s="4"/>
      <c r="H14" s="2"/>
      <c r="I14" s="2"/>
      <c r="J14" s="2"/>
      <c r="K14" s="1"/>
    </row>
    <row r="15" spans="1:11" x14ac:dyDescent="0.2">
      <c r="A15" s="19"/>
      <c r="B15" s="21" t="s">
        <v>47</v>
      </c>
      <c r="C15" s="22"/>
      <c r="D15" s="459" t="s">
        <v>433</v>
      </c>
      <c r="E15" s="19"/>
      <c r="G15" s="6"/>
      <c r="H15" s="2"/>
      <c r="I15" s="2"/>
      <c r="J15" s="2"/>
      <c r="K15" s="1"/>
    </row>
    <row r="16" spans="1:11" x14ac:dyDescent="0.2">
      <c r="A16" s="19"/>
      <c r="B16" s="19"/>
      <c r="C16" s="19"/>
      <c r="D16" s="19"/>
      <c r="E16" s="19"/>
      <c r="F16" s="4"/>
      <c r="G16" s="4"/>
      <c r="H16" s="2"/>
      <c r="I16" s="2"/>
      <c r="J16" s="2"/>
      <c r="K16" s="1"/>
    </row>
    <row r="17" spans="1:11" x14ac:dyDescent="0.2">
      <c r="A17" s="19"/>
      <c r="B17" s="1064" t="s">
        <v>5</v>
      </c>
      <c r="C17" s="1064"/>
      <c r="D17" s="1064"/>
      <c r="E17" s="19"/>
      <c r="G17" s="4"/>
      <c r="H17" s="2"/>
      <c r="I17" s="2"/>
      <c r="J17" s="2"/>
      <c r="K17" s="1"/>
    </row>
    <row r="18" spans="1:11" x14ac:dyDescent="0.2">
      <c r="A18" s="19"/>
      <c r="B18" s="423" t="s">
        <v>35</v>
      </c>
      <c r="C18" s="455" t="s">
        <v>36</v>
      </c>
      <c r="D18" s="455" t="s">
        <v>37</v>
      </c>
      <c r="E18" s="19"/>
      <c r="F18" s="850" t="s">
        <v>6</v>
      </c>
      <c r="G18" s="4"/>
      <c r="H18" s="2"/>
      <c r="I18" s="2"/>
      <c r="J18" s="2"/>
      <c r="K18" s="1"/>
    </row>
    <row r="19" spans="1:11" x14ac:dyDescent="0.2">
      <c r="A19" s="19"/>
      <c r="B19" s="21" t="s">
        <v>7</v>
      </c>
      <c r="C19" s="520">
        <f>C10*C11</f>
        <v>0</v>
      </c>
      <c r="D19" s="456" t="s">
        <v>18</v>
      </c>
      <c r="E19" s="19"/>
      <c r="F19" s="846" t="e">
        <f>C19/$F$11*100</f>
        <v>#DIV/0!</v>
      </c>
      <c r="G19" s="431"/>
      <c r="H19" s="431"/>
      <c r="I19" s="2"/>
      <c r="J19" s="2"/>
      <c r="K19" s="1"/>
    </row>
    <row r="20" spans="1:11" x14ac:dyDescent="0.2">
      <c r="A20" s="19"/>
      <c r="B20" s="21" t="s">
        <v>445</v>
      </c>
      <c r="C20" s="1252"/>
      <c r="D20" s="456" t="s">
        <v>18</v>
      </c>
      <c r="E20" s="19"/>
      <c r="F20" s="846" t="e">
        <f>C20/$F$11*100</f>
        <v>#DIV/0!</v>
      </c>
      <c r="G20" s="7"/>
      <c r="H20" s="8"/>
      <c r="I20" s="2"/>
      <c r="J20" s="2"/>
      <c r="K20" s="1"/>
    </row>
    <row r="21" spans="1:11" x14ac:dyDescent="0.2">
      <c r="A21" s="19"/>
      <c r="B21" s="21" t="s">
        <v>444</v>
      </c>
      <c r="C21" s="1252"/>
      <c r="D21" s="456" t="s">
        <v>18</v>
      </c>
      <c r="E21" s="19"/>
      <c r="F21" s="846" t="e">
        <f>C21/$F$11*100</f>
        <v>#DIV/0!</v>
      </c>
      <c r="G21" s="7"/>
      <c r="H21" s="8"/>
      <c r="I21" s="2"/>
      <c r="J21" s="2"/>
      <c r="K21" s="1"/>
    </row>
    <row r="22" spans="1:11" x14ac:dyDescent="0.2">
      <c r="A22" s="19"/>
      <c r="B22" s="21" t="s">
        <v>474</v>
      </c>
      <c r="C22" s="1252"/>
      <c r="D22" s="456" t="s">
        <v>18</v>
      </c>
      <c r="E22" s="19"/>
      <c r="F22" s="846" t="e">
        <f>C22/$F$11*100</f>
        <v>#DIV/0!</v>
      </c>
      <c r="G22" s="7"/>
      <c r="H22" s="8"/>
      <c r="I22" s="2"/>
      <c r="J22" s="2"/>
      <c r="K22" s="1"/>
    </row>
    <row r="23" spans="1:11" x14ac:dyDescent="0.2">
      <c r="A23" s="19"/>
      <c r="B23" s="27" t="s">
        <v>8</v>
      </c>
      <c r="C23" s="28">
        <f>SUM(C19:C22)</f>
        <v>0</v>
      </c>
      <c r="D23" s="34" t="s">
        <v>18</v>
      </c>
      <c r="E23" s="19"/>
      <c r="F23" s="852" t="e">
        <f>C23/$F$11*100</f>
        <v>#DIV/0!</v>
      </c>
      <c r="G23" s="7"/>
      <c r="H23" s="8"/>
      <c r="I23" s="2"/>
      <c r="J23" s="2"/>
      <c r="K23" s="1"/>
    </row>
    <row r="24" spans="1:11" x14ac:dyDescent="0.2">
      <c r="A24" s="19"/>
      <c r="B24" s="19"/>
      <c r="C24" s="20"/>
      <c r="D24" s="20"/>
      <c r="E24" s="19"/>
      <c r="G24" s="9"/>
      <c r="H24" s="8"/>
      <c r="I24" s="2"/>
      <c r="J24" s="2"/>
      <c r="K24" s="1"/>
    </row>
    <row r="25" spans="1:11" x14ac:dyDescent="0.2">
      <c r="A25" s="19"/>
      <c r="B25" s="1065" t="s">
        <v>9</v>
      </c>
      <c r="C25" s="1066"/>
      <c r="D25" s="1067"/>
      <c r="E25" s="19"/>
      <c r="F25" s="10"/>
      <c r="G25" s="10"/>
      <c r="H25" s="4"/>
      <c r="I25" s="2"/>
      <c r="J25" s="2"/>
      <c r="K25" s="1"/>
    </row>
    <row r="26" spans="1:11" x14ac:dyDescent="0.2">
      <c r="A26" s="19"/>
      <c r="B26" s="423" t="s">
        <v>35</v>
      </c>
      <c r="C26" s="455" t="s">
        <v>36</v>
      </c>
      <c r="D26" s="455" t="s">
        <v>37</v>
      </c>
      <c r="E26" s="19"/>
      <c r="F26" s="851" t="s">
        <v>10</v>
      </c>
      <c r="G26" s="851" t="s">
        <v>11</v>
      </c>
      <c r="H26" s="851" t="s">
        <v>12</v>
      </c>
      <c r="I26" s="431"/>
      <c r="J26" s="2"/>
      <c r="K26" s="1"/>
    </row>
    <row r="27" spans="1:11" x14ac:dyDescent="0.2">
      <c r="A27" s="19"/>
      <c r="B27" s="21" t="s">
        <v>440</v>
      </c>
      <c r="C27" s="30"/>
      <c r="D27" s="456" t="s">
        <v>18</v>
      </c>
      <c r="E27" s="19"/>
      <c r="F27" s="836" t="e">
        <f>C27/$F$11*100</f>
        <v>#DIV/0!</v>
      </c>
      <c r="G27" s="836" t="e">
        <f t="shared" ref="G27:G41" si="0">(I27*$C$23)/$F$11*100</f>
        <v>#DIV/0!</v>
      </c>
      <c r="H27" s="837" t="e">
        <f>C27/$C$23</f>
        <v>#DIV/0!</v>
      </c>
      <c r="I27" s="462">
        <v>0.5</v>
      </c>
      <c r="J27" s="2"/>
      <c r="K27" s="1"/>
    </row>
    <row r="28" spans="1:11" x14ac:dyDescent="0.2">
      <c r="A28" s="19"/>
      <c r="B28" s="21" t="s">
        <v>441</v>
      </c>
      <c r="C28" s="30"/>
      <c r="D28" s="456" t="s">
        <v>18</v>
      </c>
      <c r="E28" s="19"/>
      <c r="F28" s="836" t="e">
        <f t="shared" ref="F28:F40" si="1">C28/$F$11*100</f>
        <v>#DIV/0!</v>
      </c>
      <c r="G28" s="836" t="e">
        <f t="shared" si="0"/>
        <v>#DIV/0!</v>
      </c>
      <c r="H28" s="837" t="e">
        <f t="shared" ref="H28:H40" si="2">C28/$C$23</f>
        <v>#DIV/0!</v>
      </c>
      <c r="I28" s="462">
        <v>0.1</v>
      </c>
      <c r="J28" s="2"/>
      <c r="K28" s="1"/>
    </row>
    <row r="29" spans="1:11" x14ac:dyDescent="0.2">
      <c r="A29" s="19"/>
      <c r="B29" s="31" t="s">
        <v>60</v>
      </c>
      <c r="C29" s="30"/>
      <c r="D29" s="456" t="s">
        <v>18</v>
      </c>
      <c r="E29" s="19"/>
      <c r="F29" s="836" t="e">
        <f t="shared" si="1"/>
        <v>#DIV/0!</v>
      </c>
      <c r="G29" s="836" t="e">
        <f t="shared" si="0"/>
        <v>#DIV/0!</v>
      </c>
      <c r="H29" s="837" t="e">
        <f t="shared" si="2"/>
        <v>#DIV/0!</v>
      </c>
      <c r="I29" s="462">
        <v>2.5000000000000001E-2</v>
      </c>
      <c r="J29" s="2"/>
      <c r="K29" s="1"/>
    </row>
    <row r="30" spans="1:11" x14ac:dyDescent="0.2">
      <c r="A30" s="19"/>
      <c r="B30" s="21" t="s">
        <v>78</v>
      </c>
      <c r="C30" s="30"/>
      <c r="D30" s="456" t="s">
        <v>18</v>
      </c>
      <c r="E30" s="19"/>
      <c r="F30" s="836" t="e">
        <f t="shared" si="1"/>
        <v>#DIV/0!</v>
      </c>
      <c r="G30" s="836" t="e">
        <f t="shared" si="0"/>
        <v>#DIV/0!</v>
      </c>
      <c r="H30" s="837" t="e">
        <f t="shared" si="2"/>
        <v>#DIV/0!</v>
      </c>
      <c r="I30" s="462">
        <v>1.4999999999999999E-2</v>
      </c>
      <c r="J30" s="2"/>
      <c r="K30" s="1"/>
    </row>
    <row r="31" spans="1:11" x14ac:dyDescent="0.2">
      <c r="A31" s="19"/>
      <c r="B31" s="31" t="s">
        <v>439</v>
      </c>
      <c r="C31" s="30"/>
      <c r="D31" s="456" t="s">
        <v>18</v>
      </c>
      <c r="E31" s="19"/>
      <c r="F31" s="836" t="e">
        <f t="shared" si="1"/>
        <v>#DIV/0!</v>
      </c>
      <c r="G31" s="836" t="e">
        <f t="shared" si="0"/>
        <v>#DIV/0!</v>
      </c>
      <c r="H31" s="837" t="e">
        <f t="shared" si="2"/>
        <v>#DIV/0!</v>
      </c>
      <c r="I31" s="462">
        <v>0.02</v>
      </c>
      <c r="J31" s="2"/>
      <c r="K31" s="1"/>
    </row>
    <row r="32" spans="1:11" x14ac:dyDescent="0.2">
      <c r="A32" s="19"/>
      <c r="B32" s="31" t="s">
        <v>13</v>
      </c>
      <c r="C32" s="30"/>
      <c r="D32" s="456" t="s">
        <v>18</v>
      </c>
      <c r="E32" s="19"/>
      <c r="F32" s="836" t="e">
        <f t="shared" si="1"/>
        <v>#DIV/0!</v>
      </c>
      <c r="G32" s="836" t="e">
        <f t="shared" si="0"/>
        <v>#DIV/0!</v>
      </c>
      <c r="H32" s="837" t="e">
        <f t="shared" si="2"/>
        <v>#DIV/0!</v>
      </c>
      <c r="I32" s="462">
        <v>0.03</v>
      </c>
      <c r="J32" s="2"/>
      <c r="K32" s="1"/>
    </row>
    <row r="33" spans="1:11" x14ac:dyDescent="0.2">
      <c r="A33" s="19"/>
      <c r="B33" s="31" t="s">
        <v>14</v>
      </c>
      <c r="C33" s="30"/>
      <c r="D33" s="456" t="s">
        <v>18</v>
      </c>
      <c r="E33" s="19"/>
      <c r="F33" s="836" t="e">
        <f t="shared" si="1"/>
        <v>#DIV/0!</v>
      </c>
      <c r="G33" s="836" t="e">
        <f t="shared" si="0"/>
        <v>#DIV/0!</v>
      </c>
      <c r="H33" s="837" t="e">
        <f t="shared" si="2"/>
        <v>#DIV/0!</v>
      </c>
      <c r="I33" s="462">
        <v>5.0000000000000001E-3</v>
      </c>
      <c r="J33" s="2"/>
      <c r="K33" s="1"/>
    </row>
    <row r="34" spans="1:11" x14ac:dyDescent="0.2">
      <c r="A34" s="19"/>
      <c r="B34" s="31" t="s">
        <v>438</v>
      </c>
      <c r="C34" s="30"/>
      <c r="D34" s="456" t="s">
        <v>18</v>
      </c>
      <c r="E34" s="19"/>
      <c r="F34" s="836" t="e">
        <f t="shared" si="1"/>
        <v>#DIV/0!</v>
      </c>
      <c r="G34" s="836" t="e">
        <f t="shared" si="0"/>
        <v>#DIV/0!</v>
      </c>
      <c r="H34" s="837" t="e">
        <f t="shared" si="2"/>
        <v>#DIV/0!</v>
      </c>
      <c r="I34" s="462">
        <v>0.03</v>
      </c>
      <c r="J34" s="2"/>
      <c r="K34" s="1"/>
    </row>
    <row r="35" spans="1:11" x14ac:dyDescent="0.2">
      <c r="A35" s="19"/>
      <c r="B35" s="21" t="s">
        <v>15</v>
      </c>
      <c r="C35" s="30"/>
      <c r="D35" s="456" t="s">
        <v>18</v>
      </c>
      <c r="E35" s="19"/>
      <c r="F35" s="836" t="e">
        <f t="shared" si="1"/>
        <v>#DIV/0!</v>
      </c>
      <c r="G35" s="836" t="e">
        <f t="shared" si="0"/>
        <v>#DIV/0!</v>
      </c>
      <c r="H35" s="837" t="e">
        <f t="shared" si="2"/>
        <v>#DIV/0!</v>
      </c>
      <c r="I35" s="462">
        <v>0.01</v>
      </c>
      <c r="J35" s="2"/>
      <c r="K35" s="1"/>
    </row>
    <row r="36" spans="1:11" x14ac:dyDescent="0.2">
      <c r="A36" s="19"/>
      <c r="B36" s="21" t="s">
        <v>437</v>
      </c>
      <c r="C36" s="30"/>
      <c r="D36" s="456" t="s">
        <v>18</v>
      </c>
      <c r="E36" s="19"/>
      <c r="F36" s="836" t="e">
        <f t="shared" si="1"/>
        <v>#DIV/0!</v>
      </c>
      <c r="G36" s="836" t="e">
        <f t="shared" si="0"/>
        <v>#DIV/0!</v>
      </c>
      <c r="H36" s="837" t="e">
        <f t="shared" si="2"/>
        <v>#DIV/0!</v>
      </c>
      <c r="I36" s="462">
        <v>6.5000000000000002E-2</v>
      </c>
      <c r="J36" s="2"/>
      <c r="K36" s="1"/>
    </row>
    <row r="37" spans="1:11" x14ac:dyDescent="0.2">
      <c r="A37" s="19"/>
      <c r="B37" s="21" t="s">
        <v>16</v>
      </c>
      <c r="C37" s="864"/>
      <c r="D37" s="456" t="s">
        <v>18</v>
      </c>
      <c r="E37" s="19"/>
      <c r="F37" s="836" t="e">
        <f t="shared" si="1"/>
        <v>#DIV/0!</v>
      </c>
      <c r="G37" s="836" t="e">
        <f t="shared" si="0"/>
        <v>#DIV/0!</v>
      </c>
      <c r="H37" s="837" t="e">
        <f t="shared" si="2"/>
        <v>#DIV/0!</v>
      </c>
      <c r="I37" s="462">
        <v>0</v>
      </c>
      <c r="J37" s="2"/>
      <c r="K37" s="1"/>
    </row>
    <row r="38" spans="1:11" x14ac:dyDescent="0.2">
      <c r="A38" s="19"/>
      <c r="B38" s="21" t="s">
        <v>528</v>
      </c>
      <c r="C38" s="864"/>
      <c r="D38" s="456" t="s">
        <v>18</v>
      </c>
      <c r="E38" s="19"/>
      <c r="F38" s="836" t="e">
        <f t="shared" si="1"/>
        <v>#DIV/0!</v>
      </c>
      <c r="G38" s="836" t="e">
        <f t="shared" si="0"/>
        <v>#DIV/0!</v>
      </c>
      <c r="H38" s="837" t="e">
        <f t="shared" si="2"/>
        <v>#DIV/0!</v>
      </c>
      <c r="I38" s="462">
        <v>0</v>
      </c>
      <c r="J38" s="2"/>
      <c r="K38" s="1"/>
    </row>
    <row r="39" spans="1:11" x14ac:dyDescent="0.2">
      <c r="A39" s="19"/>
      <c r="B39" s="21" t="s">
        <v>442</v>
      </c>
      <c r="C39" s="864"/>
      <c r="D39" s="456" t="s">
        <v>18</v>
      </c>
      <c r="E39" s="19"/>
      <c r="F39" s="836" t="e">
        <f t="shared" si="1"/>
        <v>#DIV/0!</v>
      </c>
      <c r="G39" s="836" t="e">
        <f t="shared" si="0"/>
        <v>#DIV/0!</v>
      </c>
      <c r="H39" s="837" t="e">
        <f t="shared" si="2"/>
        <v>#DIV/0!</v>
      </c>
      <c r="I39" s="462">
        <v>0</v>
      </c>
      <c r="J39" s="2"/>
      <c r="K39" s="1"/>
    </row>
    <row r="40" spans="1:11" x14ac:dyDescent="0.2">
      <c r="A40" s="19"/>
      <c r="B40" s="21" t="s">
        <v>443</v>
      </c>
      <c r="C40" s="864"/>
      <c r="D40" s="456" t="s">
        <v>18</v>
      </c>
      <c r="E40" s="19"/>
      <c r="F40" s="836" t="e">
        <f t="shared" si="1"/>
        <v>#DIV/0!</v>
      </c>
      <c r="G40" s="836" t="e">
        <f t="shared" si="0"/>
        <v>#DIV/0!</v>
      </c>
      <c r="H40" s="837" t="e">
        <f t="shared" si="2"/>
        <v>#DIV/0!</v>
      </c>
      <c r="I40" s="462">
        <v>0</v>
      </c>
      <c r="J40" s="2"/>
      <c r="K40" s="1"/>
    </row>
    <row r="41" spans="1:11" x14ac:dyDescent="0.2">
      <c r="A41" s="19"/>
      <c r="B41" s="29" t="s">
        <v>8</v>
      </c>
      <c r="C41" s="32">
        <f>SUM(C27:C40)</f>
        <v>0</v>
      </c>
      <c r="D41" s="34" t="s">
        <v>18</v>
      </c>
      <c r="E41" s="19"/>
      <c r="F41" s="853" t="e">
        <f>C41/$F$11*100</f>
        <v>#DIV/0!</v>
      </c>
      <c r="G41" s="853" t="e">
        <f t="shared" si="0"/>
        <v>#DIV/0!</v>
      </c>
      <c r="H41" s="854" t="e">
        <f>SUM(H27:H40)</f>
        <v>#DIV/0!</v>
      </c>
      <c r="I41" s="12">
        <f>SUM(I27:I40)</f>
        <v>0.8</v>
      </c>
      <c r="J41" s="2"/>
      <c r="K41" s="1"/>
    </row>
    <row r="42" spans="1:11" x14ac:dyDescent="0.2">
      <c r="A42" s="19"/>
      <c r="B42" s="19"/>
      <c r="C42" s="20"/>
      <c r="D42" s="20"/>
      <c r="E42" s="19"/>
      <c r="F42" s="10"/>
      <c r="G42" s="10"/>
      <c r="H42" s="4"/>
      <c r="I42" s="2"/>
      <c r="J42" s="2"/>
      <c r="K42" s="1"/>
    </row>
    <row r="43" spans="1:11" ht="18" customHeight="1" x14ac:dyDescent="0.2">
      <c r="A43" s="19"/>
      <c r="B43" s="1064" t="s">
        <v>17</v>
      </c>
      <c r="C43" s="1064"/>
      <c r="D43" s="1064"/>
      <c r="E43" s="19"/>
      <c r="F43" s="1059" t="s">
        <v>19</v>
      </c>
      <c r="G43" s="1060"/>
      <c r="H43" s="855" t="s">
        <v>12</v>
      </c>
      <c r="I43" s="2"/>
      <c r="J43" s="2"/>
      <c r="K43" s="1"/>
    </row>
    <row r="44" spans="1:11" x14ac:dyDescent="0.2">
      <c r="A44" s="19"/>
      <c r="B44" s="423" t="s">
        <v>35</v>
      </c>
      <c r="C44" s="455" t="s">
        <v>36</v>
      </c>
      <c r="D44" s="455" t="s">
        <v>37</v>
      </c>
      <c r="E44" s="19"/>
      <c r="F44" s="847" t="s">
        <v>22</v>
      </c>
      <c r="G44" s="848"/>
      <c r="H44" s="838">
        <f>C23-C41</f>
        <v>0</v>
      </c>
      <c r="I44" s="431"/>
      <c r="J44" s="2"/>
      <c r="K44" s="1"/>
    </row>
    <row r="45" spans="1:11" x14ac:dyDescent="0.2">
      <c r="A45" s="19"/>
      <c r="B45" s="21" t="s">
        <v>20</v>
      </c>
      <c r="C45" s="1253"/>
      <c r="D45" s="456" t="s">
        <v>18</v>
      </c>
      <c r="E45" s="19"/>
      <c r="F45" s="847" t="s">
        <v>24</v>
      </c>
      <c r="G45" s="848"/>
      <c r="H45" s="839">
        <f>H44-C53</f>
        <v>0</v>
      </c>
      <c r="I45" s="431"/>
      <c r="J45" s="2"/>
      <c r="K45" s="1"/>
    </row>
    <row r="46" spans="1:11" x14ac:dyDescent="0.2">
      <c r="A46" s="19"/>
      <c r="B46" s="21" t="s">
        <v>21</v>
      </c>
      <c r="C46" s="1253"/>
      <c r="D46" s="456" t="s">
        <v>18</v>
      </c>
      <c r="E46" s="19"/>
      <c r="F46" s="847" t="s">
        <v>26</v>
      </c>
      <c r="G46" s="848"/>
      <c r="H46" s="840" t="e">
        <f>(C23-(C41))/C49</f>
        <v>#DIV/0!</v>
      </c>
      <c r="I46" s="14"/>
      <c r="J46" s="2"/>
      <c r="K46" s="1"/>
    </row>
    <row r="47" spans="1:11" x14ac:dyDescent="0.2">
      <c r="A47" s="19"/>
      <c r="B47" s="21" t="s">
        <v>23</v>
      </c>
      <c r="C47" s="521">
        <f>('Input Zootecnico atual'!C19*C9)+('Input Zootecnico atual'!C22*C13)</f>
        <v>0</v>
      </c>
      <c r="D47" s="456" t="s">
        <v>18</v>
      </c>
      <c r="E47" s="19"/>
      <c r="F47" s="847" t="s">
        <v>28</v>
      </c>
      <c r="G47" s="848"/>
      <c r="H47" s="840" t="e">
        <f>1-(F41/F23)</f>
        <v>#DIV/0!</v>
      </c>
      <c r="I47" s="15"/>
      <c r="J47" s="2"/>
      <c r="K47" s="1"/>
    </row>
    <row r="48" spans="1:11" x14ac:dyDescent="0.2">
      <c r="A48" s="19"/>
      <c r="B48" s="21" t="s">
        <v>25</v>
      </c>
      <c r="C48" s="521">
        <f>C14*Home!V5</f>
        <v>0</v>
      </c>
      <c r="D48" s="456" t="s">
        <v>18</v>
      </c>
      <c r="E48" s="19"/>
      <c r="F48" s="847" t="s">
        <v>27</v>
      </c>
      <c r="G48" s="848"/>
      <c r="H48" s="840" t="e">
        <f>('Input Zootecnico atual'!C19*C9)/C49</f>
        <v>#DIV/0!</v>
      </c>
      <c r="I48" s="16"/>
      <c r="J48" s="2"/>
      <c r="K48" s="1"/>
    </row>
    <row r="49" spans="1:11" x14ac:dyDescent="0.2">
      <c r="A49" s="19"/>
      <c r="B49" s="29" t="s">
        <v>8</v>
      </c>
      <c r="C49" s="33">
        <f>SUM(C45:C48)</f>
        <v>0</v>
      </c>
      <c r="D49" s="34" t="s">
        <v>18</v>
      </c>
      <c r="E49" s="19"/>
      <c r="F49" s="847" t="s">
        <v>29</v>
      </c>
      <c r="G49" s="848"/>
      <c r="H49" s="841" t="e">
        <f>C23/C49</f>
        <v>#DIV/0!</v>
      </c>
      <c r="I49" s="16"/>
      <c r="J49" s="2"/>
      <c r="K49" s="1"/>
    </row>
    <row r="50" spans="1:11" x14ac:dyDescent="0.2">
      <c r="A50" s="19"/>
      <c r="B50" s="19"/>
      <c r="C50" s="20"/>
      <c r="D50" s="20"/>
      <c r="E50" s="19"/>
      <c r="F50" s="847" t="s">
        <v>30</v>
      </c>
      <c r="G50" s="848"/>
      <c r="H50" s="842" t="e">
        <f>F11/C12</f>
        <v>#DIV/0!</v>
      </c>
      <c r="I50" s="17"/>
      <c r="J50" s="2"/>
      <c r="K50" s="1"/>
    </row>
    <row r="51" spans="1:11" x14ac:dyDescent="0.2">
      <c r="A51" s="19"/>
      <c r="B51" s="1064" t="s">
        <v>476</v>
      </c>
      <c r="C51" s="1064"/>
      <c r="D51" s="1064"/>
      <c r="E51" s="19"/>
      <c r="F51" s="847" t="s">
        <v>516</v>
      </c>
      <c r="G51" s="848"/>
      <c r="H51" s="843" t="e">
        <f>C49/(F11)</f>
        <v>#DIV/0!</v>
      </c>
      <c r="I51" s="18"/>
      <c r="J51" s="2"/>
      <c r="K51" s="1"/>
    </row>
    <row r="52" spans="1:11" x14ac:dyDescent="0.2">
      <c r="A52" s="19"/>
      <c r="B52" s="423" t="s">
        <v>35</v>
      </c>
      <c r="C52" s="455" t="s">
        <v>36</v>
      </c>
      <c r="D52" s="455" t="s">
        <v>37</v>
      </c>
      <c r="E52" s="19"/>
      <c r="F52" s="1062" t="s">
        <v>33</v>
      </c>
      <c r="G52" s="1063"/>
      <c r="H52" s="843" t="e">
        <f>C23/F11</f>
        <v>#DIV/0!</v>
      </c>
      <c r="I52" s="2"/>
      <c r="J52" s="2"/>
      <c r="K52" s="1"/>
    </row>
    <row r="53" spans="1:11" x14ac:dyDescent="0.2">
      <c r="A53" s="19"/>
      <c r="B53" s="21" t="s">
        <v>31</v>
      </c>
      <c r="C53" s="1254"/>
      <c r="D53" s="456" t="s">
        <v>18</v>
      </c>
      <c r="E53" s="19"/>
      <c r="I53" s="2"/>
      <c r="J53" s="2"/>
      <c r="K53" s="1"/>
    </row>
    <row r="54" spans="1:11" x14ac:dyDescent="0.2">
      <c r="A54" s="19"/>
      <c r="B54" s="21" t="s">
        <v>32</v>
      </c>
      <c r="C54" s="1254"/>
      <c r="D54" s="456" t="s">
        <v>18</v>
      </c>
      <c r="E54" s="19"/>
      <c r="J54" s="2"/>
      <c r="K54" s="1"/>
    </row>
    <row r="55" spans="1:11" x14ac:dyDescent="0.2">
      <c r="A55" s="19"/>
      <c r="B55" s="19"/>
      <c r="C55" s="20"/>
      <c r="D55" s="20"/>
      <c r="E55" s="19"/>
      <c r="I55" s="1"/>
      <c r="J55" s="1"/>
      <c r="K55" s="1"/>
    </row>
    <row r="56" spans="1:11" x14ac:dyDescent="0.2">
      <c r="A56" s="19"/>
      <c r="B56" s="1061" t="s">
        <v>558</v>
      </c>
      <c r="C56" s="1061"/>
      <c r="D56" s="1061"/>
      <c r="E56" s="19"/>
      <c r="F56" s="1"/>
      <c r="G56" s="1"/>
      <c r="H56" s="1"/>
      <c r="I56" s="1"/>
      <c r="J56" s="1"/>
      <c r="K56" s="1"/>
    </row>
    <row r="57" spans="1:11" ht="20" customHeight="1" x14ac:dyDescent="0.2">
      <c r="A57" s="19"/>
      <c r="B57" s="857" t="s">
        <v>590</v>
      </c>
      <c r="C57" s="1253"/>
      <c r="D57" s="856" t="s">
        <v>18</v>
      </c>
      <c r="E57" s="19"/>
      <c r="F57" s="1"/>
      <c r="G57" s="1"/>
      <c r="H57" s="1"/>
      <c r="I57" s="1"/>
      <c r="J57" s="1"/>
      <c r="K57" s="1"/>
    </row>
    <row r="58" spans="1:11" x14ac:dyDescent="0.2">
      <c r="A58" s="19"/>
      <c r="B58" s="19"/>
      <c r="C58" s="20"/>
      <c r="D58" s="20"/>
      <c r="E58" s="2"/>
      <c r="F58" s="1"/>
      <c r="G58" s="1"/>
      <c r="H58" s="1"/>
      <c r="I58" s="1"/>
      <c r="J58" s="1"/>
      <c r="K58" s="1"/>
    </row>
    <row r="59" spans="1:11" x14ac:dyDescent="0.2">
      <c r="A59" s="19"/>
      <c r="B59" s="19"/>
      <c r="C59" s="463"/>
      <c r="D59" s="463"/>
      <c r="E59" s="2"/>
      <c r="F59" s="1"/>
      <c r="G59" s="1"/>
      <c r="H59" s="1"/>
      <c r="I59" s="1"/>
      <c r="J59" s="1"/>
      <c r="K59" s="1"/>
    </row>
    <row r="60" spans="1:11" x14ac:dyDescent="0.2">
      <c r="A60" s="19"/>
      <c r="B60" s="19"/>
      <c r="C60" s="463"/>
      <c r="D60" s="463"/>
      <c r="E60" s="2"/>
      <c r="F60" s="1"/>
      <c r="G60" s="1"/>
      <c r="H60" s="1"/>
      <c r="I60" s="1"/>
      <c r="J60" s="1"/>
      <c r="K60" s="1"/>
    </row>
    <row r="61" spans="1:11" x14ac:dyDescent="0.2">
      <c r="A61" s="464"/>
      <c r="B61" s="19"/>
      <c r="C61" s="463"/>
      <c r="D61" s="463"/>
      <c r="E61" s="465"/>
      <c r="F61" s="1"/>
      <c r="G61" s="1"/>
      <c r="H61" s="1"/>
      <c r="I61" s="460"/>
      <c r="J61" s="460"/>
      <c r="K61" s="460"/>
    </row>
    <row r="62" spans="1:11" x14ac:dyDescent="0.2">
      <c r="F62" s="460"/>
      <c r="G62" s="460"/>
      <c r="H62" s="460"/>
    </row>
  </sheetData>
  <sheetProtection password="8826" sheet="1" objects="1" scenarios="1"/>
  <mergeCells count="8">
    <mergeCell ref="F43:G43"/>
    <mergeCell ref="B56:D56"/>
    <mergeCell ref="F52:G52"/>
    <mergeCell ref="B51:D51"/>
    <mergeCell ref="B7:D7"/>
    <mergeCell ref="B17:D17"/>
    <mergeCell ref="B25:D25"/>
    <mergeCell ref="B43:D43"/>
  </mergeCells>
  <pageMargins left="0.511811024" right="0.511811024" top="0.78740157499999996" bottom="0.78740157499999996" header="0.31496062000000002" footer="0.31496062000000002"/>
  <pageSetup paperSize="9" orientation="portrait"/>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enableFormatConditionsCalculation="0">
    <tabColor theme="7" tint="0.39997558519241921"/>
  </sheetPr>
  <dimension ref="A1:K66"/>
  <sheetViews>
    <sheetView zoomScale="125" zoomScaleNormal="120" zoomScalePageLayoutView="120" workbookViewId="0">
      <selection activeCell="G5" sqref="G5"/>
    </sheetView>
  </sheetViews>
  <sheetFormatPr baseColWidth="10" defaultColWidth="8.6640625" defaultRowHeight="15" x14ac:dyDescent="0.2"/>
  <cols>
    <col min="1" max="1" width="2.6640625" style="446" customWidth="1"/>
    <col min="2" max="2" width="43.5" style="446" bestFit="1" customWidth="1"/>
    <col min="3" max="3" width="13.5" style="446" customWidth="1"/>
    <col min="4" max="4" width="12.33203125" style="446" customWidth="1"/>
    <col min="5" max="5" width="9.1640625" style="446" bestFit="1" customWidth="1"/>
    <col min="6" max="6" width="4.5" style="446" customWidth="1"/>
    <col min="7" max="7" width="39.33203125" style="446" bestFit="1" customWidth="1"/>
    <col min="8" max="8" width="14.5" style="446" customWidth="1"/>
    <col min="9" max="9" width="12.5" style="446" customWidth="1"/>
    <col min="10" max="10" width="11.6640625" style="446" bestFit="1" customWidth="1"/>
    <col min="11" max="16384" width="8.6640625" style="446"/>
  </cols>
  <sheetData>
    <row r="1" spans="1:11" x14ac:dyDescent="0.2">
      <c r="A1" s="471"/>
    </row>
    <row r="2" spans="1:11" ht="19" x14ac:dyDescent="0.25">
      <c r="E2" s="834"/>
    </row>
    <row r="4" spans="1:11" s="448" customFormat="1" x14ac:dyDescent="0.2">
      <c r="A4" s="19"/>
      <c r="B4" s="452" t="s">
        <v>34</v>
      </c>
      <c r="C4" s="453">
        <f>Home!V3</f>
        <v>2016</v>
      </c>
      <c r="D4" s="454"/>
      <c r="E4" s="19"/>
      <c r="F4" s="1"/>
      <c r="G4" s="1"/>
      <c r="H4" s="1"/>
      <c r="I4" s="1"/>
      <c r="J4" s="1"/>
      <c r="K4" s="1"/>
    </row>
    <row r="6" spans="1:11" x14ac:dyDescent="0.2">
      <c r="B6" s="1082" t="s">
        <v>554</v>
      </c>
      <c r="C6" s="1082"/>
      <c r="D6" s="1082"/>
    </row>
    <row r="7" spans="1:11" x14ac:dyDescent="0.2">
      <c r="B7" s="1071" t="s">
        <v>35</v>
      </c>
      <c r="C7" s="379">
        <f>'Input Zootecnico atual'!$C$4</f>
        <v>2016</v>
      </c>
      <c r="D7" s="1071" t="s">
        <v>37</v>
      </c>
    </row>
    <row r="8" spans="1:11" x14ac:dyDescent="0.2">
      <c r="B8" s="1072"/>
      <c r="C8" s="192" t="s">
        <v>248</v>
      </c>
      <c r="D8" s="1072"/>
      <c r="G8" s="451"/>
    </row>
    <row r="9" spans="1:11" x14ac:dyDescent="0.2">
      <c r="B9" s="180" t="s">
        <v>463</v>
      </c>
      <c r="C9" s="490"/>
      <c r="D9" s="498" t="s">
        <v>428</v>
      </c>
      <c r="G9" s="13"/>
    </row>
    <row r="10" spans="1:11" x14ac:dyDescent="0.2">
      <c r="B10" s="180" t="s">
        <v>468</v>
      </c>
      <c r="C10" s="516"/>
      <c r="D10" s="499" t="s">
        <v>174</v>
      </c>
      <c r="G10" s="13"/>
    </row>
    <row r="11" spans="1:11" x14ac:dyDescent="0.2">
      <c r="B11" s="180" t="s">
        <v>460</v>
      </c>
      <c r="C11" s="522" t="e">
        <f>((C66)/C19)*12</f>
        <v>#DIV/0!</v>
      </c>
      <c r="D11" s="499" t="s">
        <v>174</v>
      </c>
      <c r="G11" s="13"/>
    </row>
    <row r="12" spans="1:11" x14ac:dyDescent="0.2">
      <c r="B12" s="415" t="s">
        <v>2</v>
      </c>
      <c r="C12" s="488"/>
      <c r="D12" s="499" t="s">
        <v>419</v>
      </c>
      <c r="G12" s="1065" t="s">
        <v>373</v>
      </c>
      <c r="H12" s="1066"/>
      <c r="I12" s="1066"/>
      <c r="J12" s="1067"/>
    </row>
    <row r="13" spans="1:11" ht="14" customHeight="1" x14ac:dyDescent="0.2">
      <c r="G13" s="827" t="s">
        <v>35</v>
      </c>
      <c r="H13" s="830" t="s">
        <v>51</v>
      </c>
      <c r="I13" s="830" t="s">
        <v>11</v>
      </c>
      <c r="J13" s="830" t="s">
        <v>37</v>
      </c>
    </row>
    <row r="14" spans="1:11" x14ac:dyDescent="0.2">
      <c r="B14" s="416" t="s">
        <v>35</v>
      </c>
      <c r="C14" s="192" t="s">
        <v>248</v>
      </c>
      <c r="D14" s="192" t="s">
        <v>392</v>
      </c>
      <c r="E14" s="192" t="s">
        <v>37</v>
      </c>
      <c r="G14" s="92" t="s">
        <v>158</v>
      </c>
      <c r="H14" s="380"/>
      <c r="I14" s="380"/>
      <c r="J14" s="459" t="s">
        <v>354</v>
      </c>
    </row>
    <row r="15" spans="1:11" x14ac:dyDescent="0.2">
      <c r="B15" s="180" t="s">
        <v>452</v>
      </c>
      <c r="C15" s="490"/>
      <c r="D15" s="490"/>
      <c r="E15" s="498" t="s">
        <v>428</v>
      </c>
      <c r="G15" s="92" t="s">
        <v>493</v>
      </c>
      <c r="H15" s="380"/>
      <c r="I15" s="380"/>
      <c r="J15" s="459" t="s">
        <v>354</v>
      </c>
    </row>
    <row r="16" spans="1:11" x14ac:dyDescent="0.2">
      <c r="B16" s="180" t="s">
        <v>453</v>
      </c>
      <c r="C16" s="490"/>
      <c r="D16" s="490"/>
      <c r="E16" s="498" t="s">
        <v>428</v>
      </c>
      <c r="G16" s="92" t="s">
        <v>496</v>
      </c>
      <c r="H16" s="380"/>
      <c r="I16" s="380"/>
      <c r="J16" s="459" t="s">
        <v>354</v>
      </c>
    </row>
    <row r="17" spans="2:10" x14ac:dyDescent="0.2">
      <c r="B17" s="180" t="s">
        <v>316</v>
      </c>
      <c r="C17" s="491">
        <f>SUM(C15:C16)</f>
        <v>0</v>
      </c>
      <c r="D17" s="492">
        <f>SUM(D15:D16)</f>
        <v>0</v>
      </c>
      <c r="E17" s="498" t="s">
        <v>428</v>
      </c>
      <c r="G17" s="92" t="s">
        <v>494</v>
      </c>
      <c r="H17" s="380"/>
      <c r="I17" s="380"/>
      <c r="J17" s="459" t="s">
        <v>354</v>
      </c>
    </row>
    <row r="18" spans="2:10" x14ac:dyDescent="0.2">
      <c r="B18" s="180" t="s">
        <v>422</v>
      </c>
      <c r="C18" s="490"/>
      <c r="D18" s="490"/>
      <c r="E18" s="498" t="s">
        <v>428</v>
      </c>
      <c r="G18" s="92" t="s">
        <v>495</v>
      </c>
      <c r="H18" s="380"/>
      <c r="I18" s="380"/>
      <c r="J18" s="459" t="s">
        <v>354</v>
      </c>
    </row>
    <row r="19" spans="2:10" x14ac:dyDescent="0.2">
      <c r="B19" s="180" t="s">
        <v>314</v>
      </c>
      <c r="C19" s="491">
        <f>SUM(C17:C18)</f>
        <v>0</v>
      </c>
      <c r="D19" s="492">
        <f>SUM(D17:D18)</f>
        <v>0</v>
      </c>
      <c r="E19" s="498" t="s">
        <v>428</v>
      </c>
    </row>
    <row r="20" spans="2:10" x14ac:dyDescent="0.2">
      <c r="B20" s="180" t="s">
        <v>604</v>
      </c>
      <c r="C20" s="490"/>
      <c r="D20" s="490"/>
      <c r="E20" s="498" t="s">
        <v>428</v>
      </c>
      <c r="G20" s="824" t="s">
        <v>555</v>
      </c>
      <c r="H20" s="825"/>
      <c r="I20" s="825"/>
      <c r="J20" s="826"/>
    </row>
    <row r="21" spans="2:10" x14ac:dyDescent="0.2">
      <c r="B21" s="180" t="s">
        <v>605</v>
      </c>
      <c r="C21" s="490"/>
      <c r="D21" s="490"/>
      <c r="E21" s="498" t="s">
        <v>428</v>
      </c>
      <c r="G21" s="820" t="s">
        <v>35</v>
      </c>
      <c r="H21" s="822" t="s">
        <v>36</v>
      </c>
      <c r="I21" s="823"/>
      <c r="J21" s="466" t="s">
        <v>37</v>
      </c>
    </row>
    <row r="22" spans="2:10" x14ac:dyDescent="0.2">
      <c r="B22" s="21" t="s">
        <v>4</v>
      </c>
      <c r="C22" s="491">
        <f>'Input Zootecnico atual'!C20+'Input Zootecnico atual'!C21</f>
        <v>0</v>
      </c>
      <c r="D22" s="491">
        <f>'Input Zootecnico atual'!D20+'Input Zootecnico atual'!D21</f>
        <v>0</v>
      </c>
      <c r="E22" s="498" t="s">
        <v>428</v>
      </c>
      <c r="G22" s="821"/>
      <c r="H22" s="831" t="s">
        <v>430</v>
      </c>
      <c r="I22" s="831" t="s">
        <v>431</v>
      </c>
      <c r="J22" s="467"/>
    </row>
    <row r="23" spans="2:10" x14ac:dyDescent="0.2">
      <c r="B23" s="415" t="s">
        <v>606</v>
      </c>
      <c r="C23" s="488"/>
      <c r="D23" s="488"/>
      <c r="E23" s="498" t="s">
        <v>428</v>
      </c>
      <c r="G23" s="113" t="s">
        <v>488</v>
      </c>
      <c r="H23" s="1240"/>
      <c r="I23" s="1240"/>
      <c r="J23" s="835" t="s">
        <v>245</v>
      </c>
    </row>
    <row r="24" spans="2:10" x14ac:dyDescent="0.2">
      <c r="B24" s="180" t="s">
        <v>121</v>
      </c>
      <c r="C24" s="492" t="s">
        <v>42</v>
      </c>
      <c r="D24" s="490"/>
      <c r="E24" s="499" t="s">
        <v>243</v>
      </c>
      <c r="G24" s="113" t="s">
        <v>169</v>
      </c>
      <c r="H24" s="1240"/>
      <c r="I24" s="1240"/>
      <c r="J24" s="835" t="s">
        <v>245</v>
      </c>
    </row>
    <row r="25" spans="2:10" ht="16" thickBot="1" x14ac:dyDescent="0.25"/>
    <row r="26" spans="2:10" x14ac:dyDescent="0.2">
      <c r="G26" s="1068" t="s">
        <v>59</v>
      </c>
      <c r="H26" s="1069"/>
      <c r="I26" s="1069"/>
      <c r="J26" s="1070"/>
    </row>
    <row r="27" spans="2:10" x14ac:dyDescent="0.2">
      <c r="B27" s="1065" t="s">
        <v>77</v>
      </c>
      <c r="C27" s="1066"/>
      <c r="D27" s="1067"/>
      <c r="G27" s="998"/>
      <c r="H27" s="451"/>
      <c r="I27" s="451"/>
      <c r="J27" s="999"/>
    </row>
    <row r="28" spans="2:10" x14ac:dyDescent="0.2">
      <c r="B28" s="827" t="s">
        <v>35</v>
      </c>
      <c r="C28" s="830" t="s">
        <v>36</v>
      </c>
      <c r="D28" s="830" t="s">
        <v>37</v>
      </c>
      <c r="G28" s="1073" t="s">
        <v>556</v>
      </c>
      <c r="H28" s="1066"/>
      <c r="I28" s="1067"/>
      <c r="J28" s="999"/>
    </row>
    <row r="29" spans="2:10" x14ac:dyDescent="0.2">
      <c r="B29" s="92" t="s">
        <v>153</v>
      </c>
      <c r="C29" s="380"/>
      <c r="D29" s="498" t="s">
        <v>428</v>
      </c>
      <c r="G29" s="1000" t="s">
        <v>35</v>
      </c>
      <c r="H29" s="964" t="s">
        <v>36</v>
      </c>
      <c r="I29" s="964" t="s">
        <v>37</v>
      </c>
      <c r="J29" s="999"/>
    </row>
    <row r="30" spans="2:10" x14ac:dyDescent="0.2">
      <c r="B30" s="92" t="s">
        <v>155</v>
      </c>
      <c r="C30" s="380"/>
      <c r="D30" s="498" t="s">
        <v>428</v>
      </c>
      <c r="G30" s="1001" t="s">
        <v>424</v>
      </c>
      <c r="H30" s="380"/>
      <c r="I30" s="459" t="s">
        <v>436</v>
      </c>
      <c r="J30" s="999"/>
    </row>
    <row r="31" spans="2:10" x14ac:dyDescent="0.2">
      <c r="B31" s="92" t="s">
        <v>156</v>
      </c>
      <c r="C31" s="380"/>
      <c r="D31" s="498" t="s">
        <v>428</v>
      </c>
      <c r="G31" s="1001" t="s">
        <v>425</v>
      </c>
      <c r="H31" s="432"/>
      <c r="I31" s="459" t="s">
        <v>174</v>
      </c>
      <c r="J31" s="999"/>
    </row>
    <row r="32" spans="2:10" x14ac:dyDescent="0.2">
      <c r="B32" s="92" t="s">
        <v>154</v>
      </c>
      <c r="C32" s="380"/>
      <c r="D32" s="459" t="s">
        <v>485</v>
      </c>
      <c r="G32" s="1001" t="s">
        <v>426</v>
      </c>
      <c r="H32" s="381"/>
      <c r="I32" s="498" t="s">
        <v>428</v>
      </c>
      <c r="J32" s="999"/>
    </row>
    <row r="33" spans="2:10" x14ac:dyDescent="0.2">
      <c r="B33" s="92" t="s">
        <v>157</v>
      </c>
      <c r="C33" s="500"/>
      <c r="D33" s="459" t="s">
        <v>174</v>
      </c>
      <c r="G33" s="1001" t="s">
        <v>427</v>
      </c>
      <c r="H33" s="381"/>
      <c r="I33" s="498" t="s">
        <v>428</v>
      </c>
      <c r="J33" s="999"/>
    </row>
    <row r="34" spans="2:10" ht="16.25" customHeight="1" x14ac:dyDescent="0.2">
      <c r="B34" s="92" t="s">
        <v>117</v>
      </c>
      <c r="C34" s="501"/>
      <c r="D34" s="459" t="s">
        <v>174</v>
      </c>
      <c r="G34" s="998"/>
      <c r="H34" s="451"/>
      <c r="I34" s="451"/>
      <c r="J34" s="999"/>
    </row>
    <row r="35" spans="2:10" x14ac:dyDescent="0.2">
      <c r="B35" s="92" t="s">
        <v>116</v>
      </c>
      <c r="C35" s="501"/>
      <c r="D35" s="459" t="s">
        <v>174</v>
      </c>
      <c r="G35" s="1074" t="s">
        <v>557</v>
      </c>
      <c r="H35" s="1075"/>
      <c r="I35" s="1075"/>
      <c r="J35" s="999"/>
    </row>
    <row r="36" spans="2:10" x14ac:dyDescent="0.2">
      <c r="G36" s="1000" t="s">
        <v>35</v>
      </c>
      <c r="H36" s="964" t="s">
        <v>36</v>
      </c>
      <c r="I36" s="964" t="s">
        <v>37</v>
      </c>
      <c r="J36" s="999"/>
    </row>
    <row r="37" spans="2:10" x14ac:dyDescent="0.2">
      <c r="B37" s="1064" t="s">
        <v>61</v>
      </c>
      <c r="C37" s="1064"/>
      <c r="D37" s="1064"/>
      <c r="G37" s="1001" t="s">
        <v>65</v>
      </c>
      <c r="H37" s="512"/>
      <c r="I37" s="459" t="s">
        <v>174</v>
      </c>
      <c r="J37" s="999"/>
    </row>
    <row r="38" spans="2:10" x14ac:dyDescent="0.2">
      <c r="B38" s="485" t="s">
        <v>35</v>
      </c>
      <c r="C38" s="486" t="s">
        <v>36</v>
      </c>
      <c r="D38" s="486" t="s">
        <v>37</v>
      </c>
      <c r="G38" s="1001" t="s">
        <v>504</v>
      </c>
      <c r="H38" s="513"/>
      <c r="I38" s="459" t="s">
        <v>174</v>
      </c>
      <c r="J38" s="999"/>
    </row>
    <row r="39" spans="2:10" x14ac:dyDescent="0.2">
      <c r="B39" s="92" t="s">
        <v>144</v>
      </c>
      <c r="C39" s="512"/>
      <c r="D39" s="459" t="s">
        <v>174</v>
      </c>
      <c r="G39" s="1001" t="s">
        <v>72</v>
      </c>
      <c r="H39" s="514"/>
      <c r="I39" s="459" t="s">
        <v>174</v>
      </c>
      <c r="J39" s="999"/>
    </row>
    <row r="40" spans="2:10" x14ac:dyDescent="0.2">
      <c r="B40" s="92" t="s">
        <v>487</v>
      </c>
      <c r="C40" s="513"/>
      <c r="D40" s="459" t="s">
        <v>174</v>
      </c>
      <c r="G40" s="1002" t="s">
        <v>192</v>
      </c>
      <c r="H40" s="380"/>
      <c r="I40" s="459" t="s">
        <v>436</v>
      </c>
      <c r="J40" s="999"/>
    </row>
    <row r="41" spans="2:10" ht="17" customHeight="1" x14ac:dyDescent="0.2">
      <c r="B41" s="92" t="s">
        <v>67</v>
      </c>
      <c r="C41" s="514"/>
      <c r="D41" s="459" t="s">
        <v>174</v>
      </c>
      <c r="G41" s="1001" t="s">
        <v>193</v>
      </c>
      <c r="H41" s="381"/>
      <c r="I41" s="498" t="s">
        <v>428</v>
      </c>
      <c r="J41" s="999"/>
    </row>
    <row r="42" spans="2:10" x14ac:dyDescent="0.2">
      <c r="B42" s="92" t="s">
        <v>486</v>
      </c>
      <c r="C42" s="514"/>
      <c r="D42" s="459" t="s">
        <v>174</v>
      </c>
      <c r="G42" s="1001" t="s">
        <v>194</v>
      </c>
      <c r="H42" s="381"/>
      <c r="I42" s="498" t="s">
        <v>428</v>
      </c>
      <c r="J42" s="999"/>
    </row>
    <row r="43" spans="2:10" x14ac:dyDescent="0.2">
      <c r="G43" s="1001" t="s">
        <v>195</v>
      </c>
      <c r="H43" s="381"/>
      <c r="I43" s="498" t="s">
        <v>428</v>
      </c>
      <c r="J43" s="999"/>
    </row>
    <row r="44" spans="2:10" x14ac:dyDescent="0.2">
      <c r="B44" s="1064" t="s">
        <v>553</v>
      </c>
      <c r="C44" s="1064"/>
      <c r="D44" s="1064"/>
      <c r="G44" s="1002" t="s">
        <v>196</v>
      </c>
      <c r="H44" s="418"/>
      <c r="I44" s="468" t="s">
        <v>41</v>
      </c>
      <c r="J44" s="999"/>
    </row>
    <row r="45" spans="2:10" x14ac:dyDescent="0.2">
      <c r="B45" s="485" t="s">
        <v>35</v>
      </c>
      <c r="C45" s="486" t="s">
        <v>36</v>
      </c>
      <c r="D45" s="486" t="s">
        <v>37</v>
      </c>
      <c r="G45" s="1002" t="s">
        <v>197</v>
      </c>
      <c r="H45" s="419"/>
      <c r="I45" s="468" t="s">
        <v>241</v>
      </c>
      <c r="J45" s="999"/>
    </row>
    <row r="46" spans="2:10" x14ac:dyDescent="0.2">
      <c r="B46" s="92" t="s">
        <v>66</v>
      </c>
      <c r="C46" s="512"/>
      <c r="D46" s="459" t="s">
        <v>174</v>
      </c>
      <c r="G46" s="1001" t="s">
        <v>199</v>
      </c>
      <c r="H46" s="419"/>
      <c r="I46" s="468" t="s">
        <v>240</v>
      </c>
      <c r="J46" s="999"/>
    </row>
    <row r="47" spans="2:10" x14ac:dyDescent="0.2">
      <c r="G47" s="1001" t="s">
        <v>200</v>
      </c>
      <c r="H47" s="419"/>
      <c r="I47" s="468" t="s">
        <v>240</v>
      </c>
      <c r="J47" s="999"/>
    </row>
    <row r="48" spans="2:10" x14ac:dyDescent="0.2">
      <c r="B48" s="1065" t="s">
        <v>78</v>
      </c>
      <c r="C48" s="1066"/>
      <c r="D48" s="1067"/>
      <c r="G48" s="1001" t="s">
        <v>201</v>
      </c>
      <c r="H48" s="420"/>
      <c r="I48" s="468" t="s">
        <v>243</v>
      </c>
      <c r="J48" s="999"/>
    </row>
    <row r="49" spans="2:10" x14ac:dyDescent="0.2">
      <c r="B49" s="827" t="s">
        <v>35</v>
      </c>
      <c r="C49" s="830" t="s">
        <v>36</v>
      </c>
      <c r="D49" s="830" t="s">
        <v>37</v>
      </c>
      <c r="G49" s="1001" t="s">
        <v>202</v>
      </c>
      <c r="H49" s="419"/>
      <c r="I49" s="468" t="s">
        <v>240</v>
      </c>
      <c r="J49" s="999"/>
    </row>
    <row r="50" spans="2:10" x14ac:dyDescent="0.2">
      <c r="B50" s="92" t="s">
        <v>150</v>
      </c>
      <c r="C50" s="513"/>
      <c r="D50" s="459" t="s">
        <v>174</v>
      </c>
      <c r="G50" s="998"/>
      <c r="H50" s="451"/>
      <c r="I50" s="451"/>
      <c r="J50" s="999"/>
    </row>
    <row r="51" spans="2:10" ht="16.25" customHeight="1" x14ac:dyDescent="0.2">
      <c r="B51" s="92" t="s">
        <v>71</v>
      </c>
      <c r="C51" s="513"/>
      <c r="D51" s="459" t="s">
        <v>174</v>
      </c>
      <c r="G51" s="1076" t="s">
        <v>183</v>
      </c>
      <c r="H51" s="1077"/>
      <c r="I51" s="1077"/>
      <c r="J51" s="1078"/>
    </row>
    <row r="52" spans="2:10" x14ac:dyDescent="0.2">
      <c r="B52" s="180" t="s">
        <v>462</v>
      </c>
      <c r="C52" s="516"/>
      <c r="D52" s="499" t="s">
        <v>174</v>
      </c>
      <c r="G52" s="1079" t="s">
        <v>35</v>
      </c>
      <c r="H52" s="1080" t="s">
        <v>36</v>
      </c>
      <c r="I52" s="1080"/>
      <c r="J52" s="1081" t="s">
        <v>37</v>
      </c>
    </row>
    <row r="53" spans="2:10" x14ac:dyDescent="0.2">
      <c r="B53" s="180" t="s">
        <v>464</v>
      </c>
      <c r="C53" s="516"/>
      <c r="D53" s="499" t="s">
        <v>174</v>
      </c>
      <c r="G53" s="1079"/>
      <c r="H53" s="963" t="s">
        <v>184</v>
      </c>
      <c r="I53" s="963" t="s">
        <v>185</v>
      </c>
      <c r="J53" s="1081"/>
    </row>
    <row r="54" spans="2:10" x14ac:dyDescent="0.2">
      <c r="B54" s="180" t="s">
        <v>465</v>
      </c>
      <c r="C54" s="516"/>
      <c r="D54" s="499" t="s">
        <v>174</v>
      </c>
      <c r="G54" s="1002" t="s">
        <v>203</v>
      </c>
      <c r="H54" s="382"/>
      <c r="I54" s="383">
        <f>1-H54</f>
        <v>1</v>
      </c>
      <c r="J54" s="1003" t="s">
        <v>174</v>
      </c>
    </row>
    <row r="55" spans="2:10" x14ac:dyDescent="0.2">
      <c r="B55" s="180" t="s">
        <v>466</v>
      </c>
      <c r="C55" s="516"/>
      <c r="D55" s="499" t="s">
        <v>174</v>
      </c>
      <c r="G55" s="1002" t="s">
        <v>204</v>
      </c>
      <c r="H55" s="419"/>
      <c r="I55" s="419"/>
      <c r="J55" s="1003" t="s">
        <v>435</v>
      </c>
    </row>
    <row r="56" spans="2:10" x14ac:dyDescent="0.2">
      <c r="B56" s="180" t="s">
        <v>467</v>
      </c>
      <c r="C56" s="490"/>
      <c r="D56" s="499" t="s">
        <v>243</v>
      </c>
      <c r="G56" s="1002" t="s">
        <v>205</v>
      </c>
      <c r="H56" s="493"/>
      <c r="I56" s="493"/>
      <c r="J56" s="1003" t="s">
        <v>243</v>
      </c>
    </row>
    <row r="57" spans="2:10" x14ac:dyDescent="0.2">
      <c r="G57" s="1002" t="s">
        <v>206</v>
      </c>
      <c r="H57" s="493"/>
      <c r="I57" s="493"/>
      <c r="J57" s="1003" t="s">
        <v>243</v>
      </c>
    </row>
    <row r="58" spans="2:10" x14ac:dyDescent="0.2">
      <c r="B58" s="1064" t="s">
        <v>76</v>
      </c>
      <c r="C58" s="1064"/>
      <c r="D58" s="1064"/>
      <c r="G58" s="1002" t="s">
        <v>208</v>
      </c>
      <c r="H58" s="493"/>
      <c r="I58" s="493"/>
      <c r="J58" s="1003" t="s">
        <v>243</v>
      </c>
    </row>
    <row r="59" spans="2:10" x14ac:dyDescent="0.2">
      <c r="B59" s="485" t="s">
        <v>35</v>
      </c>
      <c r="C59" s="486" t="s">
        <v>36</v>
      </c>
      <c r="D59" s="486" t="s">
        <v>37</v>
      </c>
      <c r="G59" s="1002" t="s">
        <v>209</v>
      </c>
      <c r="H59" s="421">
        <f>I59</f>
        <v>0</v>
      </c>
      <c r="I59" s="419"/>
      <c r="J59" s="1003" t="s">
        <v>41</v>
      </c>
    </row>
    <row r="60" spans="2:10" x14ac:dyDescent="0.2">
      <c r="B60" s="92" t="s">
        <v>491</v>
      </c>
      <c r="C60" s="512"/>
      <c r="D60" s="459" t="s">
        <v>174</v>
      </c>
      <c r="G60" s="1002" t="s">
        <v>215</v>
      </c>
      <c r="H60" s="420"/>
      <c r="I60" s="420"/>
      <c r="J60" s="1003" t="s">
        <v>247</v>
      </c>
    </row>
    <row r="61" spans="2:10" x14ac:dyDescent="0.2">
      <c r="B61" s="92" t="s">
        <v>492</v>
      </c>
      <c r="C61" s="513"/>
      <c r="D61" s="459" t="s">
        <v>174</v>
      </c>
      <c r="G61" s="1002" t="s">
        <v>217</v>
      </c>
      <c r="H61" s="419"/>
      <c r="I61" s="419"/>
      <c r="J61" s="1003" t="s">
        <v>18</v>
      </c>
    </row>
    <row r="62" spans="2:10" ht="16" thickBot="1" x14ac:dyDescent="0.25">
      <c r="B62" s="92" t="s">
        <v>152</v>
      </c>
      <c r="C62" s="381"/>
      <c r="D62" s="459" t="s">
        <v>39</v>
      </c>
      <c r="G62" s="1004"/>
      <c r="H62" s="1005"/>
      <c r="I62" s="1005"/>
      <c r="J62" s="1006"/>
    </row>
    <row r="63" spans="2:10" x14ac:dyDescent="0.2">
      <c r="B63" s="180" t="s">
        <v>527</v>
      </c>
      <c r="C63" s="516"/>
      <c r="D63" s="499" t="s">
        <v>174</v>
      </c>
    </row>
    <row r="64" spans="2:10" x14ac:dyDescent="0.2">
      <c r="B64" s="180" t="s">
        <v>461</v>
      </c>
      <c r="C64" s="516"/>
      <c r="D64" s="499" t="s">
        <v>174</v>
      </c>
    </row>
    <row r="65" spans="2:4" x14ac:dyDescent="0.2">
      <c r="B65" s="180" t="s">
        <v>469</v>
      </c>
      <c r="C65" s="490"/>
      <c r="D65" s="499" t="s">
        <v>429</v>
      </c>
    </row>
    <row r="66" spans="2:4" x14ac:dyDescent="0.2">
      <c r="B66" s="417" t="s">
        <v>502</v>
      </c>
      <c r="C66" s="487"/>
      <c r="D66" s="498" t="s">
        <v>503</v>
      </c>
    </row>
  </sheetData>
  <sheetProtection password="8826" sheet="1" objects="1" scenarios="1"/>
  <mergeCells count="16">
    <mergeCell ref="B6:D6"/>
    <mergeCell ref="B48:D48"/>
    <mergeCell ref="B27:D27"/>
    <mergeCell ref="B58:D58"/>
    <mergeCell ref="B44:D44"/>
    <mergeCell ref="B37:D37"/>
    <mergeCell ref="G35:I35"/>
    <mergeCell ref="G51:J51"/>
    <mergeCell ref="G52:G53"/>
    <mergeCell ref="H52:I52"/>
    <mergeCell ref="J52:J53"/>
    <mergeCell ref="G26:J26"/>
    <mergeCell ref="B7:B8"/>
    <mergeCell ref="D7:D8"/>
    <mergeCell ref="G12:J12"/>
    <mergeCell ref="G28:I28"/>
  </mergeCells>
  <pageMargins left="0.511811024" right="0.511811024" top="0.78740157499999996" bottom="0.78740157499999996" header="0.31496062000000002" footer="0.31496062000000002"/>
  <pageSetup paperSize="9" orientation="portrait"/>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enableFormatConditionsCalculation="0">
    <tabColor theme="7" tint="0.39997558519241921"/>
  </sheetPr>
  <dimension ref="A1:K48"/>
  <sheetViews>
    <sheetView zoomScale="130" zoomScaleNormal="130" zoomScalePageLayoutView="130" workbookViewId="0">
      <selection activeCell="D21" sqref="D21"/>
    </sheetView>
  </sheetViews>
  <sheetFormatPr baseColWidth="10" defaultColWidth="8.6640625" defaultRowHeight="15" x14ac:dyDescent="0.2"/>
  <cols>
    <col min="1" max="1" width="4.33203125" style="446" customWidth="1"/>
    <col min="2" max="2" width="35.1640625" style="446" customWidth="1"/>
    <col min="3" max="3" width="13.1640625" style="446" customWidth="1"/>
    <col min="4" max="4" width="14.5" style="446" bestFit="1" customWidth="1"/>
    <col min="5" max="5" width="12.6640625" style="446" bestFit="1" customWidth="1"/>
    <col min="6" max="16384" width="8.6640625" style="446"/>
  </cols>
  <sheetData>
    <row r="1" spans="1:11" x14ac:dyDescent="0.2">
      <c r="A1" s="471"/>
    </row>
    <row r="4" spans="1:11" s="448" customFormat="1" x14ac:dyDescent="0.2">
      <c r="A4" s="19"/>
      <c r="B4" s="452" t="s">
        <v>34</v>
      </c>
      <c r="C4" s="453">
        <f>Home!$V$3</f>
        <v>2016</v>
      </c>
      <c r="D4" s="454"/>
      <c r="E4" s="19"/>
      <c r="F4" s="1"/>
      <c r="G4" s="1"/>
      <c r="H4" s="1"/>
      <c r="I4" s="1"/>
      <c r="J4" s="1"/>
      <c r="K4" s="1"/>
    </row>
    <row r="5" spans="1:11" s="448" customFormat="1" x14ac:dyDescent="0.2">
      <c r="A5" s="19"/>
      <c r="B5" s="19"/>
      <c r="C5" s="19"/>
      <c r="D5" s="19"/>
      <c r="E5" s="19"/>
      <c r="F5" s="1"/>
      <c r="G5" s="1"/>
      <c r="H5" s="1"/>
      <c r="I5" s="1"/>
      <c r="J5" s="1"/>
      <c r="K5" s="1"/>
    </row>
    <row r="44" spans="6:6" x14ac:dyDescent="0.2">
      <c r="F44" s="469"/>
    </row>
    <row r="45" spans="6:6" x14ac:dyDescent="0.2">
      <c r="F45" s="469"/>
    </row>
    <row r="46" spans="6:6" x14ac:dyDescent="0.2">
      <c r="F46" s="469"/>
    </row>
    <row r="47" spans="6:6" x14ac:dyDescent="0.2">
      <c r="F47" s="469"/>
    </row>
    <row r="48" spans="6:6" x14ac:dyDescent="0.2">
      <c r="F48" s="469"/>
    </row>
  </sheetData>
  <pageMargins left="0.511811024" right="0.511811024" top="0.78740157499999996" bottom="0.78740157499999996" header="0.31496062000000002" footer="0.31496062000000002"/>
  <pageSetup paperSize="9"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enableFormatConditionsCalculation="0">
    <tabColor theme="7" tint="0.39997558519241921"/>
  </sheetPr>
  <dimension ref="A1:K44"/>
  <sheetViews>
    <sheetView topLeftCell="A18" zoomScale="140" zoomScaleNormal="140" zoomScalePageLayoutView="140" workbookViewId="0">
      <selection activeCell="B26" sqref="B26:E36"/>
    </sheetView>
  </sheetViews>
  <sheetFormatPr baseColWidth="10" defaultColWidth="8.6640625" defaultRowHeight="15" x14ac:dyDescent="0.2"/>
  <cols>
    <col min="1" max="1" width="4.33203125" style="446" customWidth="1"/>
    <col min="2" max="2" width="49.6640625" style="446" bestFit="1" customWidth="1"/>
    <col min="3" max="3" width="13.1640625" style="446" customWidth="1"/>
    <col min="4" max="4" width="14.5" style="446" bestFit="1" customWidth="1"/>
    <col min="5" max="5" width="12.6640625" style="446" bestFit="1" customWidth="1"/>
    <col min="6" max="16384" width="8.6640625" style="446"/>
  </cols>
  <sheetData>
    <row r="1" spans="1:11" x14ac:dyDescent="0.2">
      <c r="A1" s="471"/>
    </row>
    <row r="4" spans="1:11" s="448" customFormat="1" x14ac:dyDescent="0.2">
      <c r="A4" s="19"/>
      <c r="B4" s="452" t="s">
        <v>34</v>
      </c>
      <c r="C4" s="453">
        <f>Home!$V$3</f>
        <v>2016</v>
      </c>
      <c r="D4" s="454"/>
      <c r="E4" s="19"/>
      <c r="F4" s="1"/>
      <c r="G4" s="1"/>
      <c r="H4" s="1"/>
      <c r="I4" s="1"/>
      <c r="J4" s="1"/>
      <c r="K4" s="1"/>
    </row>
    <row r="5" spans="1:11" s="448" customFormat="1" x14ac:dyDescent="0.2">
      <c r="A5" s="19"/>
      <c r="B5" s="19"/>
      <c r="C5" s="19"/>
      <c r="D5" s="19"/>
      <c r="E5" s="19"/>
      <c r="F5" s="1"/>
      <c r="G5" s="1"/>
      <c r="H5" s="1"/>
      <c r="I5" s="1"/>
      <c r="J5" s="1"/>
      <c r="K5" s="1"/>
    </row>
    <row r="6" spans="1:11" x14ac:dyDescent="0.2">
      <c r="E6" s="469"/>
    </row>
    <row r="7" spans="1:11" x14ac:dyDescent="0.2">
      <c r="E7" s="469"/>
    </row>
    <row r="8" spans="1:11" x14ac:dyDescent="0.2">
      <c r="E8" s="469"/>
    </row>
    <row r="9" spans="1:11" x14ac:dyDescent="0.2">
      <c r="E9" s="469"/>
    </row>
    <row r="10" spans="1:11" x14ac:dyDescent="0.2">
      <c r="E10" s="469"/>
    </row>
    <row r="11" spans="1:11" x14ac:dyDescent="0.2">
      <c r="E11" s="469"/>
    </row>
    <row r="12" spans="1:11" x14ac:dyDescent="0.2">
      <c r="B12" s="469"/>
      <c r="C12" s="469"/>
      <c r="D12" s="469"/>
      <c r="E12" s="469"/>
    </row>
    <row r="13" spans="1:11" x14ac:dyDescent="0.2">
      <c r="B13" s="1077" t="s">
        <v>182</v>
      </c>
      <c r="C13" s="1077"/>
      <c r="D13" s="1077"/>
      <c r="E13" s="469"/>
    </row>
    <row r="14" spans="1:11" x14ac:dyDescent="0.2">
      <c r="B14" s="423" t="s">
        <v>35</v>
      </c>
      <c r="C14" s="455" t="s">
        <v>36</v>
      </c>
      <c r="D14" s="455" t="s">
        <v>37</v>
      </c>
      <c r="E14" s="469"/>
    </row>
    <row r="15" spans="1:11" x14ac:dyDescent="0.2">
      <c r="E15" s="469"/>
    </row>
    <row r="16" spans="1:11" x14ac:dyDescent="0.2">
      <c r="E16" s="469"/>
    </row>
    <row r="17" spans="2:5" x14ac:dyDescent="0.2">
      <c r="E17" s="469"/>
    </row>
    <row r="18" spans="2:5" x14ac:dyDescent="0.2">
      <c r="E18" s="469"/>
    </row>
    <row r="19" spans="2:5" x14ac:dyDescent="0.2">
      <c r="E19" s="469"/>
    </row>
    <row r="20" spans="2:5" x14ac:dyDescent="0.2">
      <c r="E20" s="469"/>
    </row>
    <row r="21" spans="2:5" x14ac:dyDescent="0.2">
      <c r="E21" s="469"/>
    </row>
    <row r="22" spans="2:5" x14ac:dyDescent="0.2">
      <c r="E22" s="469"/>
    </row>
    <row r="23" spans="2:5" x14ac:dyDescent="0.2">
      <c r="E23" s="469"/>
    </row>
    <row r="24" spans="2:5" x14ac:dyDescent="0.2">
      <c r="E24" s="469"/>
    </row>
    <row r="25" spans="2:5" x14ac:dyDescent="0.2">
      <c r="B25" s="469"/>
      <c r="C25" s="469"/>
      <c r="D25" s="469"/>
      <c r="E25" s="469"/>
    </row>
    <row r="44" spans="2:4" hidden="1" x14ac:dyDescent="0.2">
      <c r="B44" s="92" t="s">
        <v>198</v>
      </c>
      <c r="C44" s="470">
        <f>'Input Financeiro atual'!C13</f>
        <v>0</v>
      </c>
      <c r="D44" s="468" t="s">
        <v>242</v>
      </c>
    </row>
  </sheetData>
  <mergeCells count="1">
    <mergeCell ref="B13:D13"/>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enableFormatConditionsCalculation="0">
    <tabColor theme="7" tint="0.39997558519241921"/>
  </sheetPr>
  <dimension ref="A1:AE35"/>
  <sheetViews>
    <sheetView zoomScale="119" zoomScaleNormal="95" zoomScalePageLayoutView="95" workbookViewId="0">
      <selection activeCell="A3" sqref="A3"/>
    </sheetView>
  </sheetViews>
  <sheetFormatPr baseColWidth="10" defaultColWidth="14.6640625" defaultRowHeight="15" x14ac:dyDescent="0.2"/>
  <cols>
    <col min="1" max="1" width="8.5" style="474" customWidth="1"/>
    <col min="2" max="2" width="16.5" style="474" bestFit="1" customWidth="1"/>
    <col min="3" max="3" width="8.1640625" style="474" bestFit="1" customWidth="1"/>
    <col min="4" max="4" width="7.1640625" style="474" customWidth="1"/>
    <col min="5" max="5" width="15.6640625" style="474" customWidth="1"/>
    <col min="6" max="6" width="12.6640625" style="474" customWidth="1"/>
    <col min="7" max="7" width="10.33203125" style="474" customWidth="1"/>
    <col min="8" max="8" width="15.6640625" style="474" customWidth="1"/>
    <col min="9" max="9" width="16.5" style="474" customWidth="1"/>
    <col min="10" max="10" width="9.5" style="474" customWidth="1"/>
    <col min="11" max="11" width="16.6640625" style="474" customWidth="1"/>
    <col min="12" max="12" width="14.5" style="474" customWidth="1"/>
    <col min="13" max="13" width="7.33203125" style="474" customWidth="1"/>
    <col min="14" max="14" width="14.6640625" style="474"/>
    <col min="15" max="15" width="10.5" style="474" bestFit="1" customWidth="1"/>
    <col min="16" max="16" width="6.5" style="474" customWidth="1"/>
    <col min="17" max="17" width="14.6640625" style="474"/>
    <col min="18" max="18" width="8.1640625" style="474" customWidth="1"/>
    <col min="19" max="19" width="14.6640625" style="474"/>
    <col min="20" max="20" width="8.6640625" style="474" bestFit="1" customWidth="1"/>
    <col min="21" max="23" width="14.6640625" style="474"/>
    <col min="24" max="24" width="16.1640625" style="474" customWidth="1"/>
    <col min="25" max="16384" width="14.6640625" style="474"/>
  </cols>
  <sheetData>
    <row r="1" spans="1:31" x14ac:dyDescent="0.2">
      <c r="A1" s="484"/>
      <c r="B1" s="38"/>
      <c r="C1" s="38"/>
      <c r="D1" s="38"/>
      <c r="E1" s="38"/>
      <c r="S1" s="38"/>
      <c r="T1" s="38"/>
      <c r="U1" s="38"/>
      <c r="V1" s="38"/>
      <c r="W1" s="38"/>
      <c r="X1" s="38"/>
      <c r="Y1" s="38"/>
      <c r="Z1" s="38"/>
    </row>
    <row r="2" spans="1:31" ht="24" customHeight="1" x14ac:dyDescent="0.3">
      <c r="A2" s="1092"/>
      <c r="B2" s="1092"/>
      <c r="C2" s="1092"/>
      <c r="D2" s="1092"/>
      <c r="E2" s="1092"/>
      <c r="F2" s="1092"/>
      <c r="G2" s="1092"/>
      <c r="H2" s="1092"/>
      <c r="I2" s="1092"/>
      <c r="J2" s="1092"/>
      <c r="K2" s="1092"/>
      <c r="L2" s="1092"/>
      <c r="M2" s="1092"/>
      <c r="N2" s="38"/>
      <c r="O2" s="38"/>
      <c r="P2" s="38"/>
      <c r="Q2" s="38"/>
      <c r="R2" s="38"/>
      <c r="S2" s="38"/>
      <c r="T2" s="38"/>
      <c r="U2" s="38"/>
      <c r="V2" s="38"/>
      <c r="W2" s="38"/>
      <c r="X2" s="38"/>
      <c r="Y2" s="38"/>
      <c r="Z2" s="38"/>
    </row>
    <row r="3" spans="1:31" ht="24" customHeight="1" x14ac:dyDescent="0.3">
      <c r="A3" s="828"/>
      <c r="B3" s="828"/>
      <c r="C3" s="828"/>
      <c r="D3" s="828"/>
      <c r="E3" s="828"/>
      <c r="F3" s="828"/>
      <c r="G3" s="828"/>
      <c r="H3" s="828"/>
      <c r="I3" s="828"/>
      <c r="J3" s="828"/>
      <c r="K3" s="828"/>
      <c r="L3" s="828"/>
      <c r="M3" s="828"/>
      <c r="N3" s="38"/>
      <c r="O3" s="38"/>
      <c r="P3" s="38"/>
      <c r="Q3" s="38"/>
      <c r="R3" s="38"/>
      <c r="S3" s="38"/>
      <c r="T3" s="38"/>
      <c r="U3" s="38"/>
      <c r="V3" s="38"/>
      <c r="W3" s="38"/>
      <c r="X3" s="38"/>
      <c r="Y3" s="38"/>
      <c r="Z3" s="38"/>
    </row>
    <row r="4" spans="1:31" ht="16" x14ac:dyDescent="0.2">
      <c r="A4" s="38"/>
      <c r="B4" s="38"/>
      <c r="C4" s="38"/>
      <c r="D4" s="38"/>
      <c r="E4" s="38"/>
      <c r="F4" s="38"/>
      <c r="G4" s="38"/>
      <c r="H4" s="1085" t="s">
        <v>516</v>
      </c>
      <c r="I4" s="1085"/>
      <c r="J4" s="38"/>
      <c r="K4" s="1085" t="s">
        <v>27</v>
      </c>
      <c r="L4" s="1085"/>
      <c r="M4" s="38"/>
      <c r="N4" s="39"/>
      <c r="O4" s="39"/>
      <c r="P4" s="39"/>
      <c r="Q4" s="38"/>
      <c r="R4" s="39"/>
      <c r="S4" s="39"/>
      <c r="T4" s="475"/>
      <c r="U4" s="39"/>
      <c r="V4" s="38"/>
      <c r="W4" s="38"/>
      <c r="X4" s="38"/>
      <c r="Y4" s="38"/>
      <c r="Z4" s="38"/>
    </row>
    <row r="5" spans="1:31" ht="16" x14ac:dyDescent="0.2">
      <c r="A5" s="38"/>
      <c r="B5" s="452" t="s">
        <v>34</v>
      </c>
      <c r="C5" s="1093">
        <f>'Input Zootecnico atual'!C4</f>
        <v>2016</v>
      </c>
      <c r="D5" s="1094"/>
      <c r="E5" s="38"/>
      <c r="F5" s="38"/>
      <c r="G5" s="38"/>
      <c r="H5" s="68" t="s">
        <v>48</v>
      </c>
      <c r="I5" s="69" t="s">
        <v>536</v>
      </c>
      <c r="J5" s="38"/>
      <c r="K5" s="66" t="s">
        <v>49</v>
      </c>
      <c r="L5" s="70" t="s">
        <v>50</v>
      </c>
      <c r="M5" s="38"/>
      <c r="N5" s="38"/>
      <c r="O5" s="38"/>
      <c r="P5" s="38"/>
      <c r="Q5" s="38"/>
      <c r="R5" s="39"/>
      <c r="S5" s="39"/>
      <c r="T5" s="475"/>
      <c r="U5" s="39"/>
      <c r="V5" s="38"/>
      <c r="W5" s="38"/>
      <c r="X5" s="38"/>
      <c r="Y5" s="38"/>
      <c r="Z5" s="38"/>
    </row>
    <row r="6" spans="1:31" x14ac:dyDescent="0.2">
      <c r="A6" s="38"/>
      <c r="B6" s="38"/>
      <c r="C6" s="38"/>
      <c r="D6" s="38"/>
      <c r="E6" s="38"/>
      <c r="F6" s="38"/>
      <c r="G6" s="38"/>
      <c r="H6" s="68" t="s">
        <v>51</v>
      </c>
      <c r="I6" s="791" t="e">
        <f>'Input Financeiro atual'!H51</f>
        <v>#DIV/0!</v>
      </c>
      <c r="J6" s="38"/>
      <c r="K6" s="66" t="s">
        <v>51</v>
      </c>
      <c r="L6" s="70" t="e">
        <f>'Input Financeiro atual'!H48</f>
        <v>#DIV/0!</v>
      </c>
      <c r="M6" s="38"/>
      <c r="N6" s="39"/>
      <c r="O6" s="39"/>
      <c r="P6" s="39"/>
      <c r="Q6" s="38"/>
      <c r="R6" s="39"/>
      <c r="S6" s="39"/>
      <c r="T6" s="39"/>
      <c r="U6" s="39"/>
      <c r="V6" s="38"/>
      <c r="W6" s="38"/>
      <c r="X6" s="38"/>
      <c r="Y6" s="38"/>
      <c r="Z6" s="38"/>
    </row>
    <row r="7" spans="1:31" ht="16" x14ac:dyDescent="0.2">
      <c r="A7" s="38"/>
      <c r="B7" s="38"/>
      <c r="C7" s="38"/>
      <c r="D7" s="38"/>
      <c r="E7" s="38"/>
      <c r="F7" s="38"/>
      <c r="G7" s="38"/>
      <c r="H7" s="38"/>
      <c r="I7" s="38"/>
      <c r="J7" s="38"/>
      <c r="K7" s="1083"/>
      <c r="L7" s="1083"/>
      <c r="M7" s="39"/>
      <c r="N7" s="39"/>
      <c r="O7" s="39"/>
      <c r="P7" s="39"/>
      <c r="Q7" s="39"/>
      <c r="R7" s="39"/>
      <c r="S7" s="39"/>
      <c r="T7" s="475"/>
      <c r="U7" s="39"/>
      <c r="V7" s="39"/>
      <c r="W7" s="39"/>
      <c r="X7" s="39"/>
      <c r="Y7" s="39"/>
      <c r="Z7" s="39"/>
    </row>
    <row r="8" spans="1:31" x14ac:dyDescent="0.2">
      <c r="A8" s="38"/>
      <c r="B8" s="38"/>
      <c r="C8" s="38"/>
      <c r="D8" s="38"/>
      <c r="E8" s="1085" t="s">
        <v>143</v>
      </c>
      <c r="F8" s="1085"/>
      <c r="G8" s="425"/>
      <c r="H8" s="38"/>
      <c r="I8" s="38"/>
      <c r="J8" s="38"/>
      <c r="K8" s="40"/>
      <c r="L8" s="476"/>
      <c r="M8" s="39"/>
      <c r="N8" s="1083"/>
      <c r="O8" s="1083"/>
      <c r="P8" s="1083"/>
      <c r="Q8" s="1083"/>
      <c r="R8" s="39"/>
      <c r="S8" s="39"/>
      <c r="T8" s="39"/>
      <c r="U8" s="39"/>
      <c r="V8" s="39"/>
      <c r="W8" s="39"/>
      <c r="X8" s="39"/>
      <c r="Y8" s="39"/>
      <c r="Z8" s="39"/>
    </row>
    <row r="9" spans="1:31" ht="16" x14ac:dyDescent="0.2">
      <c r="A9" s="38"/>
      <c r="B9" s="38"/>
      <c r="C9" s="38"/>
      <c r="D9" s="38"/>
      <c r="E9" s="66" t="s">
        <v>49</v>
      </c>
      <c r="F9" s="67" t="s">
        <v>52</v>
      </c>
      <c r="G9" s="39"/>
      <c r="H9" s="38"/>
      <c r="I9" s="38"/>
      <c r="J9" s="38"/>
      <c r="K9" s="40"/>
      <c r="L9" s="83"/>
      <c r="M9" s="39"/>
      <c r="N9" s="39"/>
      <c r="O9" s="39"/>
      <c r="P9" s="39"/>
      <c r="Q9" s="39"/>
      <c r="R9" s="428"/>
      <c r="S9" s="1083"/>
      <c r="T9" s="1083"/>
      <c r="U9" s="41"/>
      <c r="V9" s="429"/>
      <c r="W9" s="41"/>
      <c r="X9" s="42"/>
      <c r="Y9" s="41"/>
      <c r="Z9" s="43"/>
      <c r="AA9" s="44"/>
      <c r="AB9" s="44"/>
      <c r="AC9" s="427"/>
      <c r="AD9" s="44"/>
      <c r="AE9" s="477"/>
    </row>
    <row r="10" spans="1:31" ht="16" x14ac:dyDescent="0.2">
      <c r="A10" s="38"/>
      <c r="B10" s="38"/>
      <c r="C10" s="38"/>
      <c r="D10" s="38"/>
      <c r="E10" s="66" t="s">
        <v>51</v>
      </c>
      <c r="F10" s="67" t="e">
        <f>'Input Financeiro atual'!H49</f>
        <v>#DIV/0!</v>
      </c>
      <c r="G10" s="39"/>
      <c r="H10" s="38"/>
      <c r="I10" s="38"/>
      <c r="J10" s="38"/>
      <c r="K10" s="39"/>
      <c r="L10" s="39"/>
      <c r="M10" s="39"/>
      <c r="N10" s="39"/>
      <c r="O10" s="39"/>
      <c r="P10" s="39"/>
      <c r="Q10" s="39"/>
      <c r="R10" s="428"/>
      <c r="S10" s="39"/>
      <c r="T10" s="478"/>
      <c r="U10" s="45"/>
      <c r="V10" s="45"/>
      <c r="W10" s="1083"/>
      <c r="X10" s="1083"/>
      <c r="Y10" s="41"/>
      <c r="Z10" s="43"/>
      <c r="AA10" s="44"/>
      <c r="AB10" s="46"/>
      <c r="AC10" s="47"/>
      <c r="AD10" s="47"/>
      <c r="AE10" s="477"/>
    </row>
    <row r="11" spans="1:31" ht="16" x14ac:dyDescent="0.2">
      <c r="A11" s="38"/>
      <c r="B11" s="38"/>
      <c r="C11" s="38"/>
      <c r="D11" s="38"/>
      <c r="E11" s="38"/>
      <c r="F11" s="38"/>
      <c r="G11" s="38"/>
      <c r="H11" s="38"/>
      <c r="I11" s="38"/>
      <c r="J11" s="38"/>
      <c r="K11" s="39"/>
      <c r="L11" s="39"/>
      <c r="M11" s="39"/>
      <c r="N11" s="1083"/>
      <c r="O11" s="1083"/>
      <c r="P11" s="77"/>
      <c r="Q11" s="78"/>
      <c r="R11" s="39"/>
      <c r="S11" s="39"/>
      <c r="T11" s="475"/>
      <c r="U11" s="43"/>
      <c r="V11" s="43"/>
      <c r="W11" s="1084"/>
      <c r="X11" s="1084"/>
      <c r="Y11" s="45"/>
      <c r="Z11" s="41"/>
      <c r="AA11" s="44"/>
      <c r="AB11" s="44"/>
      <c r="AC11" s="48"/>
      <c r="AD11" s="49"/>
      <c r="AE11" s="477"/>
    </row>
    <row r="12" spans="1:31" ht="16" x14ac:dyDescent="0.2">
      <c r="A12" s="38"/>
      <c r="B12" s="1085" t="s">
        <v>513</v>
      </c>
      <c r="C12" s="1085"/>
      <c r="D12" s="50"/>
      <c r="E12" s="38"/>
      <c r="F12" s="38"/>
      <c r="G12" s="38"/>
      <c r="H12" s="1085" t="s">
        <v>53</v>
      </c>
      <c r="I12" s="1085"/>
      <c r="J12" s="38"/>
      <c r="K12" s="39"/>
      <c r="L12" s="39"/>
      <c r="M12" s="39"/>
      <c r="N12" s="39"/>
      <c r="O12" s="39"/>
      <c r="P12" s="79"/>
      <c r="Q12" s="80"/>
      <c r="R12" s="39"/>
      <c r="S12" s="39"/>
      <c r="T12" s="39"/>
      <c r="U12" s="43"/>
      <c r="V12" s="43"/>
      <c r="W12" s="1083"/>
      <c r="X12" s="1083"/>
      <c r="Y12" s="51"/>
      <c r="Z12" s="41"/>
      <c r="AA12" s="44"/>
      <c r="AB12" s="44"/>
      <c r="AC12" s="44"/>
      <c r="AD12" s="44"/>
      <c r="AE12" s="477"/>
    </row>
    <row r="13" spans="1:31" ht="16" x14ac:dyDescent="0.2">
      <c r="A13" s="38"/>
      <c r="B13" s="64" t="s">
        <v>49</v>
      </c>
      <c r="C13" s="65" t="s">
        <v>515</v>
      </c>
      <c r="D13" s="428"/>
      <c r="E13" s="428"/>
      <c r="F13" s="428"/>
      <c r="G13" s="428"/>
      <c r="H13" s="1088" t="s">
        <v>51</v>
      </c>
      <c r="I13" s="1089" t="e">
        <f>'Input Financeiro atual'!H52</f>
        <v>#DIV/0!</v>
      </c>
      <c r="J13" s="38"/>
      <c r="K13" s="39"/>
      <c r="L13" s="39"/>
      <c r="M13" s="39"/>
      <c r="N13" s="39"/>
      <c r="O13" s="39"/>
      <c r="P13" s="39"/>
      <c r="Q13" s="39"/>
      <c r="R13" s="39"/>
      <c r="S13" s="39"/>
      <c r="T13" s="39"/>
      <c r="U13" s="43"/>
      <c r="V13" s="43"/>
      <c r="W13" s="79"/>
      <c r="X13" s="478"/>
      <c r="Y13" s="52"/>
      <c r="Z13" s="41"/>
      <c r="AA13" s="1086"/>
      <c r="AB13" s="1086"/>
      <c r="AC13" s="44"/>
      <c r="AD13" s="44"/>
      <c r="AE13" s="477"/>
    </row>
    <row r="14" spans="1:31" ht="16" x14ac:dyDescent="0.2">
      <c r="A14" s="38"/>
      <c r="B14" s="84" t="s">
        <v>51</v>
      </c>
      <c r="C14" s="85" t="e">
        <f>'Input Financeiro atual'!H46</f>
        <v>#DIV/0!</v>
      </c>
      <c r="D14" s="39"/>
      <c r="E14" s="428"/>
      <c r="F14" s="428"/>
      <c r="G14" s="428"/>
      <c r="H14" s="1088"/>
      <c r="I14" s="1089"/>
      <c r="J14" s="38"/>
      <c r="K14" s="39"/>
      <c r="L14" s="39"/>
      <c r="M14" s="39"/>
      <c r="N14" s="39"/>
      <c r="O14" s="39"/>
      <c r="P14" s="39"/>
      <c r="Q14" s="39"/>
      <c r="R14" s="39"/>
      <c r="S14" s="1087"/>
      <c r="T14" s="1087"/>
      <c r="U14" s="43"/>
      <c r="V14" s="43"/>
      <c r="W14" s="39"/>
      <c r="X14" s="479"/>
      <c r="Y14" s="41"/>
      <c r="Z14" s="41"/>
      <c r="AA14" s="44"/>
      <c r="AB14" s="427"/>
      <c r="AC14" s="44"/>
      <c r="AD14" s="44"/>
      <c r="AE14" s="477"/>
    </row>
    <row r="15" spans="1:31" ht="16" x14ac:dyDescent="0.2">
      <c r="A15" s="38"/>
      <c r="B15" s="38"/>
      <c r="C15" s="38"/>
      <c r="D15" s="38"/>
      <c r="E15" s="38"/>
      <c r="F15" s="38"/>
      <c r="G15" s="38"/>
      <c r="H15" s="39"/>
      <c r="I15" s="63"/>
      <c r="J15" s="38"/>
      <c r="K15" s="39"/>
      <c r="L15" s="39"/>
      <c r="M15" s="39"/>
      <c r="N15" s="39"/>
      <c r="O15" s="39"/>
      <c r="P15" s="39"/>
      <c r="Q15" s="425"/>
      <c r="R15" s="39"/>
      <c r="S15" s="39"/>
      <c r="T15" s="480"/>
      <c r="U15" s="43"/>
      <c r="V15" s="43"/>
      <c r="W15" s="41"/>
      <c r="X15" s="41"/>
      <c r="Y15" s="41"/>
      <c r="Z15" s="41"/>
      <c r="AA15" s="48"/>
      <c r="AB15" s="53"/>
      <c r="AC15" s="44"/>
      <c r="AD15" s="44"/>
      <c r="AE15" s="477"/>
    </row>
    <row r="16" spans="1:31" ht="16" x14ac:dyDescent="0.2">
      <c r="A16" s="38"/>
      <c r="B16" s="38"/>
      <c r="C16" s="38"/>
      <c r="D16" s="38"/>
      <c r="E16" s="1085" t="s">
        <v>54</v>
      </c>
      <c r="F16" s="1085"/>
      <c r="G16" s="425"/>
      <c r="H16" s="39"/>
      <c r="I16" s="428"/>
      <c r="K16" s="1085" t="s">
        <v>55</v>
      </c>
      <c r="L16" s="1085"/>
      <c r="M16" s="37"/>
      <c r="N16" s="39"/>
      <c r="O16" s="39"/>
      <c r="P16" s="54"/>
      <c r="Q16" s="81"/>
      <c r="R16" s="39"/>
      <c r="S16" s="39"/>
      <c r="T16" s="481"/>
      <c r="U16" s="43"/>
      <c r="V16" s="43"/>
      <c r="W16" s="43"/>
      <c r="X16" s="43"/>
      <c r="Y16" s="43"/>
      <c r="Z16" s="43"/>
      <c r="AA16" s="44"/>
      <c r="AB16" s="44"/>
      <c r="AC16" s="44"/>
      <c r="AD16" s="44"/>
      <c r="AE16" s="477"/>
    </row>
    <row r="17" spans="1:31" ht="16" x14ac:dyDescent="0.2">
      <c r="A17" s="38"/>
      <c r="B17" s="38"/>
      <c r="C17" s="38"/>
      <c r="D17" s="38"/>
      <c r="E17" s="66" t="s">
        <v>49</v>
      </c>
      <c r="F17" s="71" t="s">
        <v>514</v>
      </c>
      <c r="G17" s="38"/>
      <c r="H17" s="39"/>
      <c r="I17" s="428"/>
      <c r="K17" s="66" t="s">
        <v>49</v>
      </c>
      <c r="L17" s="72" t="e">
        <f>(I13*0.5)</f>
        <v>#DIV/0!</v>
      </c>
      <c r="M17" s="37"/>
      <c r="N17" s="39"/>
      <c r="O17" s="39"/>
      <c r="P17" s="54"/>
      <c r="Q17" s="81"/>
      <c r="R17" s="39"/>
      <c r="S17" s="39"/>
      <c r="T17" s="58"/>
      <c r="U17" s="43"/>
      <c r="V17" s="43"/>
      <c r="W17" s="39"/>
      <c r="X17" s="39"/>
      <c r="Y17" s="43"/>
      <c r="Z17" s="43"/>
      <c r="AA17" s="39"/>
      <c r="AB17" s="39"/>
      <c r="AC17" s="41"/>
      <c r="AD17" s="44"/>
      <c r="AE17" s="477"/>
    </row>
    <row r="18" spans="1:31" ht="16" x14ac:dyDescent="0.2">
      <c r="A18" s="38"/>
      <c r="B18" s="38"/>
      <c r="C18" s="38"/>
      <c r="D18" s="38"/>
      <c r="E18" s="66" t="s">
        <v>51</v>
      </c>
      <c r="F18" s="71" t="e">
        <f>'Input Financeiro atual'!H47</f>
        <v>#DIV/0!</v>
      </c>
      <c r="G18" s="38"/>
      <c r="H18" s="39"/>
      <c r="I18" s="428"/>
      <c r="K18" s="66" t="s">
        <v>51</v>
      </c>
      <c r="L18" s="72" t="e">
        <f>'Input Financeiro atual'!C27/'Input Financeiro atual'!F11</f>
        <v>#DIV/0!</v>
      </c>
      <c r="M18" s="37"/>
      <c r="N18" s="39"/>
      <c r="O18" s="39"/>
      <c r="P18" s="39"/>
      <c r="Q18" s="39"/>
      <c r="R18" s="39"/>
      <c r="S18" s="1083"/>
      <c r="T18" s="1083"/>
      <c r="U18" s="426"/>
      <c r="V18" s="43"/>
      <c r="W18" s="1084"/>
      <c r="X18" s="1084"/>
      <c r="Y18" s="45"/>
      <c r="Z18" s="45"/>
      <c r="AA18" s="45"/>
      <c r="AB18" s="45"/>
      <c r="AC18" s="41"/>
      <c r="AD18" s="44"/>
      <c r="AE18" s="477"/>
    </row>
    <row r="19" spans="1:31" ht="16" x14ac:dyDescent="0.2">
      <c r="A19" s="38"/>
      <c r="B19" s="38"/>
      <c r="C19" s="38"/>
      <c r="D19" s="38"/>
      <c r="E19" s="38"/>
      <c r="F19" s="38"/>
      <c r="G19" s="38"/>
      <c r="H19" s="38"/>
      <c r="I19" s="38"/>
      <c r="N19" s="38"/>
      <c r="O19" s="38"/>
      <c r="P19" s="38"/>
      <c r="Q19" s="39"/>
      <c r="R19" s="39"/>
      <c r="S19" s="39"/>
      <c r="T19" s="482"/>
      <c r="U19" s="41"/>
      <c r="V19" s="55"/>
      <c r="W19" s="61"/>
      <c r="X19" s="43"/>
      <c r="Y19" s="55"/>
      <c r="Z19" s="62"/>
      <c r="AA19" s="41"/>
      <c r="AB19" s="55"/>
      <c r="AC19" s="483"/>
      <c r="AD19" s="47"/>
      <c r="AE19" s="477"/>
    </row>
    <row r="20" spans="1:31" ht="16" x14ac:dyDescent="0.2">
      <c r="A20" s="38"/>
      <c r="B20" s="38"/>
      <c r="C20" s="38"/>
      <c r="D20" s="38"/>
      <c r="E20" s="38"/>
      <c r="F20" s="38"/>
      <c r="G20" s="38"/>
      <c r="H20" s="38"/>
      <c r="I20" s="38"/>
      <c r="J20" s="38"/>
      <c r="K20" s="1085" t="s">
        <v>57</v>
      </c>
      <c r="L20" s="1085"/>
      <c r="M20" s="38"/>
      <c r="N20" s="38"/>
      <c r="O20" s="38"/>
      <c r="P20" s="38"/>
      <c r="Q20" s="39"/>
      <c r="R20" s="39"/>
      <c r="S20" s="39"/>
      <c r="T20" s="39"/>
      <c r="U20" s="43"/>
      <c r="V20" s="43"/>
      <c r="W20" s="43"/>
      <c r="X20" s="43"/>
      <c r="Y20" s="43"/>
      <c r="Z20" s="43"/>
      <c r="AA20" s="41"/>
      <c r="AB20" s="41"/>
      <c r="AC20" s="41"/>
      <c r="AD20" s="44"/>
      <c r="AE20" s="477"/>
    </row>
    <row r="21" spans="1:31" ht="16" x14ac:dyDescent="0.2">
      <c r="A21" s="38"/>
      <c r="B21" s="38"/>
      <c r="C21" s="38"/>
      <c r="D21" s="38"/>
      <c r="E21" s="38"/>
      <c r="F21" s="38"/>
      <c r="G21" s="38"/>
      <c r="H21" s="1085" t="s">
        <v>56</v>
      </c>
      <c r="I21" s="1085"/>
      <c r="J21" s="38"/>
      <c r="K21" s="66" t="s">
        <v>49</v>
      </c>
      <c r="L21" s="72" t="e">
        <f>(I13*0.13)</f>
        <v>#DIV/0!</v>
      </c>
      <c r="M21" s="35"/>
      <c r="N21" s="35"/>
      <c r="O21" s="424"/>
      <c r="P21" s="424"/>
      <c r="Q21" s="39"/>
      <c r="R21" s="39"/>
      <c r="S21" s="39"/>
      <c r="T21" s="39"/>
      <c r="U21" s="43"/>
      <c r="V21" s="43"/>
      <c r="W21" s="43"/>
      <c r="X21" s="43"/>
      <c r="Y21" s="43"/>
      <c r="Z21" s="43"/>
      <c r="AA21" s="41"/>
      <c r="AB21" s="41"/>
      <c r="AC21" s="41"/>
      <c r="AD21" s="41"/>
      <c r="AE21" s="477"/>
    </row>
    <row r="22" spans="1:31" ht="15" customHeight="1" x14ac:dyDescent="0.2">
      <c r="A22" s="38"/>
      <c r="B22" s="38"/>
      <c r="C22" s="38"/>
      <c r="D22" s="38"/>
      <c r="E22" s="38"/>
      <c r="F22" s="38"/>
      <c r="G22" s="38"/>
      <c r="H22" s="66" t="s">
        <v>49</v>
      </c>
      <c r="I22" s="72" t="e">
        <f>(I13*0.85)</f>
        <v>#DIV/0!</v>
      </c>
      <c r="J22" s="38"/>
      <c r="K22" s="66" t="s">
        <v>51</v>
      </c>
      <c r="L22" s="74" t="e">
        <f>'Input Financeiro atual'!C28/'Input Financeiro atual'!F11</f>
        <v>#DIV/0!</v>
      </c>
      <c r="M22" s="76"/>
      <c r="N22" s="76"/>
      <c r="O22" s="11"/>
      <c r="P22" s="36"/>
      <c r="Q22" s="39"/>
      <c r="R22" s="39"/>
      <c r="S22" s="39"/>
      <c r="T22" s="39"/>
      <c r="U22" s="43"/>
      <c r="V22" s="43"/>
      <c r="W22" s="43"/>
      <c r="X22" s="43"/>
      <c r="Y22" s="43"/>
      <c r="Z22" s="43"/>
      <c r="AA22" s="1084"/>
      <c r="AB22" s="1084"/>
      <c r="AC22" s="41"/>
      <c r="AD22" s="41"/>
      <c r="AE22" s="477"/>
    </row>
    <row r="23" spans="1:31" ht="15" customHeight="1" x14ac:dyDescent="0.2">
      <c r="A23" s="38"/>
      <c r="B23" s="38"/>
      <c r="C23" s="38"/>
      <c r="D23" s="38"/>
      <c r="E23" s="38"/>
      <c r="F23" s="38"/>
      <c r="G23" s="38"/>
      <c r="H23" s="66" t="s">
        <v>51</v>
      </c>
      <c r="I23" s="73" t="e">
        <f>'Input Financeiro atual'!F14</f>
        <v>#DIV/0!</v>
      </c>
      <c r="J23" s="38"/>
      <c r="K23" s="86"/>
      <c r="L23" s="86"/>
      <c r="M23" s="37"/>
      <c r="N23" s="37"/>
      <c r="O23" s="11"/>
      <c r="P23" s="36"/>
      <c r="Q23" s="38"/>
      <c r="R23" s="38"/>
      <c r="S23" s="38"/>
      <c r="T23" s="38"/>
      <c r="U23" s="38"/>
      <c r="V23" s="38"/>
      <c r="W23" s="38"/>
      <c r="X23" s="38"/>
      <c r="Y23" s="38"/>
      <c r="Z23" s="38"/>
    </row>
    <row r="24" spans="1:31" ht="15" customHeight="1" x14ac:dyDescent="0.2">
      <c r="A24" s="38"/>
      <c r="B24" s="38"/>
      <c r="C24" s="38"/>
      <c r="D24" s="38"/>
      <c r="E24" s="38"/>
      <c r="F24" s="38"/>
      <c r="G24" s="38"/>
      <c r="H24" s="38"/>
      <c r="I24" s="38"/>
      <c r="J24" s="38"/>
      <c r="K24" s="1090" t="s">
        <v>58</v>
      </c>
      <c r="L24" s="1091"/>
      <c r="M24" s="37"/>
      <c r="N24" s="37"/>
      <c r="O24" s="11"/>
      <c r="P24" s="36"/>
      <c r="Q24" s="38"/>
      <c r="R24" s="38"/>
      <c r="S24" s="38"/>
      <c r="T24" s="38"/>
      <c r="U24" s="38"/>
      <c r="V24" s="38"/>
      <c r="W24" s="38"/>
      <c r="X24" s="38"/>
      <c r="Y24" s="38"/>
      <c r="Z24" s="38"/>
    </row>
    <row r="25" spans="1:31" ht="15" customHeight="1" x14ac:dyDescent="0.2">
      <c r="A25" s="38"/>
      <c r="B25" s="38"/>
      <c r="C25" s="38"/>
      <c r="D25" s="38"/>
      <c r="E25" s="38"/>
      <c r="F25" s="38"/>
      <c r="G25" s="38"/>
      <c r="H25" s="38"/>
      <c r="I25" s="38"/>
      <c r="J25" s="38"/>
      <c r="K25" s="66" t="s">
        <v>49</v>
      </c>
      <c r="L25" s="75" t="e">
        <f>I22-L17-L21</f>
        <v>#DIV/0!</v>
      </c>
      <c r="M25" s="37"/>
      <c r="N25" s="37"/>
      <c r="O25" s="11"/>
      <c r="P25" s="36"/>
      <c r="Q25" s="38"/>
      <c r="R25" s="38"/>
      <c r="S25" s="38"/>
      <c r="T25" s="38"/>
      <c r="U25" s="38"/>
      <c r="V25" s="38"/>
      <c r="W25" s="38"/>
      <c r="X25" s="38"/>
      <c r="Y25" s="38"/>
      <c r="Z25" s="38"/>
    </row>
    <row r="26" spans="1:31" ht="15" customHeight="1" x14ac:dyDescent="0.2">
      <c r="A26" s="38"/>
      <c r="B26" s="38"/>
      <c r="C26" s="38"/>
      <c r="D26" s="38"/>
      <c r="E26" s="38"/>
      <c r="F26" s="38"/>
      <c r="G26" s="38"/>
      <c r="H26" s="38"/>
      <c r="I26" s="38"/>
      <c r="J26" s="38"/>
      <c r="K26" s="66" t="s">
        <v>51</v>
      </c>
      <c r="L26" s="74" t="e">
        <f>I23-L18-L22</f>
        <v>#DIV/0!</v>
      </c>
      <c r="M26" s="37"/>
      <c r="N26" s="37"/>
      <c r="O26" s="11"/>
      <c r="P26" s="36"/>
      <c r="Q26" s="38"/>
      <c r="R26" s="38"/>
      <c r="S26" s="38"/>
      <c r="T26" s="38"/>
      <c r="U26" s="38"/>
      <c r="V26" s="38"/>
      <c r="W26" s="38"/>
      <c r="X26" s="38"/>
      <c r="Y26" s="38"/>
      <c r="Z26" s="38"/>
    </row>
    <row r="27" spans="1:31" ht="15" customHeight="1" x14ac:dyDescent="0.2">
      <c r="A27" s="38"/>
      <c r="B27" s="38"/>
      <c r="C27" s="38"/>
      <c r="D27" s="38"/>
      <c r="E27" s="38"/>
      <c r="F27" s="38"/>
      <c r="G27" s="38"/>
      <c r="H27" s="38"/>
      <c r="I27" s="38"/>
      <c r="M27" s="37"/>
      <c r="N27" s="37"/>
      <c r="O27" s="11"/>
      <c r="P27" s="36"/>
      <c r="Q27" s="38"/>
      <c r="R27" s="38"/>
      <c r="S27" s="38"/>
      <c r="T27" s="38"/>
      <c r="U27" s="38"/>
      <c r="V27" s="38"/>
      <c r="W27" s="38"/>
      <c r="X27" s="38"/>
      <c r="Y27" s="38"/>
      <c r="Z27" s="38"/>
    </row>
    <row r="28" spans="1:31" ht="15" customHeight="1" x14ac:dyDescent="0.2">
      <c r="A28" s="38"/>
      <c r="B28" s="38"/>
      <c r="C28" s="38"/>
      <c r="D28" s="38"/>
      <c r="E28" s="38"/>
      <c r="F28" s="38"/>
      <c r="G28" s="38"/>
      <c r="H28" s="38"/>
      <c r="I28" s="38"/>
      <c r="J28" s="38"/>
      <c r="K28" s="86"/>
      <c r="L28" s="86"/>
      <c r="M28" s="37"/>
      <c r="N28" s="37"/>
      <c r="O28" s="11"/>
      <c r="P28" s="36"/>
      <c r="Q28" s="38"/>
      <c r="R28" s="38"/>
      <c r="S28" s="38"/>
      <c r="T28" s="38"/>
      <c r="U28" s="38"/>
      <c r="V28" s="38"/>
      <c r="W28" s="38"/>
      <c r="X28" s="38"/>
      <c r="Y28" s="38"/>
      <c r="Z28" s="38"/>
    </row>
    <row r="29" spans="1:31" ht="15" customHeight="1" x14ac:dyDescent="0.2">
      <c r="A29" s="38"/>
      <c r="B29" s="38"/>
      <c r="C29" s="38"/>
      <c r="D29" s="38"/>
      <c r="E29" s="38"/>
      <c r="F29" s="38"/>
      <c r="G29" s="38"/>
      <c r="H29" s="38"/>
      <c r="I29" s="38"/>
      <c r="M29" s="37"/>
      <c r="N29" s="37"/>
      <c r="O29" s="11"/>
      <c r="P29" s="36"/>
      <c r="Q29" s="38"/>
      <c r="R29" s="38"/>
      <c r="S29" s="38"/>
      <c r="T29" s="38"/>
      <c r="U29" s="38"/>
      <c r="V29" s="38"/>
      <c r="W29" s="38"/>
      <c r="X29" s="38"/>
      <c r="Y29" s="38"/>
      <c r="Z29" s="38"/>
    </row>
    <row r="30" spans="1:31" ht="16.25" customHeight="1" x14ac:dyDescent="0.2">
      <c r="A30" s="38"/>
      <c r="B30" s="38"/>
      <c r="C30" s="38"/>
      <c r="D30" s="38"/>
      <c r="E30" s="38"/>
      <c r="F30" s="38"/>
      <c r="G30" s="38"/>
      <c r="H30" s="38"/>
      <c r="I30" s="38"/>
      <c r="M30" s="37"/>
      <c r="N30" s="37"/>
      <c r="O30" s="11"/>
      <c r="P30" s="36"/>
      <c r="Q30" s="38"/>
      <c r="R30" s="38"/>
      <c r="S30" s="38"/>
      <c r="T30" s="38"/>
      <c r="U30" s="38"/>
      <c r="V30" s="38"/>
      <c r="W30" s="38"/>
      <c r="X30" s="38"/>
      <c r="Y30" s="38"/>
      <c r="Z30" s="38"/>
    </row>
    <row r="31" spans="1:31" ht="16.25" customHeight="1" x14ac:dyDescent="0.2">
      <c r="A31" s="38"/>
      <c r="B31" s="38"/>
      <c r="C31" s="38"/>
      <c r="D31" s="38"/>
      <c r="E31" s="38"/>
      <c r="F31" s="38"/>
      <c r="G31" s="38"/>
      <c r="H31" s="38"/>
      <c r="I31" s="38"/>
      <c r="M31" s="37"/>
      <c r="N31" s="37"/>
      <c r="O31" s="11"/>
      <c r="P31" s="36"/>
      <c r="Q31" s="38"/>
      <c r="R31" s="38"/>
      <c r="S31" s="38"/>
      <c r="T31" s="38"/>
      <c r="U31" s="38"/>
      <c r="V31" s="38"/>
      <c r="W31" s="38"/>
      <c r="X31" s="38"/>
      <c r="Y31" s="38"/>
      <c r="Z31" s="38"/>
    </row>
    <row r="32" spans="1:31" ht="16.25" customHeight="1" x14ac:dyDescent="0.2">
      <c r="A32" s="38"/>
      <c r="B32" s="38"/>
      <c r="C32" s="38"/>
      <c r="D32" s="38"/>
      <c r="E32" s="38"/>
      <c r="F32" s="38"/>
      <c r="G32" s="38"/>
      <c r="H32" s="38"/>
      <c r="I32" s="38"/>
      <c r="J32" s="38"/>
      <c r="K32" s="37"/>
      <c r="L32" s="37"/>
      <c r="M32" s="37"/>
      <c r="N32" s="37"/>
      <c r="O32" s="11"/>
      <c r="P32" s="36"/>
      <c r="Q32" s="38"/>
      <c r="R32" s="38"/>
      <c r="S32" s="38"/>
      <c r="T32" s="38"/>
      <c r="U32" s="38"/>
      <c r="V32" s="38"/>
      <c r="W32" s="38"/>
      <c r="X32" s="38"/>
      <c r="Y32" s="38"/>
      <c r="Z32" s="38"/>
    </row>
    <row r="33" spans="14:26" ht="16.25" customHeight="1" x14ac:dyDescent="0.2">
      <c r="N33" s="37"/>
      <c r="O33" s="12"/>
      <c r="P33" s="12"/>
      <c r="Q33" s="38"/>
      <c r="R33" s="38"/>
      <c r="S33" s="38"/>
      <c r="T33" s="38"/>
      <c r="U33" s="38"/>
      <c r="V33" s="38"/>
      <c r="W33" s="38"/>
      <c r="X33" s="38"/>
      <c r="Y33" s="38"/>
      <c r="Z33" s="38"/>
    </row>
    <row r="34" spans="14:26" x14ac:dyDescent="0.2">
      <c r="N34" s="37"/>
      <c r="O34" s="38"/>
      <c r="P34" s="38"/>
      <c r="Q34" s="38"/>
      <c r="R34" s="38"/>
      <c r="S34" s="38"/>
      <c r="T34" s="38"/>
      <c r="U34" s="38"/>
      <c r="V34" s="38"/>
      <c r="W34" s="38"/>
      <c r="X34" s="38"/>
      <c r="Y34" s="38"/>
      <c r="Z34" s="38"/>
    </row>
    <row r="35" spans="14:26" x14ac:dyDescent="0.2">
      <c r="N35" s="37"/>
    </row>
  </sheetData>
  <sheetProtection password="8826" sheet="1" objects="1" scenarios="1"/>
  <mergeCells count="26">
    <mergeCell ref="K24:L24"/>
    <mergeCell ref="K16:L16"/>
    <mergeCell ref="A2:M2"/>
    <mergeCell ref="H4:I4"/>
    <mergeCell ref="K4:L4"/>
    <mergeCell ref="E16:F16"/>
    <mergeCell ref="C5:D5"/>
    <mergeCell ref="B12:C12"/>
    <mergeCell ref="K7:L7"/>
    <mergeCell ref="E8:F8"/>
    <mergeCell ref="K20:L20"/>
    <mergeCell ref="N8:Q8"/>
    <mergeCell ref="S9:T9"/>
    <mergeCell ref="W10:X10"/>
    <mergeCell ref="AA22:AB22"/>
    <mergeCell ref="H21:I21"/>
    <mergeCell ref="AA13:AB13"/>
    <mergeCell ref="N11:O11"/>
    <mergeCell ref="W11:X11"/>
    <mergeCell ref="H12:I12"/>
    <mergeCell ref="W12:X12"/>
    <mergeCell ref="S18:T18"/>
    <mergeCell ref="W18:X18"/>
    <mergeCell ref="S14:T14"/>
    <mergeCell ref="H13:H14"/>
    <mergeCell ref="I13:I14"/>
  </mergeCells>
  <pageMargins left="0.511811024" right="0.511811024" top="0.78740157499999996" bottom="0.78740157499999996" header="0.31496062000000002" footer="0.31496062000000002"/>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enableFormatConditionsCalculation="0">
    <tabColor theme="7" tint="0.39997558519241921"/>
  </sheetPr>
  <dimension ref="A1:AC123"/>
  <sheetViews>
    <sheetView zoomScale="69" zoomScaleNormal="70" zoomScalePageLayoutView="70" workbookViewId="0">
      <selection activeCell="H126" sqref="H126"/>
    </sheetView>
  </sheetViews>
  <sheetFormatPr baseColWidth="10" defaultColWidth="13.6640625" defaultRowHeight="16" x14ac:dyDescent="0.2"/>
  <cols>
    <col min="1" max="1" width="3.1640625" style="523" customWidth="1"/>
    <col min="2" max="2" width="21.6640625" style="524" bestFit="1" customWidth="1"/>
    <col min="3" max="3" width="10.6640625" style="524" customWidth="1"/>
    <col min="4" max="4" width="19.33203125" style="524" bestFit="1" customWidth="1"/>
    <col min="5" max="5" width="3" style="524" customWidth="1"/>
    <col min="6" max="6" width="18" style="524" bestFit="1" customWidth="1"/>
    <col min="7" max="7" width="14.1640625" style="524" customWidth="1"/>
    <col min="8" max="8" width="19.5" style="524" bestFit="1" customWidth="1"/>
    <col min="9" max="9" width="6.33203125" style="524" bestFit="1" customWidth="1"/>
    <col min="10" max="10" width="18.6640625" style="524" bestFit="1" customWidth="1"/>
    <col min="11" max="11" width="15" style="524" customWidth="1"/>
    <col min="12" max="12" width="26.5" style="524" bestFit="1" customWidth="1"/>
    <col min="13" max="13" width="4.33203125" style="524" customWidth="1"/>
    <col min="14" max="14" width="12" style="524" hidden="1" customWidth="1"/>
    <col min="15" max="15" width="0.5" style="524" customWidth="1"/>
    <col min="16" max="16" width="16.6640625" style="524" bestFit="1" customWidth="1"/>
    <col min="17" max="17" width="5.6640625" style="524" customWidth="1"/>
    <col min="18" max="18" width="19.6640625" style="524" bestFit="1" customWidth="1"/>
    <col min="19" max="19" width="4.5" style="524" customWidth="1"/>
    <col min="20" max="20" width="14.5" style="524" customWidth="1"/>
    <col min="21" max="21" width="7.6640625" style="524" customWidth="1"/>
    <col min="22" max="22" width="18.5" style="524" customWidth="1"/>
    <col min="23" max="23" width="18.1640625" style="523" customWidth="1"/>
    <col min="24" max="25" width="13.6640625" style="523"/>
    <col min="26" max="26" width="13.6640625" style="524"/>
    <col min="27" max="16384" width="13.6640625" style="523"/>
  </cols>
  <sheetData>
    <row r="1" spans="1:23" x14ac:dyDescent="0.2">
      <c r="A1" s="552"/>
      <c r="B1" s="1096"/>
      <c r="C1" s="1096"/>
      <c r="D1" s="1096"/>
      <c r="E1" s="1096"/>
      <c r="F1" s="1096"/>
      <c r="G1" s="1096"/>
      <c r="H1" s="1096"/>
      <c r="I1" s="1096"/>
      <c r="J1" s="1096"/>
      <c r="K1" s="1096"/>
      <c r="L1" s="1096"/>
      <c r="M1" s="1096"/>
      <c r="N1" s="1096"/>
      <c r="O1" s="1096"/>
      <c r="P1" s="1096"/>
      <c r="Q1" s="1096"/>
      <c r="R1" s="1096"/>
      <c r="S1" s="1096"/>
      <c r="T1" s="1096"/>
      <c r="U1" s="1096"/>
      <c r="V1" s="1096"/>
    </row>
    <row r="2" spans="1:23" x14ac:dyDescent="0.2">
      <c r="B2" s="1097"/>
      <c r="C2" s="1097"/>
      <c r="D2" s="1097"/>
      <c r="E2" s="1097"/>
      <c r="F2" s="1097"/>
      <c r="G2" s="1097"/>
      <c r="H2" s="1097"/>
      <c r="I2" s="1097"/>
      <c r="J2" s="1097"/>
      <c r="K2" s="1097"/>
      <c r="L2" s="1097"/>
      <c r="M2" s="1097"/>
      <c r="N2" s="1097"/>
      <c r="O2" s="1097"/>
      <c r="P2" s="1097"/>
      <c r="Q2" s="1097"/>
      <c r="R2" s="1097"/>
      <c r="S2" s="1097"/>
      <c r="T2" s="1097"/>
      <c r="U2" s="1097"/>
      <c r="V2" s="1097"/>
    </row>
    <row r="4" spans="1:23" x14ac:dyDescent="0.2">
      <c r="C4" s="525" t="s">
        <v>59</v>
      </c>
      <c r="G4" s="525" t="s">
        <v>60</v>
      </c>
      <c r="K4" s="525" t="s">
        <v>61</v>
      </c>
      <c r="P4" s="452" t="s">
        <v>34</v>
      </c>
      <c r="Q4" s="1101">
        <f>'Input Zootecnico atual'!C4</f>
        <v>2016</v>
      </c>
      <c r="R4" s="1102"/>
    </row>
    <row r="5" spans="1:23" x14ac:dyDescent="0.2">
      <c r="V5" s="526" t="s">
        <v>497</v>
      </c>
      <c r="W5" s="526" t="s">
        <v>501</v>
      </c>
    </row>
    <row r="6" spans="1:23" x14ac:dyDescent="0.2">
      <c r="L6" s="526" t="s">
        <v>62</v>
      </c>
      <c r="V6" s="527" t="s">
        <v>159</v>
      </c>
      <c r="W6" s="527" t="s">
        <v>498</v>
      </c>
    </row>
    <row r="7" spans="1:23" x14ac:dyDescent="0.2">
      <c r="J7" s="526" t="s">
        <v>144</v>
      </c>
      <c r="L7" s="528">
        <f>'Input Zootecnico atual'!C40</f>
        <v>0</v>
      </c>
      <c r="V7" s="529">
        <f>'Input Zootecnico atual'!H15</f>
        <v>0</v>
      </c>
      <c r="W7" s="529">
        <f>'Input Zootecnico atual'!I15</f>
        <v>0</v>
      </c>
    </row>
    <row r="8" spans="1:23" x14ac:dyDescent="0.2">
      <c r="J8" s="530">
        <f>'Input Zootecnico atual'!C39</f>
        <v>0</v>
      </c>
      <c r="W8" s="524"/>
    </row>
    <row r="9" spans="1:23" x14ac:dyDescent="0.2">
      <c r="B9" s="526" t="s">
        <v>64</v>
      </c>
      <c r="D9" s="526" t="s">
        <v>65</v>
      </c>
      <c r="F9" s="526" t="s">
        <v>66</v>
      </c>
      <c r="L9" s="526" t="s">
        <v>67</v>
      </c>
      <c r="W9" s="524"/>
    </row>
    <row r="10" spans="1:23" x14ac:dyDescent="0.2">
      <c r="B10" s="526">
        <f>'Input Zootecnico atual'!H40</f>
        <v>0</v>
      </c>
      <c r="D10" s="528">
        <f>'Input Zootecnico atual'!H37</f>
        <v>0</v>
      </c>
      <c r="F10" s="865">
        <f>'Input Zootecnico atual'!C46</f>
        <v>0</v>
      </c>
      <c r="H10" s="526" t="s">
        <v>68</v>
      </c>
      <c r="L10" s="528">
        <f>'Input Zootecnico atual'!C41</f>
        <v>0</v>
      </c>
      <c r="W10" s="524"/>
    </row>
    <row r="11" spans="1:23" x14ac:dyDescent="0.2">
      <c r="H11" s="866" t="e">
        <f>SUM('Input Zootecnico atual'!C66:C66)/'Input Zootecnico atual'!C19</f>
        <v>#DIV/0!</v>
      </c>
      <c r="T11" s="525" t="s">
        <v>69</v>
      </c>
      <c r="V11" s="526" t="s">
        <v>160</v>
      </c>
      <c r="W11" s="526" t="s">
        <v>499</v>
      </c>
    </row>
    <row r="12" spans="1:23" x14ac:dyDescent="0.2">
      <c r="D12" s="774" t="s">
        <v>504</v>
      </c>
      <c r="L12" s="502" t="s">
        <v>486</v>
      </c>
      <c r="V12" s="529">
        <f>'Input Zootecnico atual'!H24</f>
        <v>0</v>
      </c>
      <c r="W12" s="529">
        <f>'Input Zootecnico atual'!H23</f>
        <v>0</v>
      </c>
    </row>
    <row r="13" spans="1:23" x14ac:dyDescent="0.2">
      <c r="B13" s="526" t="s">
        <v>70</v>
      </c>
      <c r="D13" s="528">
        <f>'Input Zootecnico atual'!H38</f>
        <v>0</v>
      </c>
      <c r="L13" s="528">
        <f>'Input Zootecnico atual'!C42</f>
        <v>0</v>
      </c>
      <c r="W13" s="524"/>
    </row>
    <row r="14" spans="1:23" x14ac:dyDescent="0.2">
      <c r="B14" s="528" t="e">
        <f>'Perdas por Mastite'!K38</f>
        <v>#DIV/0!</v>
      </c>
      <c r="W14" s="524"/>
    </row>
    <row r="15" spans="1:23" x14ac:dyDescent="0.2">
      <c r="D15" s="526" t="s">
        <v>72</v>
      </c>
      <c r="W15" s="524"/>
    </row>
    <row r="16" spans="1:23" x14ac:dyDescent="0.2">
      <c r="D16" s="528">
        <f>'Input Zootecnico atual'!H39</f>
        <v>0</v>
      </c>
      <c r="V16" s="526" t="s">
        <v>161</v>
      </c>
      <c r="W16" s="526" t="s">
        <v>500</v>
      </c>
    </row>
    <row r="17" spans="2:23" x14ac:dyDescent="0.2">
      <c r="V17" s="529">
        <f>'Input Zootecnico atual'!H16</f>
        <v>0</v>
      </c>
      <c r="W17" s="529">
        <f>'Input Zootecnico atual'!I16</f>
        <v>0</v>
      </c>
    </row>
    <row r="18" spans="2:23" x14ac:dyDescent="0.2">
      <c r="W18" s="524"/>
    </row>
    <row r="19" spans="2:23" x14ac:dyDescent="0.2">
      <c r="P19" s="526" t="s">
        <v>73</v>
      </c>
      <c r="R19" s="526" t="s">
        <v>158</v>
      </c>
      <c r="W19" s="524"/>
    </row>
    <row r="20" spans="2:23" x14ac:dyDescent="0.2">
      <c r="P20" s="531">
        <f>'Input Zootecnico atual'!H14</f>
        <v>0</v>
      </c>
      <c r="R20" s="529">
        <f>'Input Zootecnico atual'!I14</f>
        <v>0</v>
      </c>
      <c r="W20" s="524"/>
    </row>
    <row r="21" spans="2:23" x14ac:dyDescent="0.2">
      <c r="J21" s="526" t="s">
        <v>145</v>
      </c>
      <c r="L21" s="526" t="s">
        <v>71</v>
      </c>
      <c r="V21" s="527" t="s">
        <v>159</v>
      </c>
      <c r="W21" s="527" t="s">
        <v>498</v>
      </c>
    </row>
    <row r="22" spans="2:23" x14ac:dyDescent="0.2">
      <c r="B22" s="526" t="s">
        <v>151</v>
      </c>
      <c r="D22" s="526" t="s">
        <v>152</v>
      </c>
      <c r="F22" s="526" t="s">
        <v>153</v>
      </c>
      <c r="H22" s="526" t="s">
        <v>154</v>
      </c>
      <c r="J22" s="528">
        <f>'Input Zootecnico atual'!C54</f>
        <v>0</v>
      </c>
      <c r="L22" s="528">
        <f>'Input Zootecnico atual'!C51</f>
        <v>0</v>
      </c>
      <c r="V22" s="529">
        <f>'Input Zootecnico atual'!H17</f>
        <v>0</v>
      </c>
      <c r="W22" s="529">
        <f>'Input Zootecnico atual'!I17</f>
        <v>0</v>
      </c>
    </row>
    <row r="23" spans="2:23" x14ac:dyDescent="0.2">
      <c r="B23" s="867">
        <f>'Input Zootecnico atual'!C65</f>
        <v>0</v>
      </c>
      <c r="D23" s="868">
        <f>'Input Zootecnico atual'!C62</f>
        <v>0</v>
      </c>
      <c r="F23" s="868">
        <f>'Input Zootecnico atual'!C29</f>
        <v>0</v>
      </c>
      <c r="H23" s="526">
        <f>'Input Zootecnico atual'!C32</f>
        <v>0</v>
      </c>
      <c r="W23" s="524"/>
    </row>
    <row r="24" spans="2:23" x14ac:dyDescent="0.2">
      <c r="J24" s="526" t="s">
        <v>146</v>
      </c>
      <c r="L24" s="526" t="s">
        <v>149</v>
      </c>
      <c r="W24" s="524"/>
    </row>
    <row r="25" spans="2:23" x14ac:dyDescent="0.2">
      <c r="B25" s="526" t="s">
        <v>491</v>
      </c>
      <c r="F25" s="526" t="s">
        <v>155</v>
      </c>
      <c r="H25" s="526" t="s">
        <v>157</v>
      </c>
      <c r="J25" s="528">
        <f>'Input Zootecnico atual'!C53</f>
        <v>0</v>
      </c>
      <c r="L25" s="532">
        <f>'Input Zootecnico atual'!C56</f>
        <v>0</v>
      </c>
      <c r="W25" s="524"/>
    </row>
    <row r="26" spans="2:23" x14ac:dyDescent="0.2">
      <c r="B26" s="866">
        <f>'Input Zootecnico atual'!C60</f>
        <v>0</v>
      </c>
      <c r="F26" s="868">
        <f>'Input Zootecnico atual'!C30</f>
        <v>0</v>
      </c>
      <c r="H26" s="533">
        <f>'Input Zootecnico atual'!C33</f>
        <v>0</v>
      </c>
      <c r="T26" s="525" t="s">
        <v>75</v>
      </c>
      <c r="V26" s="526" t="s">
        <v>160</v>
      </c>
      <c r="W26" s="526" t="s">
        <v>499</v>
      </c>
    </row>
    <row r="27" spans="2:23" x14ac:dyDescent="0.2">
      <c r="J27" s="526" t="s">
        <v>147</v>
      </c>
      <c r="L27" s="526" t="s">
        <v>150</v>
      </c>
      <c r="V27" s="529">
        <f>'Input Zootecnico atual'!I24</f>
        <v>0</v>
      </c>
      <c r="W27" s="529">
        <f>'Input Zootecnico atual'!I23</f>
        <v>0</v>
      </c>
    </row>
    <row r="28" spans="2:23" x14ac:dyDescent="0.2">
      <c r="B28" s="526" t="s">
        <v>492</v>
      </c>
      <c r="F28" s="526" t="s">
        <v>156</v>
      </c>
      <c r="H28" s="526" t="s">
        <v>117</v>
      </c>
      <c r="J28" s="528">
        <f>'Input Zootecnico atual'!C55</f>
        <v>0</v>
      </c>
      <c r="L28" s="528">
        <f>'Input Zootecnico atual'!C50</f>
        <v>0</v>
      </c>
      <c r="W28" s="524"/>
    </row>
    <row r="29" spans="2:23" x14ac:dyDescent="0.2">
      <c r="B29" s="866">
        <f>'Input Zootecnico atual'!C61</f>
        <v>0</v>
      </c>
      <c r="F29" s="868">
        <f>'Input Zootecnico atual'!C31</f>
        <v>0</v>
      </c>
      <c r="H29" s="533">
        <f>'Input Zootecnico atual'!C34</f>
        <v>0</v>
      </c>
      <c r="W29" s="524"/>
    </row>
    <row r="30" spans="2:23" x14ac:dyDescent="0.2">
      <c r="J30" s="526" t="s">
        <v>148</v>
      </c>
      <c r="W30" s="524"/>
    </row>
    <row r="31" spans="2:23" x14ac:dyDescent="0.2">
      <c r="H31" s="526" t="s">
        <v>116</v>
      </c>
      <c r="J31" s="532">
        <f>'Input Zootecnico atual'!D24</f>
        <v>0</v>
      </c>
      <c r="V31" s="526" t="s">
        <v>161</v>
      </c>
      <c r="W31" s="526" t="s">
        <v>500</v>
      </c>
    </row>
    <row r="32" spans="2:23" x14ac:dyDescent="0.2">
      <c r="H32" s="533">
        <f>'Input Zootecnico atual'!C35</f>
        <v>0</v>
      </c>
      <c r="V32" s="529">
        <f>'Input Zootecnico atual'!H18</f>
        <v>0</v>
      </c>
      <c r="W32" s="529">
        <f>'Input Zootecnico atual'!I18</f>
        <v>0</v>
      </c>
    </row>
    <row r="34" spans="1:29" x14ac:dyDescent="0.2">
      <c r="C34" s="525" t="s">
        <v>76</v>
      </c>
      <c r="G34" s="525" t="s">
        <v>77</v>
      </c>
      <c r="K34" s="525" t="s">
        <v>78</v>
      </c>
    </row>
    <row r="39" spans="1:29" ht="17" customHeight="1" x14ac:dyDescent="0.2"/>
    <row r="40" spans="1:29" x14ac:dyDescent="0.2">
      <c r="Z40" s="534"/>
      <c r="AA40" s="535"/>
      <c r="AB40" s="535"/>
      <c r="AC40" s="535"/>
    </row>
    <row r="41" spans="1:29" hidden="1" x14ac:dyDescent="0.2">
      <c r="Z41" s="534"/>
      <c r="AA41" s="535"/>
      <c r="AB41" s="535"/>
      <c r="AC41" s="535"/>
    </row>
    <row r="42" spans="1:29" hidden="1" x14ac:dyDescent="0.2">
      <c r="Z42" s="534"/>
      <c r="AA42" s="535"/>
      <c r="AB42" s="535"/>
      <c r="AC42" s="535"/>
    </row>
    <row r="43" spans="1:29" s="535" customFormat="1" hidden="1" x14ac:dyDescent="0.2">
      <c r="A43" s="536"/>
      <c r="B43" s="537"/>
      <c r="C43" s="537"/>
      <c r="D43" s="537"/>
      <c r="E43" s="537"/>
      <c r="F43" s="537"/>
      <c r="G43" s="537"/>
      <c r="H43" s="537"/>
      <c r="I43" s="538"/>
      <c r="J43" s="538"/>
      <c r="K43" s="538"/>
      <c r="L43" s="538"/>
      <c r="Z43" s="534"/>
    </row>
    <row r="44" spans="1:29" s="535" customFormat="1" ht="17" hidden="1" thickBot="1" x14ac:dyDescent="0.25">
      <c r="B44" s="537"/>
      <c r="C44" s="537"/>
      <c r="D44" s="537"/>
      <c r="E44" s="537"/>
      <c r="F44" s="537"/>
      <c r="G44" s="537"/>
      <c r="H44" s="537"/>
      <c r="I44" s="537"/>
      <c r="J44" s="538"/>
      <c r="K44" s="538"/>
      <c r="L44" s="538"/>
      <c r="M44" s="539"/>
      <c r="N44" s="540"/>
      <c r="O44" s="540"/>
      <c r="P44" s="540"/>
      <c r="Q44" s="540"/>
      <c r="AA44" s="534"/>
    </row>
    <row r="45" spans="1:29" s="535" customFormat="1" ht="17" hidden="1" thickTop="1" x14ac:dyDescent="0.2">
      <c r="B45" s="537"/>
      <c r="C45" s="537"/>
      <c r="D45" s="537"/>
      <c r="E45" s="537"/>
      <c r="F45" s="537"/>
      <c r="G45" s="537"/>
      <c r="H45" s="537"/>
      <c r="I45" s="537"/>
      <c r="J45" s="538"/>
      <c r="K45" s="538"/>
      <c r="L45" s="538"/>
      <c r="M45" s="1098" t="s">
        <v>79</v>
      </c>
      <c r="N45" s="1099"/>
      <c r="O45" s="1099"/>
      <c r="P45" s="1099"/>
      <c r="Q45" s="1100"/>
      <c r="AA45" s="534"/>
    </row>
    <row r="46" spans="1:29" s="535" customFormat="1" hidden="1" x14ac:dyDescent="0.2">
      <c r="F46" s="1103" t="s">
        <v>80</v>
      </c>
      <c r="G46" s="1103"/>
      <c r="H46" s="1103"/>
      <c r="I46" s="1103"/>
      <c r="J46" s="1104" t="s">
        <v>81</v>
      </c>
      <c r="K46" s="538"/>
      <c r="L46" s="538"/>
      <c r="M46" s="1105" t="s">
        <v>82</v>
      </c>
      <c r="N46" s="537"/>
      <c r="O46" s="537"/>
      <c r="P46" s="541" t="s">
        <v>83</v>
      </c>
      <c r="Q46" s="542"/>
    </row>
    <row r="47" spans="1:29" s="535" customFormat="1" hidden="1" x14ac:dyDescent="0.2">
      <c r="B47" s="535" t="s">
        <v>84</v>
      </c>
      <c r="F47" s="534" t="s">
        <v>42</v>
      </c>
      <c r="G47" s="534">
        <v>1</v>
      </c>
      <c r="H47" s="534">
        <v>2</v>
      </c>
      <c r="I47" s="534" t="s">
        <v>82</v>
      </c>
      <c r="J47" s="1104"/>
      <c r="K47" s="538"/>
      <c r="L47" s="538"/>
      <c r="M47" s="1105"/>
      <c r="N47" s="537"/>
      <c r="O47" s="537"/>
      <c r="P47" s="541" t="s">
        <v>85</v>
      </c>
      <c r="Q47" s="542"/>
    </row>
    <row r="48" spans="1:29" s="535" customFormat="1" hidden="1" x14ac:dyDescent="0.2">
      <c r="C48" s="535" t="s">
        <v>86</v>
      </c>
      <c r="F48" s="543">
        <v>0.06</v>
      </c>
      <c r="I48" s="543">
        <v>0.1</v>
      </c>
      <c r="J48" s="534" t="s">
        <v>82</v>
      </c>
      <c r="K48" s="538"/>
      <c r="L48" s="538"/>
      <c r="M48" s="1105"/>
      <c r="N48" s="537"/>
      <c r="O48" s="537"/>
      <c r="P48" s="541" t="s">
        <v>87</v>
      </c>
      <c r="Q48" s="542"/>
    </row>
    <row r="49" spans="2:17" s="535" customFormat="1" hidden="1" x14ac:dyDescent="0.2">
      <c r="C49" s="535" t="s">
        <v>88</v>
      </c>
      <c r="F49" s="543">
        <v>0.1</v>
      </c>
      <c r="I49" s="543">
        <v>0.2</v>
      </c>
      <c r="J49" s="534" t="s">
        <v>82</v>
      </c>
      <c r="K49" s="538"/>
      <c r="L49" s="538"/>
      <c r="M49" s="544"/>
      <c r="N49" s="537"/>
      <c r="O49" s="537"/>
      <c r="P49" s="537"/>
      <c r="Q49" s="542"/>
    </row>
    <row r="50" spans="2:17" s="535" customFormat="1" hidden="1" x14ac:dyDescent="0.2">
      <c r="C50" s="535" t="s">
        <v>89</v>
      </c>
      <c r="F50" s="535">
        <v>0.3</v>
      </c>
      <c r="I50" s="535">
        <v>0.5</v>
      </c>
      <c r="J50" s="534" t="s">
        <v>82</v>
      </c>
      <c r="K50" s="538"/>
      <c r="L50" s="538"/>
      <c r="M50" s="1105" t="s">
        <v>42</v>
      </c>
      <c r="N50" s="537"/>
      <c r="O50" s="537"/>
      <c r="P50" s="541" t="s">
        <v>83</v>
      </c>
      <c r="Q50" s="542"/>
    </row>
    <row r="51" spans="2:17" s="535" customFormat="1" hidden="1" x14ac:dyDescent="0.2">
      <c r="J51" s="534"/>
      <c r="K51" s="538"/>
      <c r="L51" s="538"/>
      <c r="M51" s="1105"/>
      <c r="N51" s="537"/>
      <c r="O51" s="537"/>
      <c r="P51" s="541" t="s">
        <v>85</v>
      </c>
      <c r="Q51" s="542"/>
    </row>
    <row r="52" spans="2:17" s="535" customFormat="1" hidden="1" x14ac:dyDescent="0.2">
      <c r="B52" s="535" t="s">
        <v>90</v>
      </c>
      <c r="K52" s="538"/>
      <c r="L52" s="538"/>
      <c r="M52" s="1105"/>
      <c r="N52" s="537"/>
      <c r="O52" s="537"/>
      <c r="P52" s="541" t="s">
        <v>87</v>
      </c>
      <c r="Q52" s="542"/>
    </row>
    <row r="53" spans="2:17" s="535" customFormat="1" hidden="1" x14ac:dyDescent="0.2">
      <c r="C53" s="535" t="s">
        <v>91</v>
      </c>
      <c r="F53" s="535">
        <v>2.9</v>
      </c>
      <c r="G53" s="535">
        <v>3.3</v>
      </c>
      <c r="H53" s="535">
        <v>3.6</v>
      </c>
      <c r="I53" s="535">
        <v>4</v>
      </c>
      <c r="J53" s="534" t="str">
        <f>"+/-"</f>
        <v>+/-</v>
      </c>
      <c r="K53" s="538"/>
      <c r="L53" s="538"/>
      <c r="M53" s="544"/>
      <c r="N53" s="537"/>
      <c r="O53" s="537"/>
      <c r="P53" s="537"/>
      <c r="Q53" s="542"/>
    </row>
    <row r="54" spans="2:17" s="535" customFormat="1" hidden="1" x14ac:dyDescent="0.2">
      <c r="C54" s="535" t="s">
        <v>92</v>
      </c>
      <c r="F54" s="535">
        <v>2.7</v>
      </c>
      <c r="G54" s="535">
        <v>3</v>
      </c>
      <c r="H54" s="535">
        <v>3.3</v>
      </c>
      <c r="I54" s="535">
        <v>3.7</v>
      </c>
      <c r="J54" s="534" t="str">
        <f>"+/-"</f>
        <v>+/-</v>
      </c>
      <c r="K54" s="538"/>
      <c r="L54" s="538"/>
      <c r="M54" s="1105" t="s">
        <v>93</v>
      </c>
      <c r="N54" s="537"/>
      <c r="O54" s="537"/>
      <c r="P54" s="541" t="s">
        <v>83</v>
      </c>
      <c r="Q54" s="542"/>
    </row>
    <row r="55" spans="2:17" s="535" customFormat="1" hidden="1" x14ac:dyDescent="0.2">
      <c r="C55" s="535" t="s">
        <v>94</v>
      </c>
      <c r="F55" s="535">
        <v>250</v>
      </c>
      <c r="I55" s="535">
        <v>350</v>
      </c>
      <c r="J55" s="534" t="s">
        <v>42</v>
      </c>
      <c r="K55" s="538"/>
      <c r="L55" s="538"/>
      <c r="M55" s="1105"/>
      <c r="N55" s="537"/>
      <c r="O55" s="537"/>
      <c r="P55" s="541" t="s">
        <v>95</v>
      </c>
      <c r="Q55" s="542"/>
    </row>
    <row r="56" spans="2:17" s="535" customFormat="1" hidden="1" x14ac:dyDescent="0.2">
      <c r="C56" s="535" t="s">
        <v>96</v>
      </c>
      <c r="F56" s="535">
        <v>10</v>
      </c>
      <c r="I56" s="535">
        <v>20</v>
      </c>
      <c r="J56" s="534" t="s">
        <v>42</v>
      </c>
      <c r="K56" s="538"/>
      <c r="L56" s="538"/>
      <c r="M56" s="1105"/>
      <c r="N56" s="537"/>
      <c r="O56" s="537"/>
      <c r="P56" s="541" t="s">
        <v>97</v>
      </c>
      <c r="Q56" s="542"/>
    </row>
    <row r="57" spans="2:17" s="535" customFormat="1" hidden="1" x14ac:dyDescent="0.2">
      <c r="J57" s="534"/>
      <c r="K57" s="538"/>
      <c r="L57" s="545"/>
      <c r="M57" s="1105"/>
      <c r="N57" s="537"/>
      <c r="O57" s="537"/>
      <c r="P57" s="541" t="s">
        <v>98</v>
      </c>
      <c r="Q57" s="542"/>
    </row>
    <row r="58" spans="2:17" s="535" customFormat="1" ht="17" hidden="1" thickBot="1" x14ac:dyDescent="0.25">
      <c r="B58" s="535" t="s">
        <v>99</v>
      </c>
      <c r="K58" s="538"/>
      <c r="L58" s="545"/>
      <c r="M58" s="1106"/>
      <c r="N58" s="540"/>
      <c r="O58" s="540"/>
      <c r="P58" s="546" t="s">
        <v>87</v>
      </c>
      <c r="Q58" s="547"/>
    </row>
    <row r="59" spans="2:17" s="535" customFormat="1" ht="17" hidden="1" thickTop="1" x14ac:dyDescent="0.2">
      <c r="C59" s="535" t="s">
        <v>100</v>
      </c>
      <c r="F59" s="543">
        <v>0.8</v>
      </c>
      <c r="I59" s="543">
        <v>0.9</v>
      </c>
      <c r="J59" s="534" t="s">
        <v>82</v>
      </c>
      <c r="K59" s="538"/>
      <c r="L59" s="538"/>
      <c r="M59" s="538"/>
      <c r="N59" s="537"/>
      <c r="O59" s="537"/>
      <c r="P59" s="537"/>
      <c r="Q59" s="537"/>
    </row>
    <row r="60" spans="2:17" s="535" customFormat="1" hidden="1" x14ac:dyDescent="0.2">
      <c r="C60" s="535" t="s">
        <v>101</v>
      </c>
      <c r="F60" s="548">
        <v>32</v>
      </c>
      <c r="G60" s="548"/>
      <c r="H60" s="548"/>
      <c r="I60" s="548">
        <v>39</v>
      </c>
      <c r="J60" s="534" t="s">
        <v>82</v>
      </c>
      <c r="K60" s="538"/>
      <c r="L60" s="538"/>
    </row>
    <row r="61" spans="2:17" s="535" customFormat="1" hidden="1" x14ac:dyDescent="0.2">
      <c r="C61" s="535" t="s">
        <v>102</v>
      </c>
      <c r="F61" s="543"/>
      <c r="I61" s="543"/>
      <c r="J61" s="534"/>
      <c r="K61" s="538"/>
      <c r="L61" s="538"/>
      <c r="M61" s="538"/>
      <c r="N61" s="537"/>
      <c r="O61" s="537"/>
      <c r="P61" s="537"/>
      <c r="Q61" s="537"/>
    </row>
    <row r="62" spans="2:17" s="535" customFormat="1" hidden="1" x14ac:dyDescent="0.2">
      <c r="D62" s="535" t="s">
        <v>103</v>
      </c>
      <c r="F62" s="543">
        <v>0.8</v>
      </c>
      <c r="I62" s="543">
        <v>0.9</v>
      </c>
      <c r="J62" s="534" t="s">
        <v>82</v>
      </c>
      <c r="K62" s="538"/>
      <c r="L62" s="538"/>
      <c r="M62" s="538"/>
      <c r="N62" s="537"/>
      <c r="O62" s="537"/>
      <c r="P62" s="537"/>
      <c r="Q62" s="537"/>
    </row>
    <row r="63" spans="2:17" s="535" customFormat="1" hidden="1" x14ac:dyDescent="0.2">
      <c r="D63" s="535" t="s">
        <v>104</v>
      </c>
      <c r="F63" s="543">
        <v>0.8</v>
      </c>
      <c r="I63" s="543">
        <v>0.9</v>
      </c>
      <c r="J63" s="534" t="s">
        <v>82</v>
      </c>
      <c r="K63" s="538"/>
      <c r="L63" s="538"/>
      <c r="M63" s="538"/>
      <c r="N63" s="537"/>
      <c r="O63" s="537"/>
      <c r="P63" s="537"/>
      <c r="Q63" s="537"/>
    </row>
    <row r="64" spans="2:17" s="535" customFormat="1" hidden="1" x14ac:dyDescent="0.2">
      <c r="D64" s="535" t="s">
        <v>105</v>
      </c>
      <c r="F64" s="543">
        <v>0.8</v>
      </c>
      <c r="I64" s="543">
        <v>0.9</v>
      </c>
      <c r="J64" s="534" t="s">
        <v>82</v>
      </c>
      <c r="K64" s="538"/>
      <c r="L64" s="538"/>
      <c r="M64" s="538"/>
    </row>
    <row r="65" spans="2:13" s="535" customFormat="1" hidden="1" x14ac:dyDescent="0.2">
      <c r="C65" s="535" t="s">
        <v>106</v>
      </c>
      <c r="F65" s="543"/>
      <c r="I65" s="543"/>
      <c r="J65" s="534"/>
      <c r="K65" s="538"/>
      <c r="L65" s="538"/>
      <c r="M65" s="538"/>
    </row>
    <row r="66" spans="2:13" s="535" customFormat="1" hidden="1" x14ac:dyDescent="0.2">
      <c r="D66" s="535" t="s">
        <v>103</v>
      </c>
      <c r="F66" s="543">
        <v>0.8</v>
      </c>
      <c r="I66" s="543">
        <v>0.9</v>
      </c>
      <c r="J66" s="534" t="s">
        <v>82</v>
      </c>
      <c r="K66" s="538"/>
      <c r="L66" s="538"/>
      <c r="M66" s="538"/>
    </row>
    <row r="67" spans="2:13" s="535" customFormat="1" hidden="1" x14ac:dyDescent="0.2">
      <c r="D67" s="535" t="s">
        <v>104</v>
      </c>
      <c r="F67" s="543">
        <v>0.8</v>
      </c>
      <c r="I67" s="543">
        <v>0.9</v>
      </c>
      <c r="J67" s="534" t="s">
        <v>82</v>
      </c>
      <c r="K67" s="538"/>
      <c r="L67" s="538"/>
      <c r="M67" s="538"/>
    </row>
    <row r="68" spans="2:13" s="535" customFormat="1" hidden="1" x14ac:dyDescent="0.2">
      <c r="D68" s="535" t="s">
        <v>105</v>
      </c>
      <c r="F68" s="543">
        <v>0.8</v>
      </c>
      <c r="I68" s="543">
        <v>0.9</v>
      </c>
      <c r="J68" s="534" t="s">
        <v>82</v>
      </c>
      <c r="K68" s="538"/>
      <c r="L68" s="538"/>
      <c r="M68" s="538"/>
    </row>
    <row r="69" spans="2:13" s="535" customFormat="1" hidden="1" x14ac:dyDescent="0.2">
      <c r="J69" s="534"/>
      <c r="K69" s="538"/>
      <c r="L69" s="538"/>
      <c r="M69" s="538"/>
    </row>
    <row r="70" spans="2:13" s="535" customFormat="1" hidden="1" x14ac:dyDescent="0.2">
      <c r="B70" s="535" t="s">
        <v>107</v>
      </c>
      <c r="K70" s="538"/>
      <c r="L70" s="538"/>
      <c r="M70" s="538"/>
    </row>
    <row r="71" spans="2:13" s="535" customFormat="1" hidden="1" x14ac:dyDescent="0.2">
      <c r="C71" s="535" t="s">
        <v>108</v>
      </c>
      <c r="K71" s="538"/>
      <c r="L71" s="538"/>
      <c r="M71" s="538"/>
    </row>
    <row r="72" spans="2:13" s="535" customFormat="1" hidden="1" x14ac:dyDescent="0.2">
      <c r="D72" s="535" t="s">
        <v>109</v>
      </c>
      <c r="F72" s="543">
        <v>0.4</v>
      </c>
      <c r="I72" s="543">
        <v>0.5</v>
      </c>
      <c r="J72" s="534" t="s">
        <v>42</v>
      </c>
      <c r="K72" s="538"/>
      <c r="L72" s="538"/>
      <c r="M72" s="1095"/>
    </row>
    <row r="73" spans="2:13" s="535" customFormat="1" hidden="1" x14ac:dyDescent="0.2">
      <c r="D73" s="535" t="s">
        <v>75</v>
      </c>
      <c r="F73" s="543">
        <v>0.4</v>
      </c>
      <c r="I73" s="543">
        <v>0.5</v>
      </c>
      <c r="J73" s="534" t="s">
        <v>42</v>
      </c>
      <c r="K73" s="538"/>
      <c r="L73" s="538"/>
      <c r="M73" s="1095"/>
    </row>
    <row r="74" spans="2:13" s="535" customFormat="1" hidden="1" x14ac:dyDescent="0.2">
      <c r="C74" s="535" t="s">
        <v>67</v>
      </c>
      <c r="F74" s="543">
        <v>0.1</v>
      </c>
      <c r="I74" s="543">
        <v>0.2</v>
      </c>
      <c r="J74" s="534" t="s">
        <v>42</v>
      </c>
      <c r="K74" s="538"/>
      <c r="L74" s="538"/>
      <c r="M74" s="538"/>
    </row>
    <row r="75" spans="2:13" s="535" customFormat="1" hidden="1" x14ac:dyDescent="0.2">
      <c r="C75" s="535" t="s">
        <v>110</v>
      </c>
      <c r="F75" s="543">
        <v>0.15</v>
      </c>
      <c r="I75" s="543">
        <v>0.25</v>
      </c>
      <c r="J75" s="534" t="s">
        <v>42</v>
      </c>
      <c r="K75" s="538"/>
      <c r="L75" s="538"/>
      <c r="M75" s="538"/>
    </row>
    <row r="76" spans="2:13" s="535" customFormat="1" hidden="1" x14ac:dyDescent="0.2">
      <c r="C76" s="535" t="s">
        <v>63</v>
      </c>
      <c r="F76" s="543">
        <v>0.25</v>
      </c>
      <c r="I76" s="543">
        <v>0.35</v>
      </c>
      <c r="J76" s="534" t="s">
        <v>42</v>
      </c>
      <c r="K76" s="538"/>
      <c r="L76" s="538"/>
      <c r="M76" s="538"/>
    </row>
    <row r="77" spans="2:13" s="535" customFormat="1" hidden="1" x14ac:dyDescent="0.2">
      <c r="J77" s="534"/>
      <c r="K77" s="538"/>
      <c r="L77" s="538"/>
      <c r="M77" s="538"/>
    </row>
    <row r="78" spans="2:13" s="535" customFormat="1" hidden="1" x14ac:dyDescent="0.2">
      <c r="B78" s="537" t="s">
        <v>111</v>
      </c>
      <c r="C78" s="537"/>
      <c r="D78" s="537"/>
      <c r="E78" s="537"/>
      <c r="K78" s="538"/>
      <c r="L78" s="538"/>
      <c r="M78" s="538"/>
    </row>
    <row r="79" spans="2:13" s="535" customFormat="1" hidden="1" x14ac:dyDescent="0.2">
      <c r="C79" s="535" t="s">
        <v>112</v>
      </c>
      <c r="J79" s="534"/>
      <c r="K79" s="538"/>
      <c r="L79" s="538"/>
      <c r="M79" s="538"/>
    </row>
    <row r="80" spans="2:13" s="535" customFormat="1" hidden="1" x14ac:dyDescent="0.2">
      <c r="D80" s="535" t="s">
        <v>113</v>
      </c>
      <c r="J80" s="534"/>
      <c r="K80" s="538"/>
      <c r="L80" s="538"/>
      <c r="M80" s="538"/>
    </row>
    <row r="81" spans="2:13" s="535" customFormat="1" hidden="1" x14ac:dyDescent="0.2">
      <c r="D81" s="535" t="s">
        <v>109</v>
      </c>
      <c r="F81" s="535">
        <v>2.5</v>
      </c>
      <c r="G81" s="535">
        <v>3</v>
      </c>
      <c r="H81" s="535">
        <v>3.5</v>
      </c>
      <c r="I81" s="535">
        <v>4</v>
      </c>
      <c r="J81" s="534" t="str">
        <f>"+/-"</f>
        <v>+/-</v>
      </c>
      <c r="K81" s="538"/>
      <c r="L81" s="538"/>
      <c r="M81" s="538"/>
    </row>
    <row r="82" spans="2:13" s="535" customFormat="1" hidden="1" x14ac:dyDescent="0.2">
      <c r="D82" s="535" t="s">
        <v>75</v>
      </c>
      <c r="F82" s="535">
        <v>2.5</v>
      </c>
      <c r="G82" s="535">
        <v>3</v>
      </c>
      <c r="H82" s="535">
        <v>3.5</v>
      </c>
      <c r="I82" s="535">
        <v>4</v>
      </c>
      <c r="J82" s="534" t="str">
        <f>"+/-"</f>
        <v>+/-</v>
      </c>
      <c r="K82" s="538"/>
      <c r="L82" s="538"/>
      <c r="M82" s="538"/>
    </row>
    <row r="83" spans="2:13" s="535" customFormat="1" hidden="1" x14ac:dyDescent="0.2">
      <c r="D83" s="535" t="s">
        <v>114</v>
      </c>
      <c r="J83" s="534"/>
      <c r="K83" s="538"/>
      <c r="L83" s="538"/>
      <c r="M83" s="538"/>
    </row>
    <row r="84" spans="2:13" s="535" customFormat="1" hidden="1" x14ac:dyDescent="0.2">
      <c r="D84" s="535" t="s">
        <v>109</v>
      </c>
      <c r="F84" s="535">
        <v>2.5</v>
      </c>
      <c r="G84" s="535">
        <v>3</v>
      </c>
      <c r="H84" s="535">
        <v>3.5</v>
      </c>
      <c r="I84" s="535">
        <v>4</v>
      </c>
      <c r="J84" s="534" t="str">
        <f>"+/-"</f>
        <v>+/-</v>
      </c>
      <c r="K84" s="538"/>
      <c r="L84" s="538"/>
      <c r="M84" s="538"/>
    </row>
    <row r="85" spans="2:13" s="535" customFormat="1" hidden="1" x14ac:dyDescent="0.2">
      <c r="D85" s="535" t="s">
        <v>75</v>
      </c>
      <c r="F85" s="535">
        <v>2.5</v>
      </c>
      <c r="G85" s="535">
        <v>3</v>
      </c>
      <c r="H85" s="535">
        <v>3.5</v>
      </c>
      <c r="I85" s="535">
        <v>4</v>
      </c>
      <c r="J85" s="534" t="str">
        <f>"+/-"</f>
        <v>+/-</v>
      </c>
      <c r="K85" s="538"/>
      <c r="L85" s="538"/>
      <c r="M85" s="538"/>
    </row>
    <row r="86" spans="2:13" s="535" customFormat="1" hidden="1" x14ac:dyDescent="0.2">
      <c r="D86" s="535" t="s">
        <v>115</v>
      </c>
      <c r="J86" s="534"/>
      <c r="K86" s="538"/>
      <c r="L86" s="538"/>
      <c r="M86" s="538"/>
    </row>
    <row r="87" spans="2:13" s="535" customFormat="1" hidden="1" x14ac:dyDescent="0.2">
      <c r="D87" s="535" t="s">
        <v>109</v>
      </c>
      <c r="F87" s="535">
        <v>2</v>
      </c>
      <c r="G87" s="535">
        <v>2.5</v>
      </c>
      <c r="H87" s="535">
        <v>3</v>
      </c>
      <c r="I87" s="535">
        <v>3.5</v>
      </c>
      <c r="J87" s="534" t="str">
        <f>"+/-"</f>
        <v>+/-</v>
      </c>
      <c r="K87" s="538"/>
      <c r="L87" s="538"/>
      <c r="M87" s="538"/>
    </row>
    <row r="88" spans="2:13" s="535" customFormat="1" hidden="1" x14ac:dyDescent="0.2">
      <c r="D88" s="535" t="s">
        <v>75</v>
      </c>
      <c r="F88" s="535">
        <v>2</v>
      </c>
      <c r="G88" s="535">
        <v>2.5</v>
      </c>
      <c r="H88" s="535">
        <v>3</v>
      </c>
      <c r="I88" s="535">
        <v>3.5</v>
      </c>
      <c r="J88" s="534" t="str">
        <f>"+/-"</f>
        <v>+/-</v>
      </c>
      <c r="K88" s="538"/>
      <c r="L88" s="538"/>
      <c r="M88" s="538"/>
    </row>
    <row r="89" spans="2:13" s="535" customFormat="1" hidden="1" x14ac:dyDescent="0.2">
      <c r="C89" s="535" t="s">
        <v>116</v>
      </c>
      <c r="F89" s="549">
        <v>3.2099999999999997E-2</v>
      </c>
      <c r="G89" s="549">
        <v>3.4000000000000002E-2</v>
      </c>
      <c r="H89" s="549">
        <v>3.5999999999999997E-2</v>
      </c>
      <c r="I89" s="549">
        <v>3.7999999999999999E-2</v>
      </c>
      <c r="J89" s="534" t="str">
        <f>"+/-"</f>
        <v>+/-</v>
      </c>
      <c r="K89" s="550"/>
      <c r="L89" s="550"/>
      <c r="M89" s="538"/>
    </row>
    <row r="90" spans="2:13" s="535" customFormat="1" hidden="1" x14ac:dyDescent="0.2">
      <c r="C90" s="535" t="s">
        <v>117</v>
      </c>
      <c r="F90" s="549">
        <v>2.9000000000000001E-2</v>
      </c>
      <c r="G90" s="549">
        <v>3.1E-2</v>
      </c>
      <c r="H90" s="549">
        <v>3.3000000000000002E-2</v>
      </c>
      <c r="I90" s="549">
        <v>3.5000000000000003E-2</v>
      </c>
      <c r="J90" s="534" t="str">
        <f>"+/-"</f>
        <v>+/-</v>
      </c>
      <c r="K90" s="550"/>
      <c r="L90" s="550"/>
      <c r="M90" s="538"/>
    </row>
    <row r="91" spans="2:13" s="535" customFormat="1" hidden="1" x14ac:dyDescent="0.2">
      <c r="C91" s="535" t="s">
        <v>118</v>
      </c>
      <c r="F91" s="535">
        <v>8</v>
      </c>
      <c r="G91" s="535">
        <v>10</v>
      </c>
      <c r="H91" s="535">
        <v>14</v>
      </c>
      <c r="I91" s="535">
        <v>16</v>
      </c>
      <c r="J91" s="534" t="str">
        <f>"+/-"</f>
        <v>+/-</v>
      </c>
      <c r="K91" s="551"/>
      <c r="L91" s="551"/>
      <c r="M91" s="538"/>
    </row>
    <row r="92" spans="2:13" s="535" customFormat="1" hidden="1" x14ac:dyDescent="0.2">
      <c r="C92" s="535" t="s">
        <v>119</v>
      </c>
      <c r="F92" s="776">
        <v>0.2</v>
      </c>
      <c r="G92" s="776"/>
      <c r="H92" s="776"/>
      <c r="I92" s="776">
        <v>0.3</v>
      </c>
      <c r="J92" s="534" t="s">
        <v>42</v>
      </c>
      <c r="K92" s="551"/>
      <c r="L92" s="551"/>
      <c r="M92" s="538"/>
    </row>
    <row r="93" spans="2:13" s="535" customFormat="1" hidden="1" x14ac:dyDescent="0.2">
      <c r="J93" s="534"/>
      <c r="K93" s="538"/>
      <c r="L93" s="538"/>
      <c r="M93" s="538"/>
    </row>
    <row r="94" spans="2:13" s="535" customFormat="1" hidden="1" x14ac:dyDescent="0.2">
      <c r="B94" s="535" t="s">
        <v>120</v>
      </c>
      <c r="K94" s="538"/>
      <c r="L94" s="538"/>
      <c r="M94" s="538"/>
    </row>
    <row r="95" spans="2:13" s="535" customFormat="1" hidden="1" x14ac:dyDescent="0.2">
      <c r="C95" s="535" t="s">
        <v>74</v>
      </c>
      <c r="F95" s="543">
        <v>0.1</v>
      </c>
      <c r="I95" s="543">
        <v>0.15</v>
      </c>
      <c r="J95" s="534" t="s">
        <v>42</v>
      </c>
      <c r="K95" s="538"/>
      <c r="L95" s="538"/>
      <c r="M95" s="538"/>
    </row>
    <row r="96" spans="2:13" s="535" customFormat="1" hidden="1" x14ac:dyDescent="0.2">
      <c r="C96" s="535" t="s">
        <v>121</v>
      </c>
      <c r="F96" s="535">
        <v>150</v>
      </c>
      <c r="I96" s="535">
        <v>180</v>
      </c>
      <c r="J96" s="534" t="s">
        <v>42</v>
      </c>
      <c r="K96" s="538"/>
      <c r="L96" s="538"/>
      <c r="M96" s="538"/>
    </row>
    <row r="97" spans="2:13" s="535" customFormat="1" hidden="1" x14ac:dyDescent="0.2">
      <c r="C97" s="535" t="s">
        <v>122</v>
      </c>
      <c r="F97" s="543">
        <v>0.4</v>
      </c>
      <c r="I97" s="543">
        <v>0.5</v>
      </c>
      <c r="J97" s="534" t="s">
        <v>42</v>
      </c>
      <c r="K97" s="538"/>
      <c r="L97" s="538"/>
      <c r="M97" s="538"/>
    </row>
    <row r="98" spans="2:13" s="535" customFormat="1" hidden="1" x14ac:dyDescent="0.2">
      <c r="C98" s="535" t="s">
        <v>123</v>
      </c>
      <c r="F98" s="543">
        <v>0.15</v>
      </c>
      <c r="I98" s="543">
        <v>0.18</v>
      </c>
      <c r="J98" s="534" t="s">
        <v>82</v>
      </c>
      <c r="K98" s="538"/>
      <c r="L98" s="538"/>
      <c r="M98" s="538"/>
    </row>
    <row r="99" spans="2:13" s="535" customFormat="1" hidden="1" x14ac:dyDescent="0.2">
      <c r="C99" s="535" t="s">
        <v>124</v>
      </c>
      <c r="F99" s="543">
        <v>0.5</v>
      </c>
      <c r="I99" s="543">
        <v>0.6</v>
      </c>
      <c r="J99" s="534" t="s">
        <v>82</v>
      </c>
      <c r="K99" s="538"/>
      <c r="L99" s="538"/>
      <c r="M99" s="538"/>
    </row>
    <row r="100" spans="2:13" s="535" customFormat="1" hidden="1" x14ac:dyDescent="0.2">
      <c r="C100" s="535" t="s">
        <v>125</v>
      </c>
      <c r="F100" s="543">
        <v>0.25</v>
      </c>
      <c r="I100" s="543">
        <v>0.3</v>
      </c>
      <c r="J100" s="534" t="s">
        <v>82</v>
      </c>
      <c r="K100" s="538"/>
      <c r="L100" s="538"/>
      <c r="M100" s="538"/>
    </row>
    <row r="101" spans="2:13" s="535" customFormat="1" hidden="1" x14ac:dyDescent="0.2">
      <c r="C101" s="535" t="s">
        <v>126</v>
      </c>
      <c r="J101" s="534"/>
      <c r="K101" s="538"/>
      <c r="L101" s="538"/>
      <c r="M101" s="538"/>
    </row>
    <row r="102" spans="2:13" s="535" customFormat="1" hidden="1" x14ac:dyDescent="0.2">
      <c r="D102" s="535" t="s">
        <v>109</v>
      </c>
      <c r="F102" s="535">
        <v>50</v>
      </c>
      <c r="G102" s="535">
        <v>60</v>
      </c>
      <c r="H102" s="535">
        <v>70</v>
      </c>
      <c r="I102" s="535">
        <v>80</v>
      </c>
      <c r="J102" s="534" t="str">
        <f>"+/-"</f>
        <v>+/-</v>
      </c>
      <c r="K102" s="538"/>
      <c r="L102" s="538"/>
      <c r="M102" s="538"/>
    </row>
    <row r="103" spans="2:13" s="535" customFormat="1" hidden="1" x14ac:dyDescent="0.2">
      <c r="D103" s="535" t="s">
        <v>127</v>
      </c>
      <c r="F103" s="535">
        <v>50</v>
      </c>
      <c r="G103" s="535">
        <v>60</v>
      </c>
      <c r="H103" s="535">
        <v>70</v>
      </c>
      <c r="I103" s="535">
        <v>80</v>
      </c>
      <c r="J103" s="534" t="str">
        <f>"+/-"</f>
        <v>+/-</v>
      </c>
      <c r="K103" s="538"/>
      <c r="L103" s="538"/>
      <c r="M103" s="538"/>
    </row>
    <row r="104" spans="2:13" s="535" customFormat="1" hidden="1" x14ac:dyDescent="0.2">
      <c r="J104" s="534"/>
      <c r="K104" s="538"/>
      <c r="L104" s="538"/>
      <c r="M104" s="538"/>
    </row>
    <row r="105" spans="2:13" s="535" customFormat="1" hidden="1" x14ac:dyDescent="0.2">
      <c r="B105" s="535" t="s">
        <v>128</v>
      </c>
      <c r="K105" s="538"/>
      <c r="L105" s="538"/>
      <c r="M105" s="538"/>
    </row>
    <row r="106" spans="2:13" s="535" customFormat="1" hidden="1" x14ac:dyDescent="0.2">
      <c r="C106" s="535" t="s">
        <v>129</v>
      </c>
      <c r="F106" s="543">
        <v>0.02</v>
      </c>
      <c r="I106" s="543">
        <v>0.03</v>
      </c>
      <c r="J106" s="534" t="s">
        <v>42</v>
      </c>
      <c r="K106" s="538"/>
      <c r="L106" s="538"/>
      <c r="M106" s="538"/>
    </row>
    <row r="107" spans="2:13" s="535" customFormat="1" hidden="1" x14ac:dyDescent="0.2">
      <c r="C107" s="535" t="s">
        <v>130</v>
      </c>
      <c r="F107" s="543">
        <v>0.1</v>
      </c>
      <c r="I107" s="543">
        <v>0.15</v>
      </c>
      <c r="J107" s="534" t="s">
        <v>42</v>
      </c>
      <c r="K107" s="538"/>
      <c r="L107" s="538"/>
      <c r="M107" s="538"/>
    </row>
    <row r="108" spans="2:13" s="535" customFormat="1" hidden="1" x14ac:dyDescent="0.2">
      <c r="C108" s="535" t="s">
        <v>131</v>
      </c>
      <c r="F108" s="543">
        <v>0.25</v>
      </c>
      <c r="G108" s="543">
        <v>0.3</v>
      </c>
      <c r="H108" s="543">
        <v>0.35</v>
      </c>
      <c r="I108" s="543">
        <v>0.4</v>
      </c>
      <c r="J108" s="534" t="str">
        <f>"+/-"</f>
        <v>+/-</v>
      </c>
      <c r="K108" s="538"/>
      <c r="L108" s="538"/>
      <c r="M108" s="538"/>
    </row>
    <row r="109" spans="2:13" s="535" customFormat="1" hidden="1" x14ac:dyDescent="0.2">
      <c r="J109" s="534"/>
      <c r="K109" s="538"/>
      <c r="L109" s="538"/>
      <c r="M109" s="538"/>
    </row>
    <row r="110" spans="2:13" s="535" customFormat="1" hidden="1" x14ac:dyDescent="0.2">
      <c r="B110" s="535" t="s">
        <v>132</v>
      </c>
      <c r="K110" s="538"/>
      <c r="L110" s="538"/>
      <c r="M110" s="538"/>
    </row>
    <row r="111" spans="2:13" s="535" customFormat="1" hidden="1" x14ac:dyDescent="0.2">
      <c r="C111" s="535" t="s">
        <v>133</v>
      </c>
      <c r="F111" s="535">
        <v>250</v>
      </c>
      <c r="I111" s="535">
        <v>350</v>
      </c>
      <c r="J111" s="534" t="s">
        <v>42</v>
      </c>
      <c r="K111" s="538"/>
      <c r="L111" s="538"/>
      <c r="M111" s="538"/>
    </row>
    <row r="112" spans="2:13" s="535" customFormat="1" hidden="1" x14ac:dyDescent="0.2">
      <c r="C112" s="535" t="s">
        <v>134</v>
      </c>
      <c r="F112" s="543">
        <v>0.15</v>
      </c>
      <c r="I112" s="543">
        <v>0.2</v>
      </c>
      <c r="J112" s="534" t="s">
        <v>42</v>
      </c>
      <c r="K112" s="538"/>
      <c r="L112" s="538"/>
      <c r="M112" s="538"/>
    </row>
    <row r="113" spans="2:27" s="535" customFormat="1" hidden="1" x14ac:dyDescent="0.2">
      <c r="C113" s="535" t="s">
        <v>135</v>
      </c>
      <c r="F113" s="543">
        <v>0.1</v>
      </c>
      <c r="I113" s="543">
        <v>0.15</v>
      </c>
      <c r="J113" s="534" t="s">
        <v>42</v>
      </c>
      <c r="K113" s="538"/>
      <c r="L113" s="538"/>
      <c r="M113" s="538"/>
    </row>
    <row r="114" spans="2:27" s="535" customFormat="1" hidden="1" x14ac:dyDescent="0.2">
      <c r="C114" s="535" t="s">
        <v>136</v>
      </c>
      <c r="F114" s="543">
        <v>0.4</v>
      </c>
      <c r="I114" s="543">
        <v>0.5</v>
      </c>
      <c r="J114" s="534" t="s">
        <v>82</v>
      </c>
      <c r="K114" s="538"/>
      <c r="L114" s="538"/>
      <c r="M114" s="538"/>
    </row>
    <row r="115" spans="2:27" s="535" customFormat="1" hidden="1" x14ac:dyDescent="0.2">
      <c r="C115" s="535" t="s">
        <v>137</v>
      </c>
      <c r="F115" s="543">
        <v>0.03</v>
      </c>
      <c r="I115" s="543">
        <v>0.05</v>
      </c>
      <c r="J115" s="534" t="s">
        <v>42</v>
      </c>
      <c r="K115" s="538"/>
      <c r="L115" s="538"/>
      <c r="M115" s="538"/>
    </row>
    <row r="116" spans="2:27" s="535" customFormat="1" hidden="1" x14ac:dyDescent="0.2">
      <c r="J116" s="534"/>
      <c r="K116" s="538"/>
      <c r="L116" s="538"/>
      <c r="M116" s="538"/>
    </row>
    <row r="117" spans="2:27" s="535" customFormat="1" hidden="1" x14ac:dyDescent="0.2">
      <c r="B117" s="535" t="s">
        <v>138</v>
      </c>
      <c r="K117" s="538"/>
      <c r="L117" s="538"/>
      <c r="M117" s="538"/>
    </row>
    <row r="118" spans="2:27" s="535" customFormat="1" hidden="1" x14ac:dyDescent="0.2">
      <c r="C118" s="535" t="s">
        <v>139</v>
      </c>
      <c r="F118" s="535">
        <v>23</v>
      </c>
      <c r="G118" s="535">
        <v>24</v>
      </c>
      <c r="H118" s="535">
        <v>25</v>
      </c>
      <c r="I118" s="534">
        <v>26</v>
      </c>
      <c r="J118" s="534" t="str">
        <f>"+/-"</f>
        <v>+/-</v>
      </c>
      <c r="K118" s="538"/>
      <c r="L118" s="538"/>
      <c r="M118" s="538"/>
    </row>
    <row r="119" spans="2:27" s="535" customFormat="1" hidden="1" x14ac:dyDescent="0.2">
      <c r="C119" s="535" t="s">
        <v>140</v>
      </c>
      <c r="F119" s="535">
        <v>420</v>
      </c>
      <c r="G119" s="535">
        <v>450</v>
      </c>
      <c r="H119" s="535">
        <v>491</v>
      </c>
      <c r="I119" s="535">
        <v>510</v>
      </c>
      <c r="J119" s="534" t="str">
        <f>"+/-"</f>
        <v>+/-</v>
      </c>
      <c r="K119" s="538"/>
      <c r="L119" s="538"/>
      <c r="M119" s="538"/>
    </row>
    <row r="120" spans="2:27" s="535" customFormat="1" hidden="1" x14ac:dyDescent="0.2">
      <c r="C120" s="535" t="s">
        <v>141</v>
      </c>
      <c r="F120" s="543">
        <v>0.1</v>
      </c>
      <c r="I120" s="543">
        <v>0.15</v>
      </c>
      <c r="J120" s="534" t="s">
        <v>42</v>
      </c>
      <c r="K120" s="538"/>
      <c r="L120" s="538"/>
      <c r="M120" s="538"/>
    </row>
    <row r="121" spans="2:27" s="535" customFormat="1" hidden="1" x14ac:dyDescent="0.2">
      <c r="C121" s="535" t="s">
        <v>142</v>
      </c>
      <c r="F121" s="543">
        <v>0.15</v>
      </c>
      <c r="I121" s="543">
        <v>0.2</v>
      </c>
      <c r="J121" s="534" t="s">
        <v>42</v>
      </c>
      <c r="K121" s="534"/>
      <c r="L121" s="534"/>
      <c r="M121" s="534"/>
    </row>
    <row r="122" spans="2:27" s="535" customFormat="1" hidden="1" x14ac:dyDescent="0.2">
      <c r="J122" s="534"/>
      <c r="K122" s="534"/>
      <c r="L122" s="534"/>
      <c r="M122" s="534"/>
      <c r="AA122" s="534"/>
    </row>
    <row r="123" spans="2:27" hidden="1" x14ac:dyDescent="0.2">
      <c r="B123" s="523"/>
      <c r="S123" s="535"/>
      <c r="T123" s="535"/>
      <c r="U123" s="535"/>
      <c r="V123" s="535"/>
      <c r="W123" s="535"/>
      <c r="X123" s="535"/>
      <c r="Y123" s="535"/>
      <c r="Z123" s="535"/>
      <c r="AA123" s="534"/>
    </row>
  </sheetData>
  <sheetProtection password="8826" sheet="1" objects="1" scenarios="1"/>
  <mergeCells count="9">
    <mergeCell ref="M72:M73"/>
    <mergeCell ref="B1:V2"/>
    <mergeCell ref="M45:Q45"/>
    <mergeCell ref="Q4:R4"/>
    <mergeCell ref="F46:I46"/>
    <mergeCell ref="J46:J47"/>
    <mergeCell ref="M46:M48"/>
    <mergeCell ref="M50:M52"/>
    <mergeCell ref="M54:M58"/>
  </mergeCells>
  <conditionalFormatting sqref="B10">
    <cfRule type="cellIs" dxfId="133" priority="20" operator="greaterThan">
      <formula>$I$111</formula>
    </cfRule>
    <cfRule type="cellIs" dxfId="132" priority="21" operator="lessThan">
      <formula>$F$111</formula>
    </cfRule>
    <cfRule type="cellIs" dxfId="131" priority="22" operator="between">
      <formula>$F$111</formula>
      <formula>$I$111</formula>
    </cfRule>
  </conditionalFormatting>
  <conditionalFormatting sqref="D13">
    <cfRule type="cellIs" dxfId="130" priority="23" operator="greaterThan">
      <formula>$I$113</formula>
    </cfRule>
    <cfRule type="cellIs" dxfId="129" priority="24" operator="lessThan">
      <formula>$F$113</formula>
    </cfRule>
    <cfRule type="cellIs" dxfId="128" priority="25" operator="between">
      <formula>$F$113</formula>
      <formula>$I$113</formula>
    </cfRule>
  </conditionalFormatting>
  <conditionalFormatting sqref="D16">
    <cfRule type="cellIs" dxfId="127" priority="26" operator="greaterThan">
      <formula>$I$114</formula>
    </cfRule>
    <cfRule type="cellIs" dxfId="126" priority="27" operator="lessThan">
      <formula>$F$114</formula>
    </cfRule>
    <cfRule type="cellIs" dxfId="125" priority="28" operator="between">
      <formula>$F$114</formula>
      <formula>$I$114</formula>
    </cfRule>
  </conditionalFormatting>
  <conditionalFormatting sqref="B14">
    <cfRule type="cellIs" dxfId="124" priority="29" operator="greaterThan">
      <formula>$I$115</formula>
    </cfRule>
    <cfRule type="cellIs" dxfId="123" priority="30" operator="lessThan">
      <formula>$F$115</formula>
    </cfRule>
    <cfRule type="cellIs" dxfId="122" priority="31" operator="between">
      <formula>$F$115</formula>
      <formula>$I$115</formula>
    </cfRule>
  </conditionalFormatting>
  <conditionalFormatting sqref="F10">
    <cfRule type="cellIs" dxfId="121" priority="32" operator="greaterThan">
      <formula>$I$106</formula>
    </cfRule>
    <cfRule type="cellIs" dxfId="120" priority="33" operator="lessThan">
      <formula>$F$106</formula>
    </cfRule>
    <cfRule type="cellIs" dxfId="119" priority="34" operator="between">
      <formula>$F$106</formula>
      <formula>$I$106</formula>
    </cfRule>
  </conditionalFormatting>
  <conditionalFormatting sqref="H11">
    <cfRule type="cellIs" dxfId="118" priority="35" operator="between">
      <formula>$G$108</formula>
      <formula>$H$108</formula>
    </cfRule>
    <cfRule type="cellIs" dxfId="117" priority="36" operator="between">
      <formula>$H$108</formula>
      <formula>$I$108</formula>
    </cfRule>
    <cfRule type="cellIs" dxfId="116" priority="37" operator="greaterThan">
      <formula>$I$108</formula>
    </cfRule>
    <cfRule type="cellIs" dxfId="115" priority="38" operator="lessThan">
      <formula>$F$108</formula>
    </cfRule>
    <cfRule type="cellIs" dxfId="114" priority="39" operator="between">
      <formula>$F$108</formula>
      <formula>$G$108</formula>
    </cfRule>
  </conditionalFormatting>
  <conditionalFormatting sqref="F14">
    <cfRule type="cellIs" dxfId="113" priority="40" operator="greaterThan">
      <formula>$I$107</formula>
    </cfRule>
    <cfRule type="cellIs" dxfId="112" priority="41" operator="lessThan">
      <formula>$F$107</formula>
    </cfRule>
    <cfRule type="cellIs" dxfId="111" priority="42" operator="between">
      <formula>$F$107</formula>
      <formula>$I$107</formula>
    </cfRule>
  </conditionalFormatting>
  <conditionalFormatting sqref="J8">
    <cfRule type="cellIs" dxfId="110" priority="43" operator="greaterThan">
      <formula>$I$76</formula>
    </cfRule>
    <cfRule type="cellIs" dxfId="109" priority="44" operator="lessThan">
      <formula>$F$76</formula>
    </cfRule>
    <cfRule type="cellIs" dxfId="108" priority="45" operator="between">
      <formula>$F$76</formula>
      <formula>$I$76</formula>
    </cfRule>
  </conditionalFormatting>
  <conditionalFormatting sqref="L7">
    <cfRule type="cellIs" dxfId="107" priority="46" operator="greaterThan">
      <formula>$I$72</formula>
    </cfRule>
    <cfRule type="cellIs" dxfId="106" priority="47" operator="lessThan">
      <formula>$F$72</formula>
    </cfRule>
    <cfRule type="cellIs" dxfId="105" priority="48" operator="between">
      <formula>$F$72</formula>
      <formula>$I$72</formula>
    </cfRule>
  </conditionalFormatting>
  <conditionalFormatting sqref="L10">
    <cfRule type="cellIs" dxfId="104" priority="49" operator="greaterThan">
      <formula>$I$74</formula>
    </cfRule>
    <cfRule type="cellIs" dxfId="103" priority="50" operator="lessThan">
      <formula>$F$74</formula>
    </cfRule>
    <cfRule type="cellIs" dxfId="102" priority="51" operator="between">
      <formula>$F$74</formula>
      <formula>$I$74</formula>
    </cfRule>
  </conditionalFormatting>
  <conditionalFormatting sqref="L13">
    <cfRule type="cellIs" dxfId="101" priority="52" operator="greaterThan">
      <formula>$I$75</formula>
    </cfRule>
    <cfRule type="cellIs" dxfId="100" priority="53" operator="lessThan">
      <formula>$F$75</formula>
    </cfRule>
    <cfRule type="cellIs" dxfId="99" priority="54" operator="between">
      <formula>$F$75</formula>
      <formula>$I$75</formula>
    </cfRule>
  </conditionalFormatting>
  <conditionalFormatting sqref="B23">
    <cfRule type="cellIs" dxfId="98" priority="55" operator="between">
      <formula>$G$118</formula>
      <formula>$H$118</formula>
    </cfRule>
    <cfRule type="cellIs" dxfId="97" priority="56" operator="between">
      <formula>$F$118</formula>
      <formula>$G$118</formula>
    </cfRule>
    <cfRule type="cellIs" dxfId="96" priority="57" operator="greaterThan">
      <formula>$I$118</formula>
    </cfRule>
    <cfRule type="cellIs" dxfId="95" priority="58" operator="lessThan">
      <formula>$F$118</formula>
    </cfRule>
    <cfRule type="cellIs" dxfId="94" priority="59" operator="between">
      <formula>$H$118</formula>
      <formula>$I$118</formula>
    </cfRule>
  </conditionalFormatting>
  <conditionalFormatting sqref="D23">
    <cfRule type="cellIs" dxfId="93" priority="60" operator="between">
      <formula>$H$119</formula>
      <formula>$G$119</formula>
    </cfRule>
    <cfRule type="cellIs" dxfId="92" priority="61" operator="between">
      <formula>$F$119</formula>
      <formula>$G$119</formula>
    </cfRule>
    <cfRule type="cellIs" dxfId="91" priority="62" operator="greaterThan">
      <formula>$I$119</formula>
    </cfRule>
    <cfRule type="cellIs" dxfId="90" priority="63" operator="lessThan">
      <formula>$F$119</formula>
    </cfRule>
    <cfRule type="cellIs" dxfId="89" priority="64" operator="between">
      <formula>$H$119</formula>
      <formula>$I$119</formula>
    </cfRule>
  </conditionalFormatting>
  <conditionalFormatting sqref="B26">
    <cfRule type="cellIs" dxfId="88" priority="65" operator="greaterThan">
      <formula>$I$120</formula>
    </cfRule>
    <cfRule type="cellIs" dxfId="87" priority="66" operator="lessThan">
      <formula>$F$120</formula>
    </cfRule>
    <cfRule type="cellIs" dxfId="86" priority="67" operator="between">
      <formula>$F$120</formula>
      <formula>$I$120</formula>
    </cfRule>
  </conditionalFormatting>
  <conditionalFormatting sqref="B29">
    <cfRule type="cellIs" dxfId="85" priority="68" operator="greaterThan">
      <formula>$I$121</formula>
    </cfRule>
    <cfRule type="cellIs" dxfId="84" priority="69" operator="lessThan">
      <formula>$F$121</formula>
    </cfRule>
    <cfRule type="cellIs" dxfId="83" priority="70" operator="between">
      <formula>$F$121</formula>
      <formula>$I$121</formula>
    </cfRule>
  </conditionalFormatting>
  <conditionalFormatting sqref="F23">
    <cfRule type="cellIs" dxfId="82" priority="71" operator="between">
      <formula>$G$87</formula>
      <formula>$H$87</formula>
    </cfRule>
    <cfRule type="cellIs" dxfId="81" priority="72" operator="between">
      <formula>$F$87</formula>
      <formula>$G$87</formula>
    </cfRule>
    <cfRule type="cellIs" dxfId="80" priority="73" operator="greaterThan">
      <formula>$I$87</formula>
    </cfRule>
    <cfRule type="cellIs" dxfId="79" priority="74" operator="lessThan">
      <formula>$F$87</formula>
    </cfRule>
    <cfRule type="cellIs" dxfId="78" priority="75" operator="between">
      <formula>$H$87</formula>
      <formula>$I$87</formula>
    </cfRule>
  </conditionalFormatting>
  <conditionalFormatting sqref="H26">
    <cfRule type="cellIs" dxfId="77" priority="76" operator="greaterThan">
      <formula>$I$92</formula>
    </cfRule>
    <cfRule type="cellIs" dxfId="76" priority="77" operator="lessThan">
      <formula>$F$92</formula>
    </cfRule>
    <cfRule type="cellIs" dxfId="75" priority="78" operator="between">
      <formula>$F$92</formula>
      <formula>$I$92</formula>
    </cfRule>
  </conditionalFormatting>
  <conditionalFormatting sqref="F29">
    <cfRule type="cellIs" dxfId="74" priority="79" operator="between">
      <formula>$G$81</formula>
      <formula>$H$81</formula>
    </cfRule>
    <cfRule type="cellIs" dxfId="73" priority="80" operator="between">
      <formula>$F$81</formula>
      <formula>$G$81</formula>
    </cfRule>
    <cfRule type="cellIs" dxfId="72" priority="81" operator="greaterThan">
      <formula>$I$81</formula>
    </cfRule>
    <cfRule type="cellIs" dxfId="71" priority="82" operator="lessThan">
      <formula>$F$81</formula>
    </cfRule>
    <cfRule type="cellIs" dxfId="70" priority="83" operator="between">
      <formula>$H$81</formula>
      <formula>$I$81</formula>
    </cfRule>
  </conditionalFormatting>
  <conditionalFormatting sqref="F26">
    <cfRule type="cellIs" dxfId="69" priority="84" operator="between">
      <formula>$G$84</formula>
      <formula>$H$84</formula>
    </cfRule>
    <cfRule type="cellIs" dxfId="68" priority="85" operator="between">
      <formula>$F$84</formula>
      <formula>$G$84</formula>
    </cfRule>
    <cfRule type="cellIs" dxfId="67" priority="86" operator="greaterThan">
      <formula>$I$84</formula>
    </cfRule>
    <cfRule type="cellIs" dxfId="66" priority="87" operator="lessThan">
      <formula>$F$84</formula>
    </cfRule>
    <cfRule type="cellIs" dxfId="65" priority="88" operator="between">
      <formula>$H$84</formula>
      <formula>$I$84</formula>
    </cfRule>
  </conditionalFormatting>
  <conditionalFormatting sqref="H23">
    <cfRule type="cellIs" dxfId="64" priority="89" operator="between">
      <formula>$G$91</formula>
      <formula>$H$91</formula>
    </cfRule>
    <cfRule type="cellIs" dxfId="63" priority="90" operator="between">
      <formula>$F$91</formula>
      <formula>$G$91</formula>
    </cfRule>
    <cfRule type="cellIs" dxfId="62" priority="91" operator="greaterThan">
      <formula>$I$91</formula>
    </cfRule>
    <cfRule type="cellIs" dxfId="61" priority="92" operator="lessThan">
      <formula>$F$91</formula>
    </cfRule>
    <cfRule type="cellIs" dxfId="60" priority="93" operator="between">
      <formula>$H$91</formula>
      <formula>$I$91</formula>
    </cfRule>
  </conditionalFormatting>
  <conditionalFormatting sqref="H29">
    <cfRule type="cellIs" dxfId="59" priority="94" operator="between">
      <formula>$G$90</formula>
      <formula>$H$90</formula>
    </cfRule>
    <cfRule type="cellIs" dxfId="58" priority="95" operator="between">
      <formula>$F$90</formula>
      <formula>$G$90</formula>
    </cfRule>
    <cfRule type="cellIs" dxfId="57" priority="96" operator="greaterThan">
      <formula>$I$90</formula>
    </cfRule>
    <cfRule type="cellIs" dxfId="56" priority="97" operator="lessThan">
      <formula>$F$90</formula>
    </cfRule>
    <cfRule type="cellIs" dxfId="55" priority="98" operator="between">
      <formula>$H$90</formula>
      <formula>$I$90</formula>
    </cfRule>
  </conditionalFormatting>
  <conditionalFormatting sqref="H32">
    <cfRule type="cellIs" dxfId="54" priority="99" operator="between">
      <formula>$G$89</formula>
      <formula>$H$89</formula>
    </cfRule>
    <cfRule type="cellIs" dxfId="53" priority="100" operator="between">
      <formula>$F$89</formula>
      <formula>$G$89</formula>
    </cfRule>
    <cfRule type="cellIs" dxfId="52" priority="101" operator="greaterThan">
      <formula>$I$89</formula>
    </cfRule>
    <cfRule type="cellIs" dxfId="51" priority="102" operator="lessThan">
      <formula>$F$89</formula>
    </cfRule>
    <cfRule type="cellIs" dxfId="50" priority="103" operator="between">
      <formula>$H$89</formula>
      <formula>$I$89</formula>
    </cfRule>
  </conditionalFormatting>
  <conditionalFormatting sqref="L25">
    <cfRule type="cellIs" dxfId="49" priority="104" operator="between">
      <formula>$G$102</formula>
      <formula>$H$102</formula>
    </cfRule>
    <cfRule type="cellIs" dxfId="48" priority="105" operator="between">
      <formula>$F$102</formula>
      <formula>$G$102</formula>
    </cfRule>
    <cfRule type="cellIs" dxfId="47" priority="106" operator="greaterThan">
      <formula>$I$102</formula>
    </cfRule>
    <cfRule type="cellIs" dxfId="46" priority="107" operator="lessThan">
      <formula>$F$102</formula>
    </cfRule>
    <cfRule type="cellIs" dxfId="45" priority="108" operator="between">
      <formula>$H$102</formula>
      <formula>$I$102</formula>
    </cfRule>
  </conditionalFormatting>
  <conditionalFormatting sqref="J22">
    <cfRule type="cellIs" dxfId="44" priority="109" operator="greaterThan">
      <formula>$I$100</formula>
    </cfRule>
    <cfRule type="cellIs" dxfId="43" priority="110" operator="lessThan">
      <formula>$F$100</formula>
    </cfRule>
    <cfRule type="cellIs" dxfId="42" priority="111" operator="between">
      <formula>$F$100</formula>
      <formula>$I$100</formula>
    </cfRule>
  </conditionalFormatting>
  <conditionalFormatting sqref="J25">
    <cfRule type="cellIs" dxfId="41" priority="112" operator="greaterThan">
      <formula>$I$99</formula>
    </cfRule>
    <cfRule type="cellIs" dxfId="40" priority="113" operator="lessThan">
      <formula>$F$99</formula>
    </cfRule>
    <cfRule type="cellIs" dxfId="39" priority="114" operator="between">
      <formula>$F$99</formula>
      <formula>$I$99</formula>
    </cfRule>
  </conditionalFormatting>
  <conditionalFormatting sqref="J28">
    <cfRule type="cellIs" dxfId="38" priority="115" operator="greaterThan">
      <formula>$I$98</formula>
    </cfRule>
    <cfRule type="cellIs" dxfId="37" priority="116" operator="lessThan">
      <formula>$F$98</formula>
    </cfRule>
    <cfRule type="cellIs" dxfId="36" priority="117" operator="between">
      <formula>$F$98</formula>
      <formula>$I$98</formula>
    </cfRule>
  </conditionalFormatting>
  <conditionalFormatting sqref="L28">
    <cfRule type="cellIs" dxfId="35" priority="118" operator="greaterThan">
      <formula>$I$97</formula>
    </cfRule>
    <cfRule type="cellIs" dxfId="34" priority="119" operator="lessThan">
      <formula>$F$97</formula>
    </cfRule>
    <cfRule type="cellIs" dxfId="33" priority="120" operator="between">
      <formula>$F$97</formula>
      <formula>$I$97</formula>
    </cfRule>
  </conditionalFormatting>
  <conditionalFormatting sqref="L22">
    <cfRule type="cellIs" dxfId="32" priority="121" operator="greaterThan">
      <formula>$I$95</formula>
    </cfRule>
    <cfRule type="cellIs" dxfId="31" priority="122" operator="lessThan">
      <formula>$F$95</formula>
    </cfRule>
    <cfRule type="cellIs" dxfId="30" priority="123" operator="between">
      <formula>$F$95</formula>
      <formula>$I$95</formula>
    </cfRule>
  </conditionalFormatting>
  <conditionalFormatting sqref="J31">
    <cfRule type="cellIs" dxfId="29" priority="124" operator="greaterThan">
      <formula>$I$96</formula>
    </cfRule>
    <cfRule type="cellIs" dxfId="28" priority="125" operator="lessThan">
      <formula>$F$96</formula>
    </cfRule>
    <cfRule type="cellIs" dxfId="27" priority="126" operator="between">
      <formula>$F$96</formula>
      <formula>$I$96</formula>
    </cfRule>
  </conditionalFormatting>
  <conditionalFormatting sqref="D10">
    <cfRule type="cellIs" dxfId="26" priority="127" operator="greaterThan">
      <formula>$I$112</formula>
    </cfRule>
    <cfRule type="cellIs" dxfId="25" priority="128" operator="lessThan">
      <formula>$F$112</formula>
    </cfRule>
    <cfRule type="cellIs" dxfId="24" priority="129" operator="between">
      <formula>$E$7+$F$112</formula>
      <formula>$I$112</formula>
    </cfRule>
  </conditionalFormatting>
  <conditionalFormatting sqref="P20">
    <cfRule type="cellIs" dxfId="23" priority="130" operator="greaterThan">
      <formula>$I$59*$R$20</formula>
    </cfRule>
    <cfRule type="cellIs" dxfId="22" priority="131" operator="lessThan">
      <formula>$F$59*$R$20</formula>
    </cfRule>
    <cfRule type="cellIs" dxfId="21" priority="132" operator="between">
      <formula>$F$59*$R$20</formula>
      <formula>$I$59*$R$20</formula>
    </cfRule>
  </conditionalFormatting>
  <conditionalFormatting sqref="B3:P34">
    <cfRule type="containsBlanks" dxfId="20" priority="19">
      <formula>LEN(TRIM(B3))=0</formula>
    </cfRule>
  </conditionalFormatting>
  <conditionalFormatting sqref="V7">
    <cfRule type="cellIs" dxfId="19" priority="16" operator="lessThan">
      <formula>$W$7*$F$62</formula>
    </cfRule>
    <cfRule type="cellIs" dxfId="18" priority="17" operator="between">
      <formula>$W$7*$F$62</formula>
      <formula>$W$7*$I$62</formula>
    </cfRule>
    <cfRule type="cellIs" dxfId="17" priority="18" operator="greaterThan">
      <formula>$W$7*$I$62</formula>
    </cfRule>
  </conditionalFormatting>
  <conditionalFormatting sqref="V12">
    <cfRule type="cellIs" dxfId="16" priority="13" operator="lessThan">
      <formula>$W$12*$F$62</formula>
    </cfRule>
    <cfRule type="cellIs" dxfId="15" priority="14" operator="between">
      <formula>$W$12*$F$62</formula>
      <formula>$W$12*$I$62</formula>
    </cfRule>
    <cfRule type="cellIs" dxfId="14" priority="15" operator="greaterThan">
      <formula>$W$12*$I$62</formula>
    </cfRule>
  </conditionalFormatting>
  <conditionalFormatting sqref="V17">
    <cfRule type="cellIs" dxfId="13" priority="10" operator="lessThan">
      <formula>$W$17*$F$62</formula>
    </cfRule>
    <cfRule type="cellIs" dxfId="12" priority="11" operator="between">
      <formula>$W$17*$F$62</formula>
      <formula>$W$17*$I$62</formula>
    </cfRule>
    <cfRule type="cellIs" dxfId="11" priority="12" operator="greaterThan">
      <formula>$W$17*$I$62</formula>
    </cfRule>
  </conditionalFormatting>
  <conditionalFormatting sqref="V22">
    <cfRule type="cellIs" dxfId="10" priority="7" operator="lessThan">
      <formula>$W$22*$F$62</formula>
    </cfRule>
    <cfRule type="cellIs" dxfId="9" priority="8" operator="between">
      <formula>$W$22*$F$62</formula>
      <formula>$W$22*$I$62</formula>
    </cfRule>
    <cfRule type="cellIs" dxfId="8" priority="9" operator="greaterThan">
      <formula>$W$22*$I$62</formula>
    </cfRule>
  </conditionalFormatting>
  <conditionalFormatting sqref="V27">
    <cfRule type="cellIs" dxfId="7" priority="4" operator="lessThan">
      <formula>$W$27*$F$62</formula>
    </cfRule>
    <cfRule type="cellIs" dxfId="6" priority="5" operator="between">
      <formula>$W$27*$F$62</formula>
      <formula>$W$27*$I$62</formula>
    </cfRule>
    <cfRule type="cellIs" dxfId="5" priority="6" operator="greaterThan">
      <formula>$W$27*$I$62</formula>
    </cfRule>
  </conditionalFormatting>
  <conditionalFormatting sqref="V32">
    <cfRule type="cellIs" dxfId="4" priority="1" operator="lessThan">
      <formula>$W$32*$F$62</formula>
    </cfRule>
    <cfRule type="cellIs" dxfId="3" priority="2" operator="between">
      <formula>$W$32*$F$62</formula>
      <formula>$W$32*$I$62</formula>
    </cfRule>
    <cfRule type="cellIs" dxfId="2" priority="3" operator="greaterThan">
      <formula>$W$32*$I$62</formula>
    </cfRule>
  </conditionalFormatting>
  <pageMargins left="0.511811024" right="0.511811024" top="0.78740157499999996" bottom="0.78740157499999996" header="0.31496062000000002" footer="0.31496062000000002"/>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enableFormatConditionsCalculation="0">
    <tabColor theme="7" tint="0.39997558519241921"/>
  </sheetPr>
  <dimension ref="B3:AC28"/>
  <sheetViews>
    <sheetView zoomScaleNormal="140" zoomScalePageLayoutView="140" workbookViewId="0">
      <selection activeCell="A4" sqref="A4"/>
    </sheetView>
  </sheetViews>
  <sheetFormatPr baseColWidth="10" defaultColWidth="8.6640625" defaultRowHeight="15" x14ac:dyDescent="0.2"/>
  <cols>
    <col min="1" max="1" width="8.6640625" style="38"/>
    <col min="2" max="2" width="24.5" style="38" customWidth="1"/>
    <col min="3" max="3" width="10" style="38" customWidth="1"/>
    <col min="4" max="4" width="16" style="38" customWidth="1"/>
    <col min="5" max="5" width="13.33203125" style="38" customWidth="1"/>
    <col min="6" max="7" width="8.6640625" style="38"/>
    <col min="8" max="8" width="61" style="38" customWidth="1"/>
    <col min="9" max="9" width="1.1640625" style="38" customWidth="1"/>
    <col min="10" max="10" width="9.1640625" style="38" customWidth="1"/>
    <col min="11" max="30" width="8.6640625" style="38"/>
    <col min="31" max="31" width="2.5" style="38" customWidth="1"/>
    <col min="32" max="32" width="33.5" style="38" bestFit="1" customWidth="1"/>
    <col min="33" max="33" width="15.6640625" style="38" customWidth="1"/>
    <col min="34" max="34" width="19.1640625" style="38" customWidth="1"/>
    <col min="35" max="16384" width="8.6640625" style="38"/>
  </cols>
  <sheetData>
    <row r="3" spans="2:29" ht="16" x14ac:dyDescent="0.2">
      <c r="G3" s="955"/>
      <c r="H3" s="956"/>
      <c r="I3" s="957"/>
      <c r="J3" s="958"/>
      <c r="K3" s="958"/>
      <c r="L3" s="958"/>
      <c r="M3" s="958"/>
      <c r="N3" s="958"/>
      <c r="O3" s="958"/>
      <c r="P3" s="958"/>
      <c r="Q3" s="958"/>
      <c r="R3" s="958"/>
      <c r="S3" s="958"/>
      <c r="T3" s="958"/>
      <c r="U3" s="958"/>
      <c r="V3" s="958"/>
      <c r="W3" s="958"/>
      <c r="X3" s="958"/>
      <c r="Y3" s="958"/>
      <c r="Z3" s="958"/>
      <c r="AA3" s="958"/>
      <c r="AB3" s="958"/>
      <c r="AC3" s="958"/>
    </row>
    <row r="4" spans="2:29" ht="16" x14ac:dyDescent="0.2">
      <c r="B4" s="433"/>
      <c r="C4" s="433"/>
      <c r="D4" s="433"/>
      <c r="E4" s="433"/>
    </row>
    <row r="5" spans="2:29" ht="16" x14ac:dyDescent="0.2">
      <c r="B5" s="433"/>
      <c r="C5" s="433"/>
      <c r="D5" s="433"/>
      <c r="E5" s="433"/>
    </row>
    <row r="6" spans="2:29" ht="16" x14ac:dyDescent="0.2">
      <c r="B6" s="433"/>
      <c r="C6" s="433"/>
      <c r="D6" s="1108" t="s">
        <v>30</v>
      </c>
      <c r="E6" s="1108"/>
    </row>
    <row r="7" spans="2:29" ht="16" x14ac:dyDescent="0.2">
      <c r="B7" s="79"/>
      <c r="C7" s="433"/>
      <c r="D7" s="434" t="s">
        <v>49</v>
      </c>
      <c r="E7" s="959">
        <v>200000</v>
      </c>
    </row>
    <row r="8" spans="2:29" ht="16" x14ac:dyDescent="0.2">
      <c r="B8" s="79"/>
      <c r="C8" s="433"/>
      <c r="D8" s="434" t="s">
        <v>51</v>
      </c>
      <c r="E8" s="960" t="e">
        <f>'Input Financeiro atual'!H50</f>
        <v>#DIV/0!</v>
      </c>
    </row>
    <row r="9" spans="2:29" ht="16" x14ac:dyDescent="0.2">
      <c r="B9" s="79"/>
      <c r="C9" s="433"/>
      <c r="D9" s="433"/>
      <c r="E9" s="433"/>
    </row>
    <row r="10" spans="2:29" ht="16" x14ac:dyDescent="0.2">
      <c r="B10" s="43"/>
      <c r="C10" s="832"/>
      <c r="D10" s="47"/>
      <c r="E10" s="435"/>
      <c r="F10" s="44"/>
    </row>
    <row r="11" spans="2:29" ht="16" x14ac:dyDescent="0.2">
      <c r="B11" s="436"/>
      <c r="C11" s="436"/>
      <c r="D11" s="1108" t="s">
        <v>525</v>
      </c>
      <c r="E11" s="1108"/>
      <c r="F11" s="41"/>
    </row>
    <row r="12" spans="2:29" ht="16" x14ac:dyDescent="0.2">
      <c r="B12" s="77"/>
      <c r="C12" s="87"/>
      <c r="D12" s="434" t="s">
        <v>49</v>
      </c>
      <c r="E12" s="961">
        <v>0</v>
      </c>
      <c r="F12" s="41"/>
    </row>
    <row r="13" spans="2:29" ht="16" x14ac:dyDescent="0.2">
      <c r="B13" s="79"/>
      <c r="C13" s="88"/>
      <c r="D13" s="434" t="s">
        <v>51</v>
      </c>
      <c r="E13" s="770"/>
      <c r="F13" s="41"/>
    </row>
    <row r="14" spans="2:29" ht="16" x14ac:dyDescent="0.2">
      <c r="B14" s="43"/>
      <c r="C14" s="43"/>
      <c r="D14" s="1109"/>
      <c r="E14" s="1109"/>
      <c r="F14" s="41"/>
    </row>
    <row r="15" spans="2:29" ht="16" x14ac:dyDescent="0.2">
      <c r="B15" s="43"/>
      <c r="C15" s="43"/>
      <c r="D15" s="43"/>
      <c r="E15" s="437"/>
      <c r="F15" s="41"/>
    </row>
    <row r="16" spans="2:29" ht="16" x14ac:dyDescent="0.2">
      <c r="B16" s="43"/>
      <c r="C16" s="43"/>
      <c r="D16" s="1107"/>
      <c r="E16" s="1107"/>
      <c r="F16" s="45"/>
    </row>
    <row r="17" spans="2:6" ht="16" x14ac:dyDescent="0.2">
      <c r="B17" s="43"/>
      <c r="C17" s="43"/>
      <c r="D17" s="1108" t="s">
        <v>162</v>
      </c>
      <c r="E17" s="1108"/>
      <c r="F17" s="51"/>
    </row>
    <row r="18" spans="2:6" ht="16" x14ac:dyDescent="0.2">
      <c r="B18" s="43"/>
      <c r="C18" s="43"/>
      <c r="D18" s="434" t="s">
        <v>49</v>
      </c>
      <c r="E18" s="962" t="s">
        <v>163</v>
      </c>
      <c r="F18" s="52"/>
    </row>
    <row r="19" spans="2:6" ht="16" x14ac:dyDescent="0.2">
      <c r="B19" s="43"/>
      <c r="C19" s="43"/>
      <c r="D19" s="434" t="s">
        <v>51</v>
      </c>
      <c r="E19" s="771"/>
      <c r="F19" s="41"/>
    </row>
    <row r="20" spans="2:6" ht="16" x14ac:dyDescent="0.2">
      <c r="B20" s="43"/>
      <c r="C20" s="43"/>
      <c r="D20" s="43"/>
      <c r="E20" s="43"/>
      <c r="F20" s="41"/>
    </row>
    <row r="21" spans="2:6" ht="16" x14ac:dyDescent="0.2">
      <c r="B21" s="1107"/>
      <c r="C21" s="1107"/>
      <c r="D21" s="43"/>
      <c r="E21" s="43"/>
      <c r="F21" s="829"/>
    </row>
    <row r="22" spans="2:6" ht="16" x14ac:dyDescent="0.2">
      <c r="B22" s="438"/>
      <c r="C22" s="54"/>
      <c r="D22" s="1108" t="s">
        <v>446</v>
      </c>
      <c r="E22" s="1108"/>
      <c r="F22" s="55"/>
    </row>
    <row r="23" spans="2:6" ht="16" x14ac:dyDescent="0.2">
      <c r="B23" s="439"/>
      <c r="C23" s="56"/>
      <c r="D23" s="434" t="s">
        <v>49</v>
      </c>
      <c r="E23" s="962" t="s">
        <v>164</v>
      </c>
      <c r="F23" s="57"/>
    </row>
    <row r="24" spans="2:6" ht="16" x14ac:dyDescent="0.2">
      <c r="B24" s="47"/>
      <c r="C24" s="47"/>
      <c r="D24" s="434" t="s">
        <v>51</v>
      </c>
      <c r="E24" s="771"/>
      <c r="F24" s="47"/>
    </row>
    <row r="25" spans="2:6" ht="16" x14ac:dyDescent="0.2">
      <c r="B25" s="47"/>
      <c r="C25" s="47"/>
      <c r="D25" s="47"/>
      <c r="E25" s="47"/>
      <c r="F25" s="47"/>
    </row>
    <row r="26" spans="2:6" ht="16" x14ac:dyDescent="0.2">
      <c r="B26" s="47"/>
      <c r="C26" s="47"/>
      <c r="D26" s="433" t="s">
        <v>526</v>
      </c>
      <c r="E26" s="433"/>
      <c r="F26" s="43"/>
    </row>
    <row r="27" spans="2:6" ht="16" x14ac:dyDescent="0.2">
      <c r="B27" s="829"/>
      <c r="C27" s="43"/>
      <c r="D27" s="1084"/>
      <c r="E27" s="1084"/>
      <c r="F27" s="45"/>
    </row>
    <row r="28" spans="2:6" ht="16" x14ac:dyDescent="0.2">
      <c r="B28" s="43"/>
      <c r="C28" s="43"/>
      <c r="D28" s="59"/>
      <c r="E28" s="60"/>
      <c r="F28" s="43"/>
    </row>
  </sheetData>
  <sheetProtection password="8826" sheet="1" objects="1" scenarios="1"/>
  <mergeCells count="8">
    <mergeCell ref="B21:C21"/>
    <mergeCell ref="D22:E22"/>
    <mergeCell ref="D27:E27"/>
    <mergeCell ref="D6:E6"/>
    <mergeCell ref="D11:E11"/>
    <mergeCell ref="D14:E14"/>
    <mergeCell ref="D16:E16"/>
    <mergeCell ref="D17:E17"/>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enableFormatConditionsCalculation="0">
    <tabColor theme="7" tint="0.39997558519241921"/>
  </sheetPr>
  <dimension ref="A1:L37"/>
  <sheetViews>
    <sheetView showGridLines="0" zoomScale="125" zoomScaleNormal="125" zoomScalePageLayoutView="125" workbookViewId="0">
      <selection activeCell="B3" sqref="B3"/>
    </sheetView>
  </sheetViews>
  <sheetFormatPr baseColWidth="10" defaultColWidth="9.1640625" defaultRowHeight="14" x14ac:dyDescent="0.2"/>
  <cols>
    <col min="1" max="1" width="2.33203125" style="585" customWidth="1"/>
    <col min="2" max="2" width="9.1640625" style="586" customWidth="1"/>
    <col min="3" max="3" width="25.6640625" style="585" bestFit="1" customWidth="1"/>
    <col min="4" max="4" width="19.1640625" style="585" customWidth="1"/>
    <col min="5" max="6" width="9.1640625" style="585"/>
    <col min="7" max="7" width="38.1640625" style="585" customWidth="1"/>
    <col min="8" max="8" width="12.6640625" style="586" customWidth="1"/>
    <col min="9" max="9" width="13.5" style="586" customWidth="1"/>
    <col min="10" max="10" width="11.6640625" style="586" bestFit="1" customWidth="1"/>
    <col min="11" max="16384" width="9.1640625" style="585"/>
  </cols>
  <sheetData>
    <row r="1" spans="1:12" x14ac:dyDescent="0.2">
      <c r="A1" s="596"/>
      <c r="B1" s="107"/>
      <c r="C1" s="107"/>
      <c r="D1" s="104"/>
      <c r="E1" s="104"/>
      <c r="F1" s="104"/>
      <c r="G1" s="104"/>
      <c r="H1" s="107"/>
      <c r="I1" s="107"/>
      <c r="J1" s="107"/>
      <c r="K1" s="104"/>
      <c r="L1" s="104"/>
    </row>
    <row r="2" spans="1:12" x14ac:dyDescent="0.2">
      <c r="A2" s="104"/>
      <c r="B2" s="106"/>
      <c r="C2" s="106"/>
      <c r="D2" s="104"/>
      <c r="E2" s="104"/>
      <c r="F2" s="104"/>
      <c r="G2" s="104"/>
      <c r="H2" s="108"/>
      <c r="I2" s="106"/>
      <c r="J2" s="106"/>
      <c r="K2" s="104"/>
      <c r="L2" s="104"/>
    </row>
    <row r="3" spans="1:12" x14ac:dyDescent="0.2">
      <c r="A3" s="104"/>
      <c r="B3" s="106"/>
      <c r="C3" s="104"/>
      <c r="D3" s="104"/>
      <c r="E3" s="104"/>
      <c r="F3" s="104"/>
      <c r="I3" s="106"/>
      <c r="J3" s="106"/>
      <c r="K3" s="104"/>
      <c r="L3" s="104"/>
    </row>
    <row r="4" spans="1:12" x14ac:dyDescent="0.2">
      <c r="A4" s="104"/>
      <c r="B4" s="106"/>
      <c r="C4" s="104"/>
      <c r="D4" s="104"/>
      <c r="E4" s="104"/>
      <c r="F4" s="104"/>
      <c r="I4" s="106"/>
      <c r="J4" s="106"/>
      <c r="K4" s="104"/>
      <c r="L4" s="104"/>
    </row>
    <row r="5" spans="1:12" ht="15" customHeight="1" x14ac:dyDescent="0.2">
      <c r="A5" s="104"/>
      <c r="B5" s="109"/>
      <c r="C5" s="1110" t="s">
        <v>167</v>
      </c>
      <c r="D5" s="1110"/>
      <c r="E5" s="1110"/>
      <c r="F5" s="107"/>
      <c r="G5" s="1113" t="s">
        <v>166</v>
      </c>
      <c r="H5" s="1114"/>
      <c r="I5" s="1114"/>
      <c r="J5" s="1115"/>
      <c r="K5" s="104"/>
      <c r="L5" s="104"/>
    </row>
    <row r="6" spans="1:12" x14ac:dyDescent="0.2">
      <c r="A6" s="104"/>
      <c r="B6" s="109"/>
      <c r="C6" s="1111" t="s">
        <v>35</v>
      </c>
      <c r="D6" s="1112" t="s">
        <v>36</v>
      </c>
      <c r="E6" s="1112"/>
      <c r="F6" s="107"/>
      <c r="G6" s="1111" t="s">
        <v>35</v>
      </c>
      <c r="H6" s="1112" t="s">
        <v>36</v>
      </c>
      <c r="I6" s="1112"/>
      <c r="J6" s="1116" t="s">
        <v>37</v>
      </c>
      <c r="K6" s="104"/>
      <c r="L6" s="104"/>
    </row>
    <row r="7" spans="1:12" x14ac:dyDescent="0.2">
      <c r="A7" s="104"/>
      <c r="B7" s="109"/>
      <c r="C7" s="1111"/>
      <c r="D7" s="507" t="s">
        <v>269</v>
      </c>
      <c r="E7" s="507" t="s">
        <v>174</v>
      </c>
      <c r="F7" s="107"/>
      <c r="G7" s="1111"/>
      <c r="H7" s="507" t="s">
        <v>69</v>
      </c>
      <c r="I7" s="507" t="s">
        <v>75</v>
      </c>
      <c r="J7" s="1117"/>
      <c r="K7" s="104"/>
      <c r="L7" s="104"/>
    </row>
    <row r="8" spans="1:12" x14ac:dyDescent="0.2">
      <c r="A8" s="104"/>
      <c r="B8" s="109"/>
      <c r="C8" s="124" t="s">
        <v>61</v>
      </c>
      <c r="D8" s="119" t="e">
        <f>H14+I14</f>
        <v>#DIV/0!</v>
      </c>
      <c r="E8" s="120" t="e">
        <f>D8/D$11</f>
        <v>#DIV/0!</v>
      </c>
      <c r="F8" s="107"/>
      <c r="G8" s="113" t="s">
        <v>270</v>
      </c>
      <c r="H8" s="587">
        <f>'Perdas por Mastite'!D26</f>
        <v>0</v>
      </c>
      <c r="I8" s="587">
        <f>'Perdas por Mastite'!D27</f>
        <v>0</v>
      </c>
      <c r="J8" s="126" t="s">
        <v>38</v>
      </c>
      <c r="K8" s="104"/>
      <c r="L8" s="104"/>
    </row>
    <row r="9" spans="1:12" x14ac:dyDescent="0.2">
      <c r="A9" s="104"/>
      <c r="B9" s="109"/>
      <c r="C9" s="115" t="s">
        <v>78</v>
      </c>
      <c r="D9" s="119" t="e">
        <f>H24</f>
        <v>#DIV/0!</v>
      </c>
      <c r="E9" s="120" t="e">
        <f>D9/D$11</f>
        <v>#DIV/0!</v>
      </c>
      <c r="F9" s="107"/>
      <c r="G9" s="113" t="s">
        <v>168</v>
      </c>
      <c r="H9" s="588">
        <f>'Input Zootecnico atual'!H23</f>
        <v>0</v>
      </c>
      <c r="I9" s="588">
        <f>'Input Zootecnico atual'!I23</f>
        <v>0</v>
      </c>
      <c r="J9" s="468" t="s">
        <v>245</v>
      </c>
      <c r="K9" s="104"/>
      <c r="L9" s="104"/>
    </row>
    <row r="10" spans="1:12" x14ac:dyDescent="0.2">
      <c r="A10" s="104"/>
      <c r="B10" s="111"/>
      <c r="C10" s="115" t="s">
        <v>59</v>
      </c>
      <c r="D10" s="119" t="e">
        <f>H30</f>
        <v>#DIV/0!</v>
      </c>
      <c r="E10" s="120" t="e">
        <f>D10/D$11</f>
        <v>#DIV/0!</v>
      </c>
      <c r="F10" s="107"/>
      <c r="G10" s="113" t="s">
        <v>169</v>
      </c>
      <c r="H10" s="588">
        <f>'Input Zootecnico atual'!H24</f>
        <v>0</v>
      </c>
      <c r="I10" s="588">
        <f>'Input Zootecnico atual'!I24</f>
        <v>0</v>
      </c>
      <c r="J10" s="468" t="s">
        <v>245</v>
      </c>
      <c r="K10" s="104"/>
      <c r="L10" s="104"/>
    </row>
    <row r="11" spans="1:12" x14ac:dyDescent="0.2">
      <c r="A11" s="104"/>
      <c r="B11" s="111"/>
      <c r="C11" s="125" t="s">
        <v>8</v>
      </c>
      <c r="D11" s="118" t="e">
        <f>SUM(D7:D10)</f>
        <v>#DIV/0!</v>
      </c>
      <c r="E11" s="107"/>
      <c r="F11" s="107"/>
      <c r="G11" s="113" t="s">
        <v>170</v>
      </c>
      <c r="H11" s="105">
        <f>H9-H10</f>
        <v>0</v>
      </c>
      <c r="I11" s="105">
        <f>I9-I10</f>
        <v>0</v>
      </c>
      <c r="J11" s="468" t="s">
        <v>245</v>
      </c>
      <c r="K11" s="104"/>
      <c r="L11" s="104"/>
    </row>
    <row r="12" spans="1:12" x14ac:dyDescent="0.2">
      <c r="A12" s="104"/>
      <c r="B12" s="111"/>
      <c r="C12" s="125" t="s">
        <v>175</v>
      </c>
      <c r="D12" s="775">
        <f>'Input Financeiro atual'!C23-'Input Financeiro atual'!C41</f>
        <v>0</v>
      </c>
      <c r="E12" s="107"/>
      <c r="F12" s="107"/>
      <c r="G12" s="113" t="s">
        <v>171</v>
      </c>
      <c r="H12" s="105">
        <v>160</v>
      </c>
      <c r="I12" s="105">
        <v>120</v>
      </c>
      <c r="J12" s="468" t="s">
        <v>245</v>
      </c>
      <c r="K12" s="104"/>
      <c r="L12" s="104"/>
    </row>
    <row r="13" spans="1:12" x14ac:dyDescent="0.2">
      <c r="A13" s="104"/>
      <c r="B13" s="111"/>
      <c r="C13" s="107"/>
      <c r="D13" s="107"/>
      <c r="E13" s="107"/>
      <c r="F13" s="107"/>
      <c r="G13" s="113" t="s">
        <v>172</v>
      </c>
      <c r="H13" s="112">
        <f>H11*H12*H8</f>
        <v>0</v>
      </c>
      <c r="I13" s="112">
        <f>I11*I12*I8</f>
        <v>0</v>
      </c>
      <c r="J13" s="127" t="s">
        <v>39</v>
      </c>
      <c r="K13" s="104"/>
      <c r="L13" s="104"/>
    </row>
    <row r="14" spans="1:12" x14ac:dyDescent="0.2">
      <c r="A14" s="104"/>
      <c r="B14" s="106"/>
      <c r="C14" s="107"/>
      <c r="D14" s="107"/>
      <c r="E14" s="107"/>
      <c r="F14" s="107"/>
      <c r="G14" s="113" t="s">
        <v>173</v>
      </c>
      <c r="H14" s="112" t="e">
        <f>IF((H13-H13*$H$29)&lt;0,0,(H13*$H$28-H13*$H$29))</f>
        <v>#DIV/0!</v>
      </c>
      <c r="I14" s="112" t="e">
        <f>IF((I13*$H$28-I13*$H$29)&lt;0,0,(I13*$H$28-I13*$H$29))</f>
        <v>#DIV/0!</v>
      </c>
      <c r="J14" s="114" t="s">
        <v>18</v>
      </c>
      <c r="K14" s="104"/>
      <c r="L14" s="104"/>
    </row>
    <row r="15" spans="1:12" ht="6" customHeight="1" x14ac:dyDescent="0.2">
      <c r="A15" s="104"/>
      <c r="B15" s="106"/>
      <c r="C15" s="107"/>
      <c r="D15" s="107"/>
      <c r="E15" s="107"/>
      <c r="F15" s="107"/>
      <c r="G15" s="589"/>
      <c r="H15" s="106"/>
      <c r="I15" s="106"/>
      <c r="J15" s="106"/>
      <c r="K15" s="104"/>
      <c r="L15" s="104"/>
    </row>
    <row r="16" spans="1:12" x14ac:dyDescent="0.2">
      <c r="A16" s="104"/>
      <c r="B16" s="106"/>
      <c r="C16" s="107"/>
      <c r="D16" s="107"/>
      <c r="E16" s="107"/>
      <c r="F16" s="107"/>
      <c r="G16" s="1110" t="s">
        <v>537</v>
      </c>
      <c r="H16" s="1110"/>
      <c r="I16" s="1110"/>
      <c r="J16" s="106"/>
      <c r="K16" s="104"/>
      <c r="L16" s="104"/>
    </row>
    <row r="17" spans="1:12" x14ac:dyDescent="0.2">
      <c r="A17" s="104"/>
      <c r="B17" s="106"/>
      <c r="C17" s="107"/>
      <c r="D17" s="107"/>
      <c r="E17" s="107"/>
      <c r="F17" s="107"/>
      <c r="G17" s="508" t="s">
        <v>35</v>
      </c>
      <c r="H17" s="590" t="s">
        <v>36</v>
      </c>
      <c r="I17" s="590" t="s">
        <v>37</v>
      </c>
      <c r="J17" s="106"/>
      <c r="K17" s="104"/>
      <c r="L17" s="104"/>
    </row>
    <row r="18" spans="1:12" x14ac:dyDescent="0.2">
      <c r="A18" s="104"/>
      <c r="B18" s="106"/>
      <c r="C18" s="107"/>
      <c r="D18" s="107"/>
      <c r="E18" s="107"/>
      <c r="F18" s="107"/>
      <c r="G18" s="113" t="s">
        <v>270</v>
      </c>
      <c r="H18" s="121">
        <f>H8+I8</f>
        <v>0</v>
      </c>
      <c r="I18" s="126" t="s">
        <v>38</v>
      </c>
      <c r="J18" s="106"/>
      <c r="K18" s="104"/>
      <c r="L18" s="104"/>
    </row>
    <row r="19" spans="1:12" x14ac:dyDescent="0.2">
      <c r="A19" s="104"/>
      <c r="B19" s="106"/>
      <c r="C19" s="107"/>
      <c r="D19" s="107"/>
      <c r="E19" s="107"/>
      <c r="F19" s="107"/>
      <c r="G19" s="113" t="s">
        <v>176</v>
      </c>
      <c r="H19" s="591" t="e">
        <f>'Input Financeiro atual'!C10/'Input Zootecnico atual'!C17/365</f>
        <v>#DIV/0!</v>
      </c>
      <c r="I19" s="468" t="s">
        <v>245</v>
      </c>
      <c r="J19" s="106"/>
      <c r="K19" s="104"/>
      <c r="L19" s="104"/>
    </row>
    <row r="20" spans="1:12" x14ac:dyDescent="0.2">
      <c r="A20" s="104"/>
      <c r="C20" s="107"/>
      <c r="D20" s="107"/>
      <c r="E20" s="107"/>
      <c r="F20" s="107"/>
      <c r="G20" s="113" t="s">
        <v>177</v>
      </c>
      <c r="H20" s="587">
        <f>'Análise dos Processos'!$R$20</f>
        <v>0</v>
      </c>
      <c r="I20" s="468" t="s">
        <v>245</v>
      </c>
      <c r="K20" s="104"/>
      <c r="L20" s="104"/>
    </row>
    <row r="21" spans="1:12" x14ac:dyDescent="0.2">
      <c r="A21" s="104"/>
      <c r="C21" s="107"/>
      <c r="D21" s="107"/>
      <c r="E21" s="107"/>
      <c r="F21" s="107"/>
      <c r="G21" s="113" t="s">
        <v>178</v>
      </c>
      <c r="H21" s="122">
        <f>H20*0.93</f>
        <v>0</v>
      </c>
      <c r="I21" s="468" t="s">
        <v>245</v>
      </c>
      <c r="K21" s="104"/>
      <c r="L21" s="104"/>
    </row>
    <row r="22" spans="1:12" x14ac:dyDescent="0.2">
      <c r="A22" s="104"/>
      <c r="C22" s="107"/>
      <c r="D22" s="107"/>
      <c r="E22" s="107"/>
      <c r="F22" s="107"/>
      <c r="G22" s="113" t="s">
        <v>170</v>
      </c>
      <c r="H22" s="122" t="e">
        <f>H21-H19</f>
        <v>#DIV/0!</v>
      </c>
      <c r="I22" s="468" t="s">
        <v>245</v>
      </c>
      <c r="K22" s="104"/>
      <c r="L22" s="104"/>
    </row>
    <row r="23" spans="1:12" x14ac:dyDescent="0.2">
      <c r="A23" s="104"/>
      <c r="C23" s="107"/>
      <c r="D23" s="107"/>
      <c r="E23" s="107"/>
      <c r="F23" s="107"/>
      <c r="G23" s="113" t="s">
        <v>179</v>
      </c>
      <c r="H23" s="112" t="e">
        <f>H22*H18*365</f>
        <v>#DIV/0!</v>
      </c>
      <c r="I23" s="592" t="s">
        <v>39</v>
      </c>
      <c r="K23" s="104"/>
      <c r="L23" s="104"/>
    </row>
    <row r="24" spans="1:12" x14ac:dyDescent="0.2">
      <c r="A24" s="104"/>
      <c r="C24" s="107"/>
      <c r="D24" s="107"/>
      <c r="E24" s="107"/>
      <c r="F24" s="107"/>
      <c r="G24" s="113" t="s">
        <v>173</v>
      </c>
      <c r="H24" s="112" t="e">
        <f>IF((H23*$H$28-H23*$H$29)&lt;0,0,(H23*$H$28-H23*$H$29))</f>
        <v>#DIV/0!</v>
      </c>
      <c r="I24" s="592" t="s">
        <v>18</v>
      </c>
      <c r="K24" s="104"/>
      <c r="L24" s="104"/>
    </row>
    <row r="25" spans="1:12" ht="3.75" customHeight="1" x14ac:dyDescent="0.2">
      <c r="A25" s="104"/>
      <c r="C25" s="107"/>
      <c r="D25" s="107"/>
      <c r="E25" s="107"/>
      <c r="F25" s="107"/>
      <c r="G25" s="123"/>
      <c r="H25" s="110"/>
      <c r="I25" s="593"/>
      <c r="K25" s="104"/>
      <c r="L25" s="104"/>
    </row>
    <row r="26" spans="1:12" x14ac:dyDescent="0.2">
      <c r="A26" s="104"/>
      <c r="C26" s="107"/>
      <c r="D26" s="107"/>
      <c r="E26" s="107"/>
      <c r="F26" s="107"/>
      <c r="G26" s="1110" t="s">
        <v>180</v>
      </c>
      <c r="H26" s="1110"/>
      <c r="I26" s="1110"/>
      <c r="K26" s="104"/>
      <c r="L26" s="104"/>
    </row>
    <row r="27" spans="1:12" x14ac:dyDescent="0.2">
      <c r="A27" s="104"/>
      <c r="C27" s="107"/>
      <c r="D27" s="107"/>
      <c r="E27" s="107"/>
      <c r="F27" s="107"/>
      <c r="G27" s="508" t="s">
        <v>35</v>
      </c>
      <c r="H27" s="590" t="s">
        <v>36</v>
      </c>
      <c r="I27" s="590" t="s">
        <v>37</v>
      </c>
      <c r="K27" s="104"/>
      <c r="L27" s="104"/>
    </row>
    <row r="28" spans="1:12" x14ac:dyDescent="0.2">
      <c r="A28" s="104"/>
      <c r="C28" s="107"/>
      <c r="D28" s="107"/>
      <c r="E28" s="107"/>
      <c r="F28" s="107"/>
      <c r="G28" s="115" t="s">
        <v>165</v>
      </c>
      <c r="H28" s="116">
        <f>'Input Financeiro atual'!C11</f>
        <v>0</v>
      </c>
      <c r="I28" s="468" t="s">
        <v>41</v>
      </c>
      <c r="K28" s="104"/>
      <c r="L28" s="104"/>
    </row>
    <row r="29" spans="1:12" x14ac:dyDescent="0.2">
      <c r="A29" s="104"/>
      <c r="C29" s="107"/>
      <c r="D29" s="107"/>
      <c r="E29" s="107"/>
      <c r="F29" s="107"/>
      <c r="G29" s="115" t="s">
        <v>271</v>
      </c>
      <c r="H29" s="117" t="e">
        <f>('Input Financeiro atual'!C27/'Input Financeiro atual'!C10)</f>
        <v>#DIV/0!</v>
      </c>
      <c r="I29" s="594" t="s">
        <v>272</v>
      </c>
      <c r="K29" s="104"/>
      <c r="L29" s="104"/>
    </row>
    <row r="30" spans="1:12" x14ac:dyDescent="0.2">
      <c r="A30" s="104"/>
      <c r="C30" s="107"/>
      <c r="D30" s="107"/>
      <c r="E30" s="107"/>
      <c r="F30" s="107"/>
      <c r="G30" s="124" t="s">
        <v>273</v>
      </c>
      <c r="H30" s="119" t="e">
        <f>'Perdas por Mastite'!E11</f>
        <v>#DIV/0!</v>
      </c>
      <c r="I30" s="594" t="s">
        <v>18</v>
      </c>
      <c r="K30" s="104"/>
      <c r="L30" s="104"/>
    </row>
    <row r="31" spans="1:12" x14ac:dyDescent="0.2">
      <c r="A31" s="104"/>
      <c r="C31" s="107"/>
      <c r="D31" s="107"/>
      <c r="E31" s="107"/>
      <c r="F31" s="107"/>
      <c r="G31" s="595"/>
      <c r="K31" s="104"/>
      <c r="L31" s="104"/>
    </row>
    <row r="32" spans="1:12" x14ac:dyDescent="0.2">
      <c r="A32" s="104"/>
      <c r="C32" s="107"/>
      <c r="D32" s="107"/>
      <c r="E32" s="107"/>
      <c r="F32" s="107"/>
      <c r="G32" s="595"/>
      <c r="K32" s="104"/>
      <c r="L32" s="104"/>
    </row>
    <row r="33" spans="1:12" x14ac:dyDescent="0.2">
      <c r="A33" s="104"/>
      <c r="C33" s="107"/>
      <c r="D33" s="107"/>
      <c r="E33" s="107"/>
      <c r="F33" s="107"/>
      <c r="G33" s="589"/>
      <c r="K33" s="104"/>
      <c r="L33" s="104"/>
    </row>
    <row r="34" spans="1:12" x14ac:dyDescent="0.2">
      <c r="A34" s="104"/>
      <c r="C34" s="104"/>
      <c r="D34" s="104"/>
      <c r="E34" s="104"/>
      <c r="F34" s="104"/>
      <c r="K34" s="104"/>
      <c r="L34" s="104"/>
    </row>
    <row r="35" spans="1:12" x14ac:dyDescent="0.2">
      <c r="A35" s="104"/>
      <c r="C35" s="104"/>
      <c r="D35" s="104"/>
      <c r="E35" s="104"/>
      <c r="F35" s="104"/>
      <c r="K35" s="104"/>
      <c r="L35" s="104"/>
    </row>
    <row r="36" spans="1:12" x14ac:dyDescent="0.2">
      <c r="A36" s="104"/>
      <c r="C36" s="104"/>
      <c r="D36" s="104"/>
      <c r="E36" s="104"/>
      <c r="F36" s="104"/>
      <c r="K36" s="104"/>
      <c r="L36" s="104"/>
    </row>
    <row r="37" spans="1:12" x14ac:dyDescent="0.2">
      <c r="A37" s="104"/>
      <c r="C37" s="104"/>
      <c r="D37" s="104"/>
      <c r="E37" s="104"/>
      <c r="F37" s="104"/>
      <c r="K37" s="104"/>
      <c r="L37" s="104"/>
    </row>
  </sheetData>
  <sheetProtection password="8826" sheet="1" objects="1" scenarios="1"/>
  <mergeCells count="9">
    <mergeCell ref="G26:I26"/>
    <mergeCell ref="C6:C7"/>
    <mergeCell ref="D6:E6"/>
    <mergeCell ref="C5:E5"/>
    <mergeCell ref="H6:I6"/>
    <mergeCell ref="G6:G7"/>
    <mergeCell ref="G5:J5"/>
    <mergeCell ref="J6:J7"/>
    <mergeCell ref="G16:I16"/>
  </mergeCells>
  <pageMargins left="0.79000000000000015" right="0.79000000000000015" top="0.98" bottom="0.98" header="0.5" footer="0.5"/>
  <pageSetup paperSize="9" scale="77" orientation="landscape" horizontalDpi="300" verticalDpi="300"/>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enableFormatConditionsCalculation="0">
    <tabColor theme="7" tint="0.39997558519241921"/>
  </sheetPr>
  <dimension ref="A1:X133"/>
  <sheetViews>
    <sheetView showGridLines="0" topLeftCell="A30" workbookViewId="0">
      <selection activeCell="B9" sqref="B9"/>
    </sheetView>
  </sheetViews>
  <sheetFormatPr baseColWidth="10" defaultColWidth="9.6640625" defaultRowHeight="14" outlineLevelRow="1" x14ac:dyDescent="0.2"/>
  <cols>
    <col min="1" max="1" width="1.33203125" style="553" customWidth="1"/>
    <col min="2" max="2" width="9" style="553" customWidth="1"/>
    <col min="3" max="3" width="49.6640625" style="553" bestFit="1" customWidth="1"/>
    <col min="4" max="4" width="12.5" style="553" customWidth="1"/>
    <col min="5" max="5" width="15.1640625" style="553" customWidth="1"/>
    <col min="6" max="6" width="15" style="553" customWidth="1"/>
    <col min="7" max="7" width="2.1640625" style="553" customWidth="1"/>
    <col min="8" max="8" width="6.6640625" style="553" customWidth="1"/>
    <col min="9" max="9" width="2" style="553" customWidth="1"/>
    <col min="10" max="10" width="52.5" style="553" customWidth="1"/>
    <col min="11" max="11" width="12.5" style="553" bestFit="1" customWidth="1"/>
    <col min="12" max="12" width="11.5" style="553" bestFit="1" customWidth="1"/>
    <col min="13" max="13" width="2.1640625" style="553" customWidth="1"/>
    <col min="14" max="16384" width="9.6640625" style="553"/>
  </cols>
  <sheetData>
    <row r="1" spans="1:13" ht="39" customHeight="1" x14ac:dyDescent="0.2">
      <c r="A1" s="584"/>
      <c r="B1" s="89"/>
    </row>
    <row r="2" spans="1:13" ht="14.25" customHeight="1" thickBot="1" x14ac:dyDescent="0.25">
      <c r="B2" s="89"/>
    </row>
    <row r="3" spans="1:13" ht="14.25" customHeight="1" thickTop="1" x14ac:dyDescent="0.2">
      <c r="B3" s="1127" t="s">
        <v>12</v>
      </c>
      <c r="C3" s="1128"/>
      <c r="D3" s="1128"/>
      <c r="E3" s="1128"/>
      <c r="F3" s="1128"/>
      <c r="G3" s="1128"/>
      <c r="H3" s="554"/>
      <c r="I3" s="554"/>
      <c r="J3" s="554"/>
      <c r="K3" s="554"/>
      <c r="L3" s="554"/>
      <c r="M3" s="555"/>
    </row>
    <row r="4" spans="1:13" ht="14.25" customHeight="1" x14ac:dyDescent="0.2">
      <c r="B4" s="1129"/>
      <c r="C4" s="1130"/>
      <c r="D4" s="1130"/>
      <c r="E4" s="1130"/>
      <c r="F4" s="1130"/>
      <c r="G4" s="1130"/>
      <c r="I4" s="556"/>
      <c r="J4" s="556"/>
      <c r="K4" s="556"/>
      <c r="L4" s="556"/>
      <c r="M4" s="557"/>
    </row>
    <row r="5" spans="1:13" ht="14.25" customHeight="1" x14ac:dyDescent="0.2">
      <c r="B5" s="134"/>
      <c r="C5" s="1077" t="s">
        <v>265</v>
      </c>
      <c r="D5" s="1077"/>
      <c r="E5" s="1077"/>
      <c r="F5" s="1077"/>
      <c r="G5" s="469"/>
      <c r="I5" s="556"/>
      <c r="J5" s="556"/>
      <c r="K5" s="556"/>
      <c r="L5" s="556"/>
      <c r="M5" s="557"/>
    </row>
    <row r="6" spans="1:13" ht="14.25" customHeight="1" x14ac:dyDescent="0.2">
      <c r="B6" s="134"/>
      <c r="C6" s="1064" t="s">
        <v>35</v>
      </c>
      <c r="D6" s="1064"/>
      <c r="E6" s="506" t="s">
        <v>36</v>
      </c>
      <c r="F6" s="506" t="s">
        <v>37</v>
      </c>
      <c r="G6" s="469"/>
      <c r="I6" s="556"/>
      <c r="J6" s="556"/>
      <c r="K6" s="556"/>
      <c r="L6" s="556"/>
      <c r="M6" s="557"/>
    </row>
    <row r="7" spans="1:13" ht="14.25" customHeight="1" x14ac:dyDescent="0.2">
      <c r="B7" s="134"/>
      <c r="C7" s="1241" t="s">
        <v>262</v>
      </c>
      <c r="D7" s="1241"/>
      <c r="E7" s="646" t="e">
        <f>K39*D60</f>
        <v>#DIV/0!</v>
      </c>
      <c r="F7" s="468" t="s">
        <v>530</v>
      </c>
      <c r="G7" s="469"/>
      <c r="I7" s="556"/>
      <c r="J7" s="556"/>
      <c r="K7" s="556"/>
      <c r="L7" s="556"/>
      <c r="M7" s="557"/>
    </row>
    <row r="8" spans="1:13" ht="14.25" customHeight="1" x14ac:dyDescent="0.2">
      <c r="B8" s="134"/>
      <c r="C8" s="1242" t="s">
        <v>529</v>
      </c>
      <c r="D8" s="1242"/>
      <c r="E8" s="646" t="e">
        <f>K50*K42*365</f>
        <v>#N/A</v>
      </c>
      <c r="F8" s="468" t="s">
        <v>530</v>
      </c>
      <c r="G8" s="469"/>
      <c r="I8" s="556"/>
      <c r="J8" s="556"/>
      <c r="K8" s="556"/>
      <c r="L8" s="556"/>
      <c r="M8" s="557"/>
    </row>
    <row r="9" spans="1:13" ht="14.25" customHeight="1" x14ac:dyDescent="0.2">
      <c r="B9" s="134"/>
      <c r="C9" s="1243" t="s">
        <v>260</v>
      </c>
      <c r="D9" s="1243"/>
      <c r="E9" s="647">
        <f>K37*K35*365*D33</f>
        <v>0</v>
      </c>
      <c r="F9" s="468" t="s">
        <v>530</v>
      </c>
      <c r="G9" s="558"/>
      <c r="I9" s="556"/>
      <c r="J9" s="556"/>
      <c r="K9" s="556"/>
      <c r="L9" s="556"/>
      <c r="M9" s="557"/>
    </row>
    <row r="10" spans="1:13" ht="14.25" customHeight="1" x14ac:dyDescent="0.2">
      <c r="B10" s="134"/>
      <c r="C10" s="1244" t="s">
        <v>261</v>
      </c>
      <c r="D10" s="1244"/>
      <c r="E10" s="647">
        <f>K57+K54</f>
        <v>0</v>
      </c>
      <c r="F10" s="468" t="s">
        <v>530</v>
      </c>
      <c r="G10" s="558"/>
      <c r="I10" s="556"/>
      <c r="J10" s="556"/>
      <c r="K10" s="556"/>
      <c r="L10" s="556"/>
      <c r="M10" s="557"/>
    </row>
    <row r="11" spans="1:13" ht="14.25" customHeight="1" x14ac:dyDescent="0.2">
      <c r="B11" s="134"/>
      <c r="C11" s="1133" t="s">
        <v>263</v>
      </c>
      <c r="D11" s="1133"/>
      <c r="E11" s="647" t="e">
        <f>SUM(E7:E10)</f>
        <v>#DIV/0!</v>
      </c>
      <c r="F11" s="468" t="s">
        <v>530</v>
      </c>
      <c r="G11" s="558"/>
      <c r="I11" s="556"/>
      <c r="J11" s="556"/>
      <c r="K11" s="556"/>
      <c r="L11" s="556"/>
      <c r="M11" s="557"/>
    </row>
    <row r="12" spans="1:13" ht="14.25" customHeight="1" x14ac:dyDescent="0.2">
      <c r="B12" s="134"/>
      <c r="C12" s="1133" t="s">
        <v>264</v>
      </c>
      <c r="D12" s="1133"/>
      <c r="E12" s="647" t="e">
        <f>E11/K36</f>
        <v>#DIV/0!</v>
      </c>
      <c r="F12" s="468" t="s">
        <v>530</v>
      </c>
      <c r="G12" s="558"/>
      <c r="I12" s="556"/>
      <c r="J12" s="556"/>
      <c r="K12" s="556"/>
      <c r="L12" s="556"/>
      <c r="M12" s="557"/>
    </row>
    <row r="13" spans="1:13" ht="14.25" customHeight="1" thickBot="1" x14ac:dyDescent="0.25">
      <c r="B13" s="135"/>
      <c r="C13" s="559"/>
      <c r="D13" s="559"/>
      <c r="E13" s="559"/>
      <c r="F13" s="559"/>
      <c r="G13" s="559"/>
      <c r="I13" s="556"/>
      <c r="J13" s="556"/>
      <c r="K13" s="556"/>
      <c r="L13" s="556"/>
      <c r="M13" s="557"/>
    </row>
    <row r="14" spans="1:13" ht="16" thickTop="1" thickBot="1" x14ac:dyDescent="0.25">
      <c r="B14" s="89"/>
      <c r="H14" s="555"/>
      <c r="I14" s="556"/>
      <c r="J14" s="556"/>
      <c r="K14" s="556"/>
      <c r="L14" s="556"/>
      <c r="M14" s="557"/>
    </row>
    <row r="15" spans="1:13" ht="15" customHeight="1" thickTop="1" x14ac:dyDescent="0.2">
      <c r="B15" s="1121" t="s">
        <v>266</v>
      </c>
      <c r="C15" s="1122"/>
      <c r="D15" s="1122"/>
      <c r="E15" s="1122"/>
      <c r="F15" s="1122"/>
      <c r="G15" s="1123"/>
      <c r="H15" s="560"/>
      <c r="I15" s="556"/>
      <c r="J15" s="556"/>
      <c r="K15" s="556"/>
      <c r="L15" s="556"/>
      <c r="M15" s="557"/>
    </row>
    <row r="16" spans="1:13" x14ac:dyDescent="0.2">
      <c r="B16" s="128"/>
      <c r="C16" s="469"/>
      <c r="D16" s="469"/>
      <c r="E16" s="469"/>
      <c r="F16" s="469"/>
      <c r="G16" s="561"/>
      <c r="H16" s="557"/>
      <c r="I16" s="556"/>
      <c r="J16" s="556"/>
      <c r="K16" s="556"/>
      <c r="L16" s="556"/>
      <c r="M16" s="557"/>
    </row>
    <row r="17" spans="2:13" x14ac:dyDescent="0.2">
      <c r="B17" s="128"/>
      <c r="C17" s="1064" t="s">
        <v>415</v>
      </c>
      <c r="D17" s="1064"/>
      <c r="E17" s="1064"/>
      <c r="F17" s="469"/>
      <c r="G17" s="561"/>
      <c r="H17" s="557"/>
      <c r="I17" s="556"/>
      <c r="J17" s="556"/>
      <c r="K17" s="556"/>
      <c r="L17" s="556"/>
      <c r="M17" s="557"/>
    </row>
    <row r="18" spans="2:13" x14ac:dyDescent="0.2">
      <c r="B18" s="128"/>
      <c r="C18" s="504" t="s">
        <v>35</v>
      </c>
      <c r="D18" s="506" t="s">
        <v>36</v>
      </c>
      <c r="E18" s="506" t="s">
        <v>37</v>
      </c>
      <c r="F18" s="469"/>
      <c r="G18" s="561"/>
      <c r="H18" s="557"/>
      <c r="I18" s="556"/>
      <c r="J18" s="556"/>
      <c r="K18" s="556"/>
      <c r="L18" s="556"/>
      <c r="M18" s="557"/>
    </row>
    <row r="19" spans="2:13" x14ac:dyDescent="0.2">
      <c r="B19" s="128"/>
      <c r="C19" s="92" t="s">
        <v>188</v>
      </c>
      <c r="D19" s="562">
        <f>'Input Zootecnico atual'!H30</f>
        <v>0</v>
      </c>
      <c r="E19" s="563" t="s">
        <v>244</v>
      </c>
      <c r="F19" s="469"/>
      <c r="G19" s="561"/>
      <c r="H19" s="557"/>
      <c r="I19" s="556"/>
      <c r="J19" s="556"/>
      <c r="K19" s="556"/>
      <c r="L19" s="556"/>
      <c r="M19" s="557"/>
    </row>
    <row r="20" spans="2:13" x14ac:dyDescent="0.2">
      <c r="B20" s="128"/>
      <c r="C20" s="92" t="s">
        <v>189</v>
      </c>
      <c r="D20" s="564">
        <f>'Input Zootecnico atual'!H31</f>
        <v>0</v>
      </c>
      <c r="E20" s="459" t="s">
        <v>174</v>
      </c>
      <c r="F20" s="469"/>
      <c r="G20" s="561"/>
      <c r="H20" s="557"/>
      <c r="I20" s="556"/>
      <c r="J20" s="556"/>
      <c r="K20" s="556"/>
      <c r="L20" s="556"/>
      <c r="M20" s="557"/>
    </row>
    <row r="21" spans="2:13" x14ac:dyDescent="0.2">
      <c r="B21" s="128"/>
      <c r="C21" s="92" t="s">
        <v>190</v>
      </c>
      <c r="D21" s="562">
        <f>'Input Zootecnico atual'!H32</f>
        <v>0</v>
      </c>
      <c r="E21" s="456" t="s">
        <v>38</v>
      </c>
      <c r="F21" s="469"/>
      <c r="G21" s="561"/>
      <c r="H21" s="557"/>
      <c r="I21" s="556"/>
      <c r="J21" s="556"/>
      <c r="K21" s="556"/>
      <c r="L21" s="556"/>
      <c r="M21" s="557"/>
    </row>
    <row r="22" spans="2:13" x14ac:dyDescent="0.2">
      <c r="B22" s="128"/>
      <c r="C22" s="92" t="s">
        <v>191</v>
      </c>
      <c r="D22" s="562">
        <f>'Input Zootecnico atual'!H33</f>
        <v>0</v>
      </c>
      <c r="E22" s="459" t="s">
        <v>38</v>
      </c>
      <c r="F22" s="469"/>
      <c r="G22" s="561"/>
      <c r="H22" s="557"/>
      <c r="I22" s="556"/>
      <c r="J22" s="556"/>
      <c r="K22" s="556"/>
      <c r="L22" s="556"/>
      <c r="M22" s="557"/>
    </row>
    <row r="23" spans="2:13" x14ac:dyDescent="0.2">
      <c r="B23" s="128"/>
      <c r="C23" s="469"/>
      <c r="D23" s="469"/>
      <c r="E23" s="469"/>
      <c r="F23" s="469"/>
      <c r="G23" s="561"/>
      <c r="H23" s="557"/>
      <c r="I23" s="556"/>
      <c r="J23" s="556"/>
      <c r="K23" s="556"/>
      <c r="L23" s="556"/>
      <c r="M23" s="557"/>
    </row>
    <row r="24" spans="2:13" ht="15" thickBot="1" x14ac:dyDescent="0.25">
      <c r="B24" s="128"/>
      <c r="C24" s="1077" t="s">
        <v>182</v>
      </c>
      <c r="D24" s="1077"/>
      <c r="E24" s="1077"/>
      <c r="F24" s="469"/>
      <c r="G24" s="561"/>
      <c r="H24" s="557"/>
      <c r="I24" s="556"/>
      <c r="J24" s="556"/>
      <c r="K24" s="556"/>
      <c r="L24" s="556"/>
      <c r="M24" s="557"/>
    </row>
    <row r="25" spans="2:13" ht="16" thickTop="1" thickBot="1" x14ac:dyDescent="0.25">
      <c r="B25" s="128"/>
      <c r="C25" s="504" t="s">
        <v>35</v>
      </c>
      <c r="D25" s="506" t="s">
        <v>36</v>
      </c>
      <c r="E25" s="506" t="s">
        <v>37</v>
      </c>
      <c r="F25" s="469"/>
      <c r="G25" s="561"/>
      <c r="I25" s="565"/>
      <c r="J25" s="565"/>
      <c r="K25" s="565"/>
      <c r="L25" s="565"/>
      <c r="M25" s="565"/>
    </row>
    <row r="26" spans="2:13" ht="17" thickTop="1" x14ac:dyDescent="0.2">
      <c r="B26" s="128"/>
      <c r="C26" s="180" t="s">
        <v>420</v>
      </c>
      <c r="D26" s="422">
        <f>'Input Zootecnico atual'!$C$15</f>
        <v>0</v>
      </c>
      <c r="E26" s="468" t="s">
        <v>38</v>
      </c>
      <c r="F26" s="469"/>
      <c r="G26" s="561"/>
      <c r="I26" s="1124" t="s">
        <v>268</v>
      </c>
      <c r="J26" s="1125"/>
      <c r="K26" s="1125"/>
      <c r="L26" s="1125"/>
      <c r="M26" s="1126"/>
    </row>
    <row r="27" spans="2:13" x14ac:dyDescent="0.2">
      <c r="B27" s="128"/>
      <c r="C27" s="180" t="s">
        <v>421</v>
      </c>
      <c r="D27" s="422">
        <f>'Input Zootecnico atual'!C16</f>
        <v>0</v>
      </c>
      <c r="E27" s="468" t="s">
        <v>38</v>
      </c>
      <c r="F27" s="469"/>
      <c r="G27" s="561"/>
      <c r="I27" s="566"/>
      <c r="J27" s="469"/>
      <c r="K27" s="469"/>
      <c r="L27" s="469"/>
      <c r="M27" s="567"/>
    </row>
    <row r="28" spans="2:13" x14ac:dyDescent="0.2">
      <c r="B28" s="128"/>
      <c r="C28" s="180" t="s">
        <v>316</v>
      </c>
      <c r="D28" s="568">
        <f>'Input Zootecnico atual'!C17</f>
        <v>0</v>
      </c>
      <c r="E28" s="569" t="s">
        <v>38</v>
      </c>
      <c r="F28" s="469"/>
      <c r="G28" s="561"/>
      <c r="I28" s="566"/>
      <c r="J28" s="1065" t="s">
        <v>181</v>
      </c>
      <c r="K28" s="1066"/>
      <c r="L28" s="1067"/>
      <c r="M28" s="567"/>
    </row>
    <row r="29" spans="2:13" x14ac:dyDescent="0.2">
      <c r="B29" s="128"/>
      <c r="C29" s="93" t="s">
        <v>192</v>
      </c>
      <c r="D29" s="100">
        <f>'Input Zootecnico atual'!H40</f>
        <v>0</v>
      </c>
      <c r="E29" s="459" t="s">
        <v>244</v>
      </c>
      <c r="F29" s="469"/>
      <c r="G29" s="561"/>
      <c r="I29" s="566"/>
      <c r="J29" s="504" t="s">
        <v>35</v>
      </c>
      <c r="K29" s="506" t="s">
        <v>36</v>
      </c>
      <c r="L29" s="506" t="s">
        <v>37</v>
      </c>
      <c r="M29" s="567"/>
    </row>
    <row r="30" spans="2:13" x14ac:dyDescent="0.2">
      <c r="B30" s="128"/>
      <c r="C30" s="92" t="s">
        <v>193</v>
      </c>
      <c r="D30" s="100">
        <f>'Input Zootecnico atual'!H41</f>
        <v>0</v>
      </c>
      <c r="E30" s="468" t="s">
        <v>38</v>
      </c>
      <c r="F30" s="469"/>
      <c r="G30" s="561"/>
      <c r="I30" s="566"/>
      <c r="J30" s="93" t="s">
        <v>220</v>
      </c>
      <c r="K30" s="99" t="e">
        <f>D21/$K$36</f>
        <v>#DIV/0!</v>
      </c>
      <c r="L30" s="468" t="s">
        <v>174</v>
      </c>
      <c r="M30" s="567"/>
    </row>
    <row r="31" spans="2:13" x14ac:dyDescent="0.2">
      <c r="B31" s="128"/>
      <c r="C31" s="92" t="s">
        <v>194</v>
      </c>
      <c r="D31" s="100">
        <f>'Input Zootecnico atual'!H42</f>
        <v>0</v>
      </c>
      <c r="E31" s="468" t="s">
        <v>38</v>
      </c>
      <c r="F31" s="469"/>
      <c r="G31" s="561"/>
      <c r="I31" s="566"/>
      <c r="J31" s="93" t="s">
        <v>221</v>
      </c>
      <c r="K31" s="99" t="e">
        <f>D22/$K$36</f>
        <v>#DIV/0!</v>
      </c>
      <c r="L31" s="468" t="s">
        <v>174</v>
      </c>
      <c r="M31" s="567"/>
    </row>
    <row r="32" spans="2:13" x14ac:dyDescent="0.2">
      <c r="B32" s="128"/>
      <c r="C32" s="92" t="s">
        <v>195</v>
      </c>
      <c r="D32" s="100">
        <f>'Input Zootecnico atual'!H43</f>
        <v>0</v>
      </c>
      <c r="E32" s="468" t="s">
        <v>38</v>
      </c>
      <c r="F32" s="469"/>
      <c r="G32" s="561"/>
      <c r="I32" s="566"/>
      <c r="J32" s="469"/>
      <c r="K32" s="469"/>
      <c r="L32" s="469"/>
      <c r="M32" s="567"/>
    </row>
    <row r="33" spans="2:16" x14ac:dyDescent="0.2">
      <c r="B33" s="128"/>
      <c r="C33" s="93" t="s">
        <v>196</v>
      </c>
      <c r="D33" s="100">
        <f>'Input Zootecnico atual'!H44</f>
        <v>0</v>
      </c>
      <c r="E33" s="468" t="s">
        <v>41</v>
      </c>
      <c r="F33" s="469"/>
      <c r="G33" s="561"/>
      <c r="I33" s="566"/>
      <c r="J33" s="1118" t="s">
        <v>182</v>
      </c>
      <c r="K33" s="1119"/>
      <c r="L33" s="1120"/>
      <c r="M33" s="567"/>
    </row>
    <row r="34" spans="2:16" x14ac:dyDescent="0.2">
      <c r="B34" s="128"/>
      <c r="C34" s="93" t="s">
        <v>197</v>
      </c>
      <c r="D34" s="100">
        <f>'Input Zootecnico atual'!H45</f>
        <v>0</v>
      </c>
      <c r="E34" s="468" t="s">
        <v>241</v>
      </c>
      <c r="F34" s="469"/>
      <c r="G34" s="561"/>
      <c r="I34" s="566"/>
      <c r="J34" s="504" t="s">
        <v>35</v>
      </c>
      <c r="K34" s="506" t="s">
        <v>36</v>
      </c>
      <c r="L34" s="506" t="s">
        <v>37</v>
      </c>
      <c r="M34" s="567"/>
    </row>
    <row r="35" spans="2:16" x14ac:dyDescent="0.2">
      <c r="B35" s="128"/>
      <c r="C35" s="92" t="s">
        <v>506</v>
      </c>
      <c r="D35" s="442">
        <f>'Input Financeiro atual'!C9</f>
        <v>0</v>
      </c>
      <c r="E35" s="468" t="s">
        <v>242</v>
      </c>
      <c r="F35" s="469"/>
      <c r="G35" s="561"/>
      <c r="I35" s="566"/>
      <c r="J35" s="92" t="s">
        <v>222</v>
      </c>
      <c r="K35" s="100">
        <f>D26+D27</f>
        <v>0</v>
      </c>
      <c r="L35" s="468" t="s">
        <v>38</v>
      </c>
      <c r="M35" s="567"/>
    </row>
    <row r="36" spans="2:16" x14ac:dyDescent="0.2">
      <c r="B36" s="128"/>
      <c r="C36" s="92" t="s">
        <v>199</v>
      </c>
      <c r="D36" s="100">
        <f>'Input Zootecnico atual'!H46</f>
        <v>0</v>
      </c>
      <c r="E36" s="468" t="s">
        <v>240</v>
      </c>
      <c r="F36" s="469"/>
      <c r="G36" s="561"/>
      <c r="I36" s="566"/>
      <c r="J36" s="93" t="s">
        <v>223</v>
      </c>
      <c r="K36" s="644">
        <f>'Input Zootecnico atual'!C19</f>
        <v>0</v>
      </c>
      <c r="L36" s="468" t="s">
        <v>38</v>
      </c>
      <c r="M36" s="567"/>
    </row>
    <row r="37" spans="2:16" x14ac:dyDescent="0.2">
      <c r="B37" s="128"/>
      <c r="C37" s="92" t="s">
        <v>200</v>
      </c>
      <c r="D37" s="100">
        <f>'Input Zootecnico atual'!H47</f>
        <v>0</v>
      </c>
      <c r="E37" s="468" t="s">
        <v>240</v>
      </c>
      <c r="F37" s="469"/>
      <c r="G37" s="561"/>
      <c r="I37" s="566"/>
      <c r="J37" s="92" t="s">
        <v>224</v>
      </c>
      <c r="K37" s="515">
        <f>'Análise dos Processos'!P20</f>
        <v>0</v>
      </c>
      <c r="L37" s="468" t="s">
        <v>245</v>
      </c>
      <c r="M37" s="567"/>
    </row>
    <row r="38" spans="2:16" x14ac:dyDescent="0.2">
      <c r="B38" s="128"/>
      <c r="C38" s="92" t="s">
        <v>201</v>
      </c>
      <c r="D38" s="100">
        <f>'Input Zootecnico atual'!H48</f>
        <v>0</v>
      </c>
      <c r="E38" s="468" t="s">
        <v>243</v>
      </c>
      <c r="F38" s="469"/>
      <c r="G38" s="561"/>
      <c r="I38" s="566"/>
      <c r="J38" s="93" t="s">
        <v>225</v>
      </c>
      <c r="K38" s="99" t="e">
        <f>D30/K35</f>
        <v>#DIV/0!</v>
      </c>
      <c r="L38" s="468" t="s">
        <v>174</v>
      </c>
      <c r="M38" s="567"/>
    </row>
    <row r="39" spans="2:16" x14ac:dyDescent="0.2">
      <c r="B39" s="128"/>
      <c r="C39" s="92" t="s">
        <v>202</v>
      </c>
      <c r="D39" s="100">
        <f>'Input Zootecnico atual'!H49</f>
        <v>0</v>
      </c>
      <c r="E39" s="468" t="s">
        <v>240</v>
      </c>
      <c r="F39" s="469"/>
      <c r="G39" s="561"/>
      <c r="I39" s="566"/>
      <c r="J39" s="93" t="s">
        <v>226</v>
      </c>
      <c r="K39" s="94" t="e">
        <f>(K38-D20)*K35*12</f>
        <v>#DIV/0!</v>
      </c>
      <c r="L39" s="468" t="s">
        <v>38</v>
      </c>
      <c r="M39" s="567"/>
      <c r="N39" s="102"/>
      <c r="O39" s="102"/>
      <c r="P39" s="556"/>
    </row>
    <row r="40" spans="2:16" x14ac:dyDescent="0.2">
      <c r="B40" s="128"/>
      <c r="C40" s="469"/>
      <c r="D40" s="469"/>
      <c r="E40" s="469"/>
      <c r="F40" s="469"/>
      <c r="G40" s="561"/>
      <c r="I40" s="566"/>
      <c r="J40" s="93" t="s">
        <v>227</v>
      </c>
      <c r="K40" s="99" t="e">
        <f>D31/$K$36</f>
        <v>#DIV/0!</v>
      </c>
      <c r="L40" s="468" t="s">
        <v>174</v>
      </c>
      <c r="M40" s="567"/>
      <c r="N40" s="90"/>
      <c r="O40" s="90"/>
      <c r="P40" s="556"/>
    </row>
    <row r="41" spans="2:16" x14ac:dyDescent="0.2">
      <c r="B41" s="128"/>
      <c r="C41" s="1077" t="s">
        <v>183</v>
      </c>
      <c r="D41" s="1077"/>
      <c r="E41" s="1077"/>
      <c r="F41" s="1077"/>
      <c r="G41" s="561"/>
      <c r="I41" s="566"/>
      <c r="J41" s="93" t="s">
        <v>195</v>
      </c>
      <c r="K41" s="99" t="e">
        <f>D32/$K$36</f>
        <v>#DIV/0!</v>
      </c>
      <c r="L41" s="468" t="s">
        <v>174</v>
      </c>
      <c r="M41" s="567"/>
      <c r="N41" s="90"/>
      <c r="O41" s="90"/>
      <c r="P41" s="556"/>
    </row>
    <row r="42" spans="2:16" x14ac:dyDescent="0.2">
      <c r="B42" s="128"/>
      <c r="C42" s="1064" t="s">
        <v>35</v>
      </c>
      <c r="D42" s="1080" t="s">
        <v>36</v>
      </c>
      <c r="E42" s="1080"/>
      <c r="F42" s="1080" t="s">
        <v>37</v>
      </c>
      <c r="G42" s="561"/>
      <c r="I42" s="566"/>
      <c r="J42" s="92" t="s">
        <v>228</v>
      </c>
      <c r="K42" s="101">
        <f>'Input Financeiro atual'!C11</f>
        <v>0</v>
      </c>
      <c r="L42" s="468" t="s">
        <v>41</v>
      </c>
      <c r="M42" s="567"/>
      <c r="N42" s="90"/>
      <c r="O42" s="90"/>
      <c r="P42" s="556"/>
    </row>
    <row r="43" spans="2:16" x14ac:dyDescent="0.2">
      <c r="B43" s="128"/>
      <c r="C43" s="1064"/>
      <c r="D43" s="505" t="s">
        <v>184</v>
      </c>
      <c r="E43" s="505" t="s">
        <v>185</v>
      </c>
      <c r="F43" s="1080"/>
      <c r="G43" s="561"/>
      <c r="I43" s="566"/>
      <c r="J43" s="93" t="s">
        <v>229</v>
      </c>
      <c r="K43" s="96">
        <f>D35-(D35-D36)/2</f>
        <v>0</v>
      </c>
      <c r="L43" s="468" t="s">
        <v>18</v>
      </c>
      <c r="M43" s="567"/>
      <c r="N43" s="102"/>
      <c r="O43" s="102"/>
      <c r="P43" s="556"/>
    </row>
    <row r="44" spans="2:16" x14ac:dyDescent="0.2">
      <c r="B44" s="128"/>
      <c r="C44" s="93" t="s">
        <v>203</v>
      </c>
      <c r="D44" s="570">
        <f>'Input Zootecnico atual'!H54</f>
        <v>0</v>
      </c>
      <c r="E44" s="384">
        <f>1-D44</f>
        <v>1</v>
      </c>
      <c r="F44" s="468" t="s">
        <v>174</v>
      </c>
      <c r="G44" s="561"/>
      <c r="I44" s="566"/>
      <c r="J44" s="93" t="s">
        <v>230</v>
      </c>
      <c r="K44" s="97">
        <f>(K37*(K42-0.15)*D38+D39)</f>
        <v>0</v>
      </c>
      <c r="L44" s="468" t="s">
        <v>240</v>
      </c>
      <c r="M44" s="567"/>
      <c r="N44" s="102"/>
      <c r="O44" s="102"/>
      <c r="P44" s="556"/>
    </row>
    <row r="45" spans="2:16" x14ac:dyDescent="0.2">
      <c r="B45" s="128"/>
      <c r="C45" s="93" t="s">
        <v>204</v>
      </c>
      <c r="D45" s="571">
        <f>'Input Zootecnico atual'!H55</f>
        <v>0</v>
      </c>
      <c r="E45" s="571">
        <f>'Input Zootecnico atual'!I55</f>
        <v>0</v>
      </c>
      <c r="F45" s="468" t="s">
        <v>240</v>
      </c>
      <c r="G45" s="572"/>
      <c r="H45" s="573"/>
      <c r="I45" s="566"/>
      <c r="J45" s="469"/>
      <c r="K45" s="469"/>
      <c r="L45" s="469"/>
      <c r="M45" s="567"/>
      <c r="N45" s="90"/>
      <c r="O45" s="90"/>
      <c r="P45" s="556"/>
    </row>
    <row r="46" spans="2:16" x14ac:dyDescent="0.2">
      <c r="B46" s="128"/>
      <c r="C46" s="93" t="s">
        <v>205</v>
      </c>
      <c r="D46" s="571">
        <f>'Input Zootecnico atual'!H56</f>
        <v>0</v>
      </c>
      <c r="E46" s="571">
        <f>'Input Zootecnico atual'!I56</f>
        <v>0</v>
      </c>
      <c r="F46" s="468" t="s">
        <v>243</v>
      </c>
      <c r="G46" s="572"/>
      <c r="H46" s="573"/>
      <c r="I46" s="566"/>
      <c r="J46" s="1118" t="s">
        <v>186</v>
      </c>
      <c r="K46" s="1119"/>
      <c r="L46" s="1120"/>
      <c r="M46" s="567"/>
      <c r="N46" s="90"/>
      <c r="O46" s="90"/>
      <c r="P46" s="556"/>
    </row>
    <row r="47" spans="2:16" x14ac:dyDescent="0.2">
      <c r="B47" s="128"/>
      <c r="C47" s="93" t="s">
        <v>206</v>
      </c>
      <c r="D47" s="571">
        <f>'Input Zootecnico atual'!H57</f>
        <v>0</v>
      </c>
      <c r="E47" s="571">
        <f>'Input Zootecnico atual'!I57</f>
        <v>0</v>
      </c>
      <c r="F47" s="468" t="s">
        <v>243</v>
      </c>
      <c r="G47" s="572"/>
      <c r="H47" s="573"/>
      <c r="I47" s="566"/>
      <c r="J47" s="504" t="s">
        <v>35</v>
      </c>
      <c r="K47" s="506" t="s">
        <v>36</v>
      </c>
      <c r="L47" s="506" t="s">
        <v>37</v>
      </c>
      <c r="M47" s="567"/>
      <c r="N47" s="90"/>
      <c r="O47" s="90"/>
      <c r="P47" s="556"/>
    </row>
    <row r="48" spans="2:16" x14ac:dyDescent="0.2">
      <c r="B48" s="128"/>
      <c r="C48" s="93" t="s">
        <v>207</v>
      </c>
      <c r="D48" s="385">
        <f>K37*0.75</f>
        <v>0</v>
      </c>
      <c r="E48" s="385">
        <f>K37*0.5</f>
        <v>0</v>
      </c>
      <c r="F48" s="468" t="s">
        <v>245</v>
      </c>
      <c r="G48" s="572"/>
      <c r="H48" s="573"/>
      <c r="I48" s="566"/>
      <c r="J48" s="93" t="s">
        <v>231</v>
      </c>
      <c r="K48" s="645" t="e">
        <f>D26/100*B121</f>
        <v>#N/A</v>
      </c>
      <c r="L48" s="93" t="s">
        <v>39</v>
      </c>
      <c r="M48" s="567"/>
      <c r="N48" s="90"/>
      <c r="O48" s="90"/>
      <c r="P48" s="556"/>
    </row>
    <row r="49" spans="2:17" x14ac:dyDescent="0.2">
      <c r="B49" s="128"/>
      <c r="C49" s="93" t="s">
        <v>208</v>
      </c>
      <c r="D49" s="562">
        <f>'Input Zootecnico atual'!H58</f>
        <v>0</v>
      </c>
      <c r="E49" s="562">
        <f>'Input Zootecnico atual'!I58</f>
        <v>0</v>
      </c>
      <c r="F49" s="468" t="s">
        <v>243</v>
      </c>
      <c r="G49" s="572"/>
      <c r="H49" s="573"/>
      <c r="I49" s="566"/>
      <c r="J49" s="93" t="s">
        <v>232</v>
      </c>
      <c r="K49" s="645" t="e">
        <f>D27/100*B107</f>
        <v>#N/A</v>
      </c>
      <c r="L49" s="93" t="s">
        <v>39</v>
      </c>
      <c r="M49" s="567"/>
      <c r="N49" s="90"/>
      <c r="O49" s="90"/>
      <c r="P49" s="556"/>
    </row>
    <row r="50" spans="2:17" x14ac:dyDescent="0.2">
      <c r="B50" s="128"/>
      <c r="C50" s="93" t="s">
        <v>209</v>
      </c>
      <c r="D50" s="440">
        <f>E50</f>
        <v>0</v>
      </c>
      <c r="E50" s="574">
        <f>'Input Zootecnico atual'!I59</f>
        <v>0</v>
      </c>
      <c r="F50" s="468" t="s">
        <v>41</v>
      </c>
      <c r="G50" s="572"/>
      <c r="H50" s="573"/>
      <c r="I50" s="566"/>
      <c r="J50" s="93" t="s">
        <v>233</v>
      </c>
      <c r="K50" s="95" t="e">
        <f>K49+K48</f>
        <v>#N/A</v>
      </c>
      <c r="L50" s="93" t="s">
        <v>39</v>
      </c>
      <c r="M50" s="132"/>
      <c r="N50" s="573"/>
      <c r="O50" s="573"/>
      <c r="P50" s="573"/>
      <c r="Q50" s="573"/>
    </row>
    <row r="51" spans="2:17" x14ac:dyDescent="0.2">
      <c r="B51" s="128"/>
      <c r="C51" s="93" t="s">
        <v>210</v>
      </c>
      <c r="D51" s="441">
        <f>(D46+D47)*K37</f>
        <v>0</v>
      </c>
      <c r="E51" s="441">
        <f>(E46+E47)*K37</f>
        <v>0</v>
      </c>
      <c r="F51" s="468" t="s">
        <v>39</v>
      </c>
      <c r="G51" s="572"/>
      <c r="H51" s="573"/>
      <c r="I51" s="566"/>
      <c r="J51" s="469"/>
      <c r="K51" s="469"/>
      <c r="L51" s="469"/>
      <c r="M51" s="132"/>
      <c r="N51" s="556"/>
      <c r="O51" s="556"/>
      <c r="P51" s="556"/>
    </row>
    <row r="52" spans="2:17" x14ac:dyDescent="0.2">
      <c r="B52" s="128"/>
      <c r="C52" s="93" t="s">
        <v>211</v>
      </c>
      <c r="D52" s="441">
        <f>IF(($K$37-D48)*(D49-(D46+D47))&gt;0,($K$37-D48)*(D49-(D46+D47)),0)</f>
        <v>0</v>
      </c>
      <c r="E52" s="441">
        <f>IF(($K$37-E48)*(E49-(E46+E47))&gt;0,($K$37-E48)*(E49-(E46+E47)),0)</f>
        <v>0</v>
      </c>
      <c r="F52" s="468" t="s">
        <v>39</v>
      </c>
      <c r="G52" s="572"/>
      <c r="H52" s="558"/>
      <c r="I52" s="566"/>
      <c r="J52" s="1118" t="s">
        <v>187</v>
      </c>
      <c r="K52" s="1119"/>
      <c r="L52" s="1120"/>
      <c r="M52" s="132"/>
      <c r="O52" s="469"/>
      <c r="P52" s="556"/>
    </row>
    <row r="53" spans="2:17" x14ac:dyDescent="0.2">
      <c r="B53" s="128"/>
      <c r="C53" s="93" t="s">
        <v>212</v>
      </c>
      <c r="D53" s="442">
        <f>D51+D52</f>
        <v>0</v>
      </c>
      <c r="E53" s="442">
        <f>E51+E52</f>
        <v>0</v>
      </c>
      <c r="F53" s="468" t="s">
        <v>246</v>
      </c>
      <c r="G53" s="572"/>
      <c r="H53" s="558"/>
      <c r="I53" s="566"/>
      <c r="J53" s="504" t="s">
        <v>35</v>
      </c>
      <c r="K53" s="506" t="s">
        <v>36</v>
      </c>
      <c r="L53" s="506" t="s">
        <v>37</v>
      </c>
      <c r="M53" s="132"/>
      <c r="O53" s="469"/>
      <c r="P53" s="556"/>
    </row>
    <row r="54" spans="2:17" x14ac:dyDescent="0.2">
      <c r="B54" s="128"/>
      <c r="C54" s="93" t="s">
        <v>213</v>
      </c>
      <c r="D54" s="444" t="e">
        <f>D53/($K$37*305)</f>
        <v>#DIV/0!</v>
      </c>
      <c r="E54" s="444" t="e">
        <f>E53/($K$37*305)</f>
        <v>#DIV/0!</v>
      </c>
      <c r="F54" s="468" t="s">
        <v>174</v>
      </c>
      <c r="G54" s="572"/>
      <c r="H54" s="558"/>
      <c r="I54" s="566"/>
      <c r="J54" s="93" t="s">
        <v>234</v>
      </c>
      <c r="K54" s="103">
        <f>K55*K56</f>
        <v>0</v>
      </c>
      <c r="L54" s="468" t="s">
        <v>18</v>
      </c>
      <c r="M54" s="132"/>
      <c r="O54" s="469"/>
      <c r="P54" s="556"/>
    </row>
    <row r="55" spans="2:17" x14ac:dyDescent="0.2">
      <c r="B55" s="128"/>
      <c r="C55" s="93" t="s">
        <v>214</v>
      </c>
      <c r="D55" s="440">
        <f>D51*(K42-D50)+D52*K42</f>
        <v>0</v>
      </c>
      <c r="E55" s="440">
        <f>E51*(K42-E50)+E52*K42</f>
        <v>0</v>
      </c>
      <c r="F55" s="468" t="s">
        <v>18</v>
      </c>
      <c r="G55" s="572"/>
      <c r="H55" s="558"/>
      <c r="I55" s="566"/>
      <c r="J55" s="93" t="s">
        <v>235</v>
      </c>
      <c r="K55" s="91">
        <f>D32-D22</f>
        <v>0</v>
      </c>
      <c r="L55" s="93" t="s">
        <v>38</v>
      </c>
      <c r="M55" s="132"/>
      <c r="O55" s="575"/>
    </row>
    <row r="56" spans="2:17" x14ac:dyDescent="0.2">
      <c r="B56" s="128"/>
      <c r="C56" s="93" t="s">
        <v>215</v>
      </c>
      <c r="D56" s="576">
        <f>'Input Zootecnico atual'!H60</f>
        <v>0</v>
      </c>
      <c r="E56" s="576">
        <f>'Input Zootecnico atual'!I60</f>
        <v>0</v>
      </c>
      <c r="F56" s="468" t="s">
        <v>247</v>
      </c>
      <c r="G56" s="572"/>
      <c r="H56" s="558"/>
      <c r="I56" s="566"/>
      <c r="J56" s="93" t="s">
        <v>236</v>
      </c>
      <c r="K56" s="103">
        <f>K43+K44-D36</f>
        <v>0</v>
      </c>
      <c r="L56" s="468" t="s">
        <v>18</v>
      </c>
      <c r="M56" s="132"/>
      <c r="O56" s="575"/>
    </row>
    <row r="57" spans="2:17" x14ac:dyDescent="0.2">
      <c r="B57" s="128"/>
      <c r="C57" s="93" t="s">
        <v>216</v>
      </c>
      <c r="D57" s="442">
        <f>D56*$D$34</f>
        <v>0</v>
      </c>
      <c r="E57" s="442">
        <f>E56*$D$34</f>
        <v>0</v>
      </c>
      <c r="F57" s="468" t="s">
        <v>18</v>
      </c>
      <c r="G57" s="572"/>
      <c r="H57" s="558"/>
      <c r="I57" s="566"/>
      <c r="J57" s="93" t="s">
        <v>237</v>
      </c>
      <c r="K57" s="103">
        <f>K58*K59</f>
        <v>0</v>
      </c>
      <c r="L57" s="468" t="s">
        <v>18</v>
      </c>
      <c r="M57" s="132"/>
      <c r="O57" s="575"/>
    </row>
    <row r="58" spans="2:17" x14ac:dyDescent="0.2">
      <c r="B58" s="128"/>
      <c r="C58" s="93" t="s">
        <v>217</v>
      </c>
      <c r="D58" s="577">
        <f>'Input Zootecnico atual'!H61</f>
        <v>0</v>
      </c>
      <c r="E58" s="577">
        <f>'Input Zootecnico atual'!I61</f>
        <v>0</v>
      </c>
      <c r="F58" s="468" t="s">
        <v>18</v>
      </c>
      <c r="G58" s="572"/>
      <c r="H58" s="578"/>
      <c r="I58" s="566"/>
      <c r="J58" s="93" t="s">
        <v>238</v>
      </c>
      <c r="K58" s="91">
        <f>D31-D21</f>
        <v>0</v>
      </c>
      <c r="L58" s="93" t="s">
        <v>38</v>
      </c>
      <c r="M58" s="132"/>
      <c r="O58" s="575"/>
    </row>
    <row r="59" spans="2:17" x14ac:dyDescent="0.2">
      <c r="B59" s="128"/>
      <c r="C59" s="98" t="s">
        <v>218</v>
      </c>
      <c r="D59" s="443">
        <f>D58+D57+D55+D45</f>
        <v>0</v>
      </c>
      <c r="E59" s="443">
        <f>E58+E57+E55+E45</f>
        <v>0</v>
      </c>
      <c r="F59" s="468" t="s">
        <v>18</v>
      </c>
      <c r="G59" s="572"/>
      <c r="H59" s="558"/>
      <c r="I59" s="566"/>
      <c r="J59" s="93" t="s">
        <v>239</v>
      </c>
      <c r="K59" s="103">
        <f>K43+D37+K44</f>
        <v>0</v>
      </c>
      <c r="L59" s="468" t="s">
        <v>18</v>
      </c>
      <c r="M59" s="132"/>
      <c r="O59" s="575"/>
    </row>
    <row r="60" spans="2:17" ht="15" thickBot="1" x14ac:dyDescent="0.25">
      <c r="B60" s="128"/>
      <c r="C60" s="93" t="s">
        <v>219</v>
      </c>
      <c r="D60" s="1131">
        <f>D59*D44+E59*E44</f>
        <v>0</v>
      </c>
      <c r="E60" s="1132"/>
      <c r="F60" s="468" t="s">
        <v>18</v>
      </c>
      <c r="G60" s="572"/>
      <c r="H60" s="558"/>
      <c r="I60" s="579"/>
      <c r="J60" s="580"/>
      <c r="K60" s="580"/>
      <c r="L60" s="580"/>
      <c r="M60" s="133"/>
      <c r="O60" s="575"/>
    </row>
    <row r="61" spans="2:17" ht="16" thickTop="1" thickBot="1" x14ac:dyDescent="0.25">
      <c r="B61" s="129"/>
      <c r="C61" s="130"/>
      <c r="D61" s="131"/>
      <c r="E61" s="581"/>
      <c r="F61" s="582"/>
      <c r="G61" s="583"/>
      <c r="H61" s="558"/>
      <c r="I61" s="573"/>
      <c r="J61" s="573"/>
      <c r="K61" s="573"/>
      <c r="L61" s="573"/>
      <c r="M61" s="573"/>
      <c r="O61" s="575"/>
    </row>
    <row r="62" spans="2:17" ht="15" thickTop="1" x14ac:dyDescent="0.2">
      <c r="H62" s="575"/>
      <c r="O62" s="575"/>
    </row>
    <row r="63" spans="2:17" ht="10.5" customHeight="1" x14ac:dyDescent="0.2">
      <c r="B63" s="89" t="s">
        <v>267</v>
      </c>
      <c r="O63" s="575"/>
    </row>
    <row r="64" spans="2:17" ht="15.75" customHeight="1" x14ac:dyDescent="0.2">
      <c r="O64" s="575"/>
    </row>
    <row r="65" spans="2:15" x14ac:dyDescent="0.2">
      <c r="O65" s="575"/>
    </row>
    <row r="66" spans="2:15" x14ac:dyDescent="0.2">
      <c r="O66" s="575"/>
    </row>
    <row r="67" spans="2:15" x14ac:dyDescent="0.2">
      <c r="O67" s="575"/>
    </row>
    <row r="68" spans="2:15" x14ac:dyDescent="0.2">
      <c r="O68" s="575"/>
    </row>
    <row r="69" spans="2:15" x14ac:dyDescent="0.2">
      <c r="O69" s="575"/>
    </row>
    <row r="70" spans="2:15" x14ac:dyDescent="0.2">
      <c r="O70" s="575"/>
    </row>
    <row r="71" spans="2:15" x14ac:dyDescent="0.2">
      <c r="O71" s="575"/>
    </row>
    <row r="72" spans="2:15" x14ac:dyDescent="0.2">
      <c r="O72" s="575"/>
    </row>
    <row r="74" spans="2:15" x14ac:dyDescent="0.2">
      <c r="B74" s="89"/>
    </row>
    <row r="75" spans="2:15" x14ac:dyDescent="0.2">
      <c r="B75" s="89"/>
    </row>
    <row r="76" spans="2:15" x14ac:dyDescent="0.2">
      <c r="B76" s="89"/>
    </row>
    <row r="89" spans="2:24" s="885" customFormat="1" hidden="1" outlineLevel="1" x14ac:dyDescent="0.2">
      <c r="B89" s="880" t="s">
        <v>249</v>
      </c>
      <c r="C89" s="884"/>
      <c r="D89" s="884"/>
      <c r="E89" s="884"/>
      <c r="F89" s="884"/>
      <c r="G89" s="884"/>
      <c r="H89" s="884"/>
      <c r="I89" s="884"/>
      <c r="J89" s="884"/>
      <c r="K89" s="884"/>
      <c r="L89" s="884"/>
      <c r="M89" s="884"/>
      <c r="N89" s="884"/>
      <c r="O89" s="884"/>
      <c r="P89" s="884"/>
      <c r="Q89" s="884"/>
      <c r="R89" s="884"/>
      <c r="S89" s="884"/>
      <c r="T89" s="884"/>
      <c r="U89" s="884"/>
      <c r="V89" s="884"/>
      <c r="W89" s="884"/>
      <c r="X89" s="884"/>
    </row>
    <row r="90" spans="2:24" s="885" customFormat="1" hidden="1" outlineLevel="1" x14ac:dyDescent="0.2">
      <c r="B90" s="884"/>
      <c r="C90" s="880">
        <f>'Perdas por Mastite'!D19</f>
        <v>0</v>
      </c>
      <c r="D90" s="880" t="s">
        <v>250</v>
      </c>
      <c r="E90" s="884"/>
      <c r="F90" s="884"/>
      <c r="G90" s="884"/>
      <c r="H90" s="884"/>
      <c r="I90" s="884"/>
      <c r="J90" s="884"/>
      <c r="K90" s="884"/>
      <c r="L90" s="884"/>
      <c r="M90" s="884"/>
      <c r="N90" s="884"/>
      <c r="O90" s="884"/>
      <c r="P90" s="884"/>
      <c r="Q90" s="884"/>
      <c r="R90" s="884"/>
      <c r="S90" s="884"/>
      <c r="T90" s="884"/>
      <c r="U90" s="884"/>
      <c r="V90" s="884"/>
      <c r="W90" s="884"/>
      <c r="X90" s="884"/>
    </row>
    <row r="91" spans="2:24" s="885" customFormat="1" hidden="1" outlineLevel="1" x14ac:dyDescent="0.2">
      <c r="B91" s="884"/>
      <c r="C91" s="880">
        <f>'Perdas por Mastite'!D29</f>
        <v>0</v>
      </c>
      <c r="D91" s="880" t="s">
        <v>251</v>
      </c>
      <c r="E91" s="884"/>
      <c r="F91" s="884"/>
      <c r="G91" s="884"/>
      <c r="H91" s="884"/>
      <c r="I91" s="880"/>
      <c r="J91" s="884"/>
      <c r="K91" s="884"/>
      <c r="L91" s="884"/>
      <c r="M91" s="884"/>
      <c r="N91" s="884"/>
      <c r="O91" s="884"/>
      <c r="P91" s="884"/>
      <c r="Q91" s="884"/>
      <c r="R91" s="884"/>
      <c r="S91" s="884"/>
      <c r="T91" s="884"/>
      <c r="U91" s="884"/>
      <c r="V91" s="884"/>
      <c r="W91" s="884"/>
      <c r="X91" s="884"/>
    </row>
    <row r="92" spans="2:24" s="885" customFormat="1" hidden="1" outlineLevel="1" x14ac:dyDescent="0.2">
      <c r="B92" s="884"/>
      <c r="C92" s="880">
        <v>100</v>
      </c>
      <c r="D92" s="880" t="s">
        <v>512</v>
      </c>
      <c r="E92" s="884"/>
      <c r="F92" s="884"/>
      <c r="G92" s="884"/>
      <c r="H92" s="884"/>
      <c r="I92" s="884"/>
      <c r="J92" s="884"/>
      <c r="K92" s="884"/>
      <c r="L92" s="884"/>
      <c r="M92" s="884"/>
      <c r="N92" s="884"/>
      <c r="O92" s="884"/>
      <c r="P92" s="884"/>
      <c r="Q92" s="884"/>
      <c r="R92" s="884"/>
      <c r="S92" s="884"/>
      <c r="T92" s="884"/>
      <c r="U92" s="884"/>
      <c r="V92" s="884"/>
      <c r="W92" s="884"/>
      <c r="X92" s="884"/>
    </row>
    <row r="93" spans="2:24" s="885" customFormat="1" hidden="1" outlineLevel="1" x14ac:dyDescent="0.2">
      <c r="B93" s="884"/>
      <c r="C93" s="880"/>
      <c r="D93" s="880"/>
      <c r="E93" s="884"/>
      <c r="F93" s="884"/>
      <c r="G93" s="884"/>
      <c r="H93" s="884"/>
      <c r="I93" s="884"/>
      <c r="J93" s="884"/>
      <c r="K93" s="884"/>
      <c r="L93" s="884"/>
      <c r="M93" s="884"/>
      <c r="N93" s="884"/>
      <c r="O93" s="884"/>
      <c r="P93" s="884"/>
      <c r="Q93" s="884"/>
      <c r="R93" s="884"/>
      <c r="S93" s="884"/>
      <c r="T93" s="884"/>
      <c r="U93" s="884"/>
      <c r="V93" s="884"/>
      <c r="W93" s="884"/>
      <c r="X93" s="884"/>
    </row>
    <row r="94" spans="2:24" s="885" customFormat="1" hidden="1" outlineLevel="1" x14ac:dyDescent="0.2">
      <c r="B94" s="884"/>
      <c r="C94" s="884"/>
      <c r="D94" s="884"/>
      <c r="E94" s="884"/>
      <c r="F94" s="884"/>
      <c r="G94" s="884"/>
      <c r="H94" s="884"/>
      <c r="I94" s="884"/>
      <c r="J94" s="884"/>
      <c r="K94" s="884"/>
      <c r="L94" s="884"/>
      <c r="M94" s="884"/>
      <c r="N94" s="884"/>
      <c r="O94" s="884"/>
      <c r="P94" s="884"/>
      <c r="Q94" s="884"/>
      <c r="R94" s="884"/>
      <c r="S94" s="884"/>
      <c r="T94" s="884"/>
      <c r="U94" s="884"/>
      <c r="V94" s="884"/>
      <c r="W94" s="884"/>
      <c r="X94" s="884"/>
    </row>
    <row r="95" spans="2:24" s="885" customFormat="1" hidden="1" outlineLevel="1" x14ac:dyDescent="0.2">
      <c r="B95" s="886" t="s">
        <v>252</v>
      </c>
      <c r="C95" s="886"/>
      <c r="D95" s="884"/>
      <c r="E95" s="878"/>
      <c r="F95" s="884"/>
      <c r="G95" s="884"/>
      <c r="H95" s="884"/>
      <c r="I95" s="884"/>
      <c r="J95" s="878"/>
      <c r="K95" s="878"/>
      <c r="L95" s="878"/>
      <c r="M95" s="878"/>
      <c r="N95" s="878"/>
      <c r="O95" s="878"/>
      <c r="P95" s="878"/>
      <c r="Q95" s="878"/>
      <c r="R95" s="878"/>
      <c r="S95" s="878"/>
      <c r="T95" s="878"/>
      <c r="U95" s="878"/>
      <c r="V95" s="878"/>
      <c r="W95" s="878"/>
      <c r="X95" s="878"/>
    </row>
    <row r="96" spans="2:24" s="885" customFormat="1" hidden="1" outlineLevel="1" x14ac:dyDescent="0.2">
      <c r="B96" s="878" t="s">
        <v>253</v>
      </c>
      <c r="C96" s="878" t="s">
        <v>253</v>
      </c>
      <c r="D96" s="878" t="s">
        <v>254</v>
      </c>
      <c r="E96" s="878" t="s">
        <v>255</v>
      </c>
      <c r="F96" s="878" t="s">
        <v>256</v>
      </c>
      <c r="G96" s="878"/>
      <c r="H96" s="878"/>
      <c r="I96" s="878" t="s">
        <v>257</v>
      </c>
      <c r="J96" s="878">
        <v>180</v>
      </c>
      <c r="K96" s="878">
        <v>400</v>
      </c>
      <c r="L96" s="878" t="s">
        <v>258</v>
      </c>
      <c r="M96" s="878">
        <v>150</v>
      </c>
      <c r="N96" s="878">
        <v>200</v>
      </c>
      <c r="O96" s="878">
        <f>N96+50</f>
        <v>250</v>
      </c>
      <c r="P96" s="878">
        <f t="shared" ref="P96:X96" si="0">O96+50</f>
        <v>300</v>
      </c>
      <c r="Q96" s="878">
        <f t="shared" si="0"/>
        <v>350</v>
      </c>
      <c r="R96" s="878">
        <f t="shared" si="0"/>
        <v>400</v>
      </c>
      <c r="S96" s="878">
        <f t="shared" si="0"/>
        <v>450</v>
      </c>
      <c r="T96" s="878">
        <f t="shared" si="0"/>
        <v>500</v>
      </c>
      <c r="U96" s="878">
        <f t="shared" si="0"/>
        <v>550</v>
      </c>
      <c r="V96" s="878">
        <f t="shared" si="0"/>
        <v>600</v>
      </c>
      <c r="W96" s="878">
        <f t="shared" si="0"/>
        <v>650</v>
      </c>
      <c r="X96" s="878">
        <f t="shared" si="0"/>
        <v>700</v>
      </c>
    </row>
    <row r="97" spans="2:24" s="885" customFormat="1" hidden="1" outlineLevel="1" x14ac:dyDescent="0.2">
      <c r="B97" s="887" t="e">
        <f t="shared" ref="B97:B106" si="1">$C$92*D97*C97</f>
        <v>#N/A</v>
      </c>
      <c r="C97" s="888">
        <f>C122/2.2</f>
        <v>0</v>
      </c>
      <c r="D97" s="882" t="e">
        <f>F97-E97</f>
        <v>#N/A</v>
      </c>
      <c r="E97" s="882" t="e">
        <f>HLOOKUP($C$90,$M$96:$X$106,2)</f>
        <v>#N/A</v>
      </c>
      <c r="F97" s="882" t="e">
        <f>HLOOKUP($C$91,$M$96:$X$106,2)</f>
        <v>#N/A</v>
      </c>
      <c r="G97" s="882"/>
      <c r="H97" s="882"/>
      <c r="I97" s="880">
        <v>0</v>
      </c>
      <c r="J97" s="881">
        <v>0.14101893770324556</v>
      </c>
      <c r="K97" s="881">
        <v>5.9701492537313432E-2</v>
      </c>
      <c r="L97" s="879">
        <f>(K97-J97)/220</f>
        <v>-3.6962475075423692E-4</v>
      </c>
      <c r="M97" s="882">
        <f t="shared" ref="M97:X106" si="2">$J97+(M$96-180)*$L97</f>
        <v>0.15210768022587268</v>
      </c>
      <c r="N97" s="882">
        <f t="shared" si="2"/>
        <v>0.13362644268816082</v>
      </c>
      <c r="O97" s="882">
        <f t="shared" si="2"/>
        <v>0.11514520515044897</v>
      </c>
      <c r="P97" s="882">
        <f t="shared" si="2"/>
        <v>9.6663967612737128E-2</v>
      </c>
      <c r="Q97" s="882">
        <f t="shared" si="2"/>
        <v>7.8182730075025283E-2</v>
      </c>
      <c r="R97" s="882">
        <f t="shared" si="2"/>
        <v>5.9701492537313439E-2</v>
      </c>
      <c r="S97" s="882">
        <f t="shared" si="2"/>
        <v>4.1220254999601594E-2</v>
      </c>
      <c r="T97" s="882">
        <f t="shared" si="2"/>
        <v>2.2739017461889749E-2</v>
      </c>
      <c r="U97" s="882">
        <f t="shared" si="2"/>
        <v>4.2577799241778902E-3</v>
      </c>
      <c r="V97" s="882">
        <f t="shared" si="2"/>
        <v>-1.4223457613533941E-2</v>
      </c>
      <c r="W97" s="882">
        <f t="shared" si="2"/>
        <v>-3.27046951512458E-2</v>
      </c>
      <c r="X97" s="882">
        <f t="shared" si="2"/>
        <v>-5.118593268895763E-2</v>
      </c>
    </row>
    <row r="98" spans="2:24" s="885" customFormat="1" hidden="1" outlineLevel="1" x14ac:dyDescent="0.2">
      <c r="B98" s="887" t="e">
        <f t="shared" si="1"/>
        <v>#N/A</v>
      </c>
      <c r="C98" s="888">
        <f t="shared" ref="C98:C106" si="3">C123/2.2</f>
        <v>0</v>
      </c>
      <c r="D98" s="882" t="e">
        <f t="shared" ref="D98:D106" si="4">F98-E98</f>
        <v>#N/A</v>
      </c>
      <c r="E98" s="882" t="e">
        <f>HLOOKUP($C$90,$M$96:$X$106,3)</f>
        <v>#N/A</v>
      </c>
      <c r="F98" s="882" t="e">
        <f>HLOOKUP($C$91,$M$96:$X$106,3)</f>
        <v>#N/A</v>
      </c>
      <c r="G98" s="882"/>
      <c r="H98" s="882"/>
      <c r="I98" s="880">
        <v>1</v>
      </c>
      <c r="J98" s="881">
        <v>0.221</v>
      </c>
      <c r="K98" s="881">
        <v>0.13432835820895522</v>
      </c>
      <c r="L98" s="879">
        <f t="shared" ref="L98:L106" si="5">(K98-J98)/220</f>
        <v>-3.9396200814111266E-4</v>
      </c>
      <c r="M98" s="882">
        <f t="shared" si="2"/>
        <v>0.23281886024423337</v>
      </c>
      <c r="N98" s="882">
        <f t="shared" si="2"/>
        <v>0.21312075983717774</v>
      </c>
      <c r="O98" s="882">
        <f t="shared" si="2"/>
        <v>0.1934226594301221</v>
      </c>
      <c r="P98" s="882">
        <f t="shared" si="2"/>
        <v>0.17372455902306649</v>
      </c>
      <c r="Q98" s="882">
        <f t="shared" si="2"/>
        <v>0.15402645861601083</v>
      </c>
      <c r="R98" s="882">
        <f t="shared" si="2"/>
        <v>0.13432835820895522</v>
      </c>
      <c r="S98" s="882">
        <f t="shared" si="2"/>
        <v>0.11463025780189959</v>
      </c>
      <c r="T98" s="882">
        <f t="shared" si="2"/>
        <v>9.4932157394843952E-2</v>
      </c>
      <c r="U98" s="882">
        <f t="shared" si="2"/>
        <v>7.5234056987788317E-2</v>
      </c>
      <c r="V98" s="882">
        <f t="shared" si="2"/>
        <v>5.5535956580732682E-2</v>
      </c>
      <c r="W98" s="882">
        <f t="shared" si="2"/>
        <v>3.5837856173677046E-2</v>
      </c>
      <c r="X98" s="882">
        <f t="shared" si="2"/>
        <v>1.6139755766621411E-2</v>
      </c>
    </row>
    <row r="99" spans="2:24" s="885" customFormat="1" hidden="1" outlineLevel="1" x14ac:dyDescent="0.2">
      <c r="B99" s="887" t="e">
        <f t="shared" si="1"/>
        <v>#N/A</v>
      </c>
      <c r="C99" s="888">
        <f t="shared" si="3"/>
        <v>0</v>
      </c>
      <c r="D99" s="882" t="e">
        <f t="shared" si="4"/>
        <v>#N/A</v>
      </c>
      <c r="E99" s="882" t="e">
        <f>HLOOKUP($C$90,$M$96:$X$106,4)</f>
        <v>#N/A</v>
      </c>
      <c r="F99" s="882" t="e">
        <f>HLOOKUP($C$91,$M$96:$X$106,4)</f>
        <v>#N/A</v>
      </c>
      <c r="G99" s="882"/>
      <c r="H99" s="882"/>
      <c r="I99" s="880">
        <v>2</v>
      </c>
      <c r="J99" s="881">
        <v>0.215</v>
      </c>
      <c r="K99" s="881">
        <v>0.17910447761194029</v>
      </c>
      <c r="L99" s="879">
        <f t="shared" si="5"/>
        <v>-1.631614654002714E-4</v>
      </c>
      <c r="M99" s="882">
        <f t="shared" si="2"/>
        <v>0.21989484396200815</v>
      </c>
      <c r="N99" s="882">
        <f t="shared" si="2"/>
        <v>0.21173677069199456</v>
      </c>
      <c r="O99" s="882">
        <f t="shared" si="2"/>
        <v>0.20357869742198101</v>
      </c>
      <c r="P99" s="882">
        <f t="shared" si="2"/>
        <v>0.19542062415196743</v>
      </c>
      <c r="Q99" s="882">
        <f t="shared" si="2"/>
        <v>0.18726255088195387</v>
      </c>
      <c r="R99" s="882">
        <f t="shared" si="2"/>
        <v>0.17910447761194029</v>
      </c>
      <c r="S99" s="882">
        <f t="shared" si="2"/>
        <v>0.17094640434192671</v>
      </c>
      <c r="T99" s="882">
        <f t="shared" si="2"/>
        <v>0.16278833107191315</v>
      </c>
      <c r="U99" s="882">
        <f t="shared" si="2"/>
        <v>0.1546302578018996</v>
      </c>
      <c r="V99" s="882">
        <f t="shared" si="2"/>
        <v>0.14647218453188601</v>
      </c>
      <c r="W99" s="882">
        <f t="shared" si="2"/>
        <v>0.13831411126187243</v>
      </c>
      <c r="X99" s="882">
        <f t="shared" si="2"/>
        <v>0.13015603799185888</v>
      </c>
    </row>
    <row r="100" spans="2:24" s="885" customFormat="1" hidden="1" outlineLevel="1" x14ac:dyDescent="0.2">
      <c r="B100" s="889" t="e">
        <f t="shared" si="1"/>
        <v>#N/A</v>
      </c>
      <c r="C100" s="888">
        <f t="shared" si="3"/>
        <v>0.59090909090909083</v>
      </c>
      <c r="D100" s="882" t="e">
        <f t="shared" si="4"/>
        <v>#N/A</v>
      </c>
      <c r="E100" s="882" t="e">
        <f>HLOOKUP($C$90,$M$96:$X$106,5)</f>
        <v>#N/A</v>
      </c>
      <c r="F100" s="882" t="e">
        <f>HLOOKUP($C$91,$M$96:$X$106,5)</f>
        <v>#N/A</v>
      </c>
      <c r="G100" s="882"/>
      <c r="H100" s="882"/>
      <c r="I100" s="880">
        <v>3</v>
      </c>
      <c r="J100" s="881">
        <v>0.16</v>
      </c>
      <c r="K100" s="881">
        <v>0.16417910447761194</v>
      </c>
      <c r="L100" s="879">
        <f t="shared" si="5"/>
        <v>1.8995929443690632E-5</v>
      </c>
      <c r="M100" s="882">
        <f t="shared" si="2"/>
        <v>0.15943012211668928</v>
      </c>
      <c r="N100" s="882">
        <f t="shared" si="2"/>
        <v>0.16037991858887382</v>
      </c>
      <c r="O100" s="882">
        <f t="shared" si="2"/>
        <v>0.16132971506105834</v>
      </c>
      <c r="P100" s="882">
        <f t="shared" si="2"/>
        <v>0.16227951153324288</v>
      </c>
      <c r="Q100" s="882">
        <f t="shared" si="2"/>
        <v>0.1632293080054274</v>
      </c>
      <c r="R100" s="882">
        <f t="shared" si="2"/>
        <v>0.16417910447761194</v>
      </c>
      <c r="S100" s="882">
        <f t="shared" si="2"/>
        <v>0.16512890094979649</v>
      </c>
      <c r="T100" s="882">
        <f t="shared" si="2"/>
        <v>0.166078697421981</v>
      </c>
      <c r="U100" s="882">
        <f t="shared" si="2"/>
        <v>0.16702849389416555</v>
      </c>
      <c r="V100" s="882">
        <f t="shared" si="2"/>
        <v>0.16797829036635006</v>
      </c>
      <c r="W100" s="882">
        <f t="shared" si="2"/>
        <v>0.16892808683853461</v>
      </c>
      <c r="X100" s="882">
        <f t="shared" si="2"/>
        <v>0.16987788331071912</v>
      </c>
    </row>
    <row r="101" spans="2:24" s="885" customFormat="1" hidden="1" outlineLevel="1" x14ac:dyDescent="0.2">
      <c r="B101" s="889" t="e">
        <f t="shared" si="1"/>
        <v>#N/A</v>
      </c>
      <c r="C101" s="888">
        <f t="shared" si="3"/>
        <v>1.1818181818181817</v>
      </c>
      <c r="D101" s="882" t="e">
        <f t="shared" si="4"/>
        <v>#N/A</v>
      </c>
      <c r="E101" s="882" t="e">
        <f>HLOOKUP($C$90,$M$96:$X$106,6)</f>
        <v>#N/A</v>
      </c>
      <c r="F101" s="882" t="e">
        <f>HLOOKUP($C$91,$M$96:$X$106,6)</f>
        <v>#N/A</v>
      </c>
      <c r="G101" s="882"/>
      <c r="H101" s="882"/>
      <c r="I101" s="880">
        <v>4</v>
      </c>
      <c r="J101" s="881">
        <v>0.112</v>
      </c>
      <c r="K101" s="881">
        <v>0.14925373134328357</v>
      </c>
      <c r="L101" s="879">
        <f t="shared" si="5"/>
        <v>1.6933514246947077E-4</v>
      </c>
      <c r="M101" s="882">
        <f t="shared" si="2"/>
        <v>0.10691994572591589</v>
      </c>
      <c r="N101" s="882">
        <f t="shared" si="2"/>
        <v>0.11538670284938941</v>
      </c>
      <c r="O101" s="882">
        <f t="shared" si="2"/>
        <v>0.12385345997286296</v>
      </c>
      <c r="P101" s="882">
        <f t="shared" si="2"/>
        <v>0.13232021709633648</v>
      </c>
      <c r="Q101" s="882">
        <f t="shared" si="2"/>
        <v>0.14078697421981004</v>
      </c>
      <c r="R101" s="882">
        <f t="shared" si="2"/>
        <v>0.14925373134328357</v>
      </c>
      <c r="S101" s="882">
        <f t="shared" si="2"/>
        <v>0.15772048846675712</v>
      </c>
      <c r="T101" s="882">
        <f t="shared" si="2"/>
        <v>0.16618724559023065</v>
      </c>
      <c r="U101" s="882">
        <f t="shared" si="2"/>
        <v>0.17465400271370418</v>
      </c>
      <c r="V101" s="882">
        <f t="shared" si="2"/>
        <v>0.18312075983717774</v>
      </c>
      <c r="W101" s="882">
        <f t="shared" si="2"/>
        <v>0.19158751696065127</v>
      </c>
      <c r="X101" s="882">
        <f t="shared" si="2"/>
        <v>0.20005427408412479</v>
      </c>
    </row>
    <row r="102" spans="2:24" s="885" customFormat="1" hidden="1" outlineLevel="1" x14ac:dyDescent="0.2">
      <c r="B102" s="889" t="e">
        <f t="shared" si="1"/>
        <v>#N/A</v>
      </c>
      <c r="C102" s="888">
        <f t="shared" si="3"/>
        <v>1.7727272727272725</v>
      </c>
      <c r="D102" s="882" t="e">
        <f t="shared" si="4"/>
        <v>#N/A</v>
      </c>
      <c r="E102" s="882" t="e">
        <f>HLOOKUP($C$90,$M$96:$X$106,7)</f>
        <v>#N/A</v>
      </c>
      <c r="F102" s="882" t="e">
        <f>HLOOKUP($C$91,$M$96:$X$106,7)</f>
        <v>#N/A</v>
      </c>
      <c r="G102" s="882"/>
      <c r="H102" s="882"/>
      <c r="I102" s="880">
        <v>5</v>
      </c>
      <c r="J102" s="881">
        <v>7.0999999999999994E-2</v>
      </c>
      <c r="K102" s="881">
        <v>0.11940298507462686</v>
      </c>
      <c r="L102" s="879">
        <f t="shared" si="5"/>
        <v>2.2001356852103122E-4</v>
      </c>
      <c r="M102" s="882">
        <f t="shared" si="2"/>
        <v>6.4399592944369061E-2</v>
      </c>
      <c r="N102" s="882">
        <f t="shared" si="2"/>
        <v>7.5400271370420616E-2</v>
      </c>
      <c r="O102" s="882">
        <f t="shared" si="2"/>
        <v>8.6400949796472185E-2</v>
      </c>
      <c r="P102" s="882">
        <f t="shared" si="2"/>
        <v>9.740162822252374E-2</v>
      </c>
      <c r="Q102" s="882">
        <f t="shared" si="2"/>
        <v>0.10840230664857531</v>
      </c>
      <c r="R102" s="882">
        <f t="shared" si="2"/>
        <v>0.11940298507462686</v>
      </c>
      <c r="S102" s="882">
        <f t="shared" si="2"/>
        <v>0.13040366350067842</v>
      </c>
      <c r="T102" s="882">
        <f t="shared" si="2"/>
        <v>0.14140434192672999</v>
      </c>
      <c r="U102" s="882">
        <f t="shared" si="2"/>
        <v>0.15240502035278153</v>
      </c>
      <c r="V102" s="882">
        <f t="shared" si="2"/>
        <v>0.1634056987788331</v>
      </c>
      <c r="W102" s="882">
        <f t="shared" si="2"/>
        <v>0.17440637720488467</v>
      </c>
      <c r="X102" s="882">
        <f t="shared" si="2"/>
        <v>0.18540705563093623</v>
      </c>
    </row>
    <row r="103" spans="2:24" s="885" customFormat="1" hidden="1" outlineLevel="1" x14ac:dyDescent="0.2">
      <c r="B103" s="889" t="e">
        <f t="shared" si="1"/>
        <v>#N/A</v>
      </c>
      <c r="C103" s="888">
        <f t="shared" si="3"/>
        <v>2.3636363636363633</v>
      </c>
      <c r="D103" s="882" t="e">
        <f t="shared" si="4"/>
        <v>#N/A</v>
      </c>
      <c r="E103" s="882" t="e">
        <f>HLOOKUP($C$90,$M$96:$X$106,8)</f>
        <v>#N/A</v>
      </c>
      <c r="F103" s="882" t="e">
        <f>HLOOKUP($C$91,$M$96:$X$106,8)</f>
        <v>#N/A</v>
      </c>
      <c r="G103" s="882"/>
      <c r="H103" s="882"/>
      <c r="I103" s="880">
        <v>6</v>
      </c>
      <c r="J103" s="881">
        <v>4.2999999999999997E-2</v>
      </c>
      <c r="K103" s="881">
        <v>8.9552238805970144E-2</v>
      </c>
      <c r="L103" s="879">
        <f t="shared" si="5"/>
        <v>2.1160108548168248E-4</v>
      </c>
      <c r="M103" s="882">
        <f t="shared" si="2"/>
        <v>3.6651967435549521E-2</v>
      </c>
      <c r="N103" s="882">
        <f t="shared" si="2"/>
        <v>4.7232021709633643E-2</v>
      </c>
      <c r="O103" s="882">
        <f t="shared" si="2"/>
        <v>5.7812075983717771E-2</v>
      </c>
      <c r="P103" s="882">
        <f t="shared" si="2"/>
        <v>6.8392130257801886E-2</v>
      </c>
      <c r="Q103" s="882">
        <f t="shared" si="2"/>
        <v>7.8972184531886008E-2</v>
      </c>
      <c r="R103" s="882">
        <f t="shared" si="2"/>
        <v>8.9552238805970144E-2</v>
      </c>
      <c r="S103" s="882">
        <f t="shared" si="2"/>
        <v>0.10013229308005427</v>
      </c>
      <c r="T103" s="882">
        <f t="shared" si="2"/>
        <v>0.11071234735413839</v>
      </c>
      <c r="U103" s="882">
        <f t="shared" si="2"/>
        <v>0.12129240162822251</v>
      </c>
      <c r="V103" s="882">
        <f t="shared" si="2"/>
        <v>0.13187245590230662</v>
      </c>
      <c r="W103" s="882">
        <f t="shared" si="2"/>
        <v>0.14245251017639077</v>
      </c>
      <c r="X103" s="882">
        <f t="shared" si="2"/>
        <v>0.15303256445047489</v>
      </c>
    </row>
    <row r="104" spans="2:24" s="885" customFormat="1" hidden="1" outlineLevel="1" x14ac:dyDescent="0.2">
      <c r="B104" s="889" t="e">
        <f t="shared" si="1"/>
        <v>#N/A</v>
      </c>
      <c r="C104" s="888">
        <f t="shared" si="3"/>
        <v>2.9999999999999996</v>
      </c>
      <c r="D104" s="882" t="e">
        <f t="shared" si="4"/>
        <v>#N/A</v>
      </c>
      <c r="E104" s="882" t="e">
        <f>HLOOKUP($C$90,$M$96:$X$106,9)</f>
        <v>#N/A</v>
      </c>
      <c r="F104" s="882" t="e">
        <f>HLOOKUP($C$91,$M$96:$X$106,9)</f>
        <v>#N/A</v>
      </c>
      <c r="G104" s="882"/>
      <c r="H104" s="882"/>
      <c r="I104" s="880">
        <v>7</v>
      </c>
      <c r="J104" s="881">
        <v>2.3E-2</v>
      </c>
      <c r="K104" s="881">
        <v>5.9701492537313432E-2</v>
      </c>
      <c r="L104" s="879">
        <f t="shared" si="5"/>
        <v>1.6682496607869741E-4</v>
      </c>
      <c r="M104" s="882">
        <f t="shared" si="2"/>
        <v>1.7995251017639078E-2</v>
      </c>
      <c r="N104" s="882">
        <f t="shared" si="2"/>
        <v>2.6336499321573947E-2</v>
      </c>
      <c r="O104" s="882">
        <f t="shared" si="2"/>
        <v>3.467774762550882E-2</v>
      </c>
      <c r="P104" s="882">
        <f t="shared" si="2"/>
        <v>4.3018995929443693E-2</v>
      </c>
      <c r="Q104" s="882">
        <f t="shared" si="2"/>
        <v>5.1360244233378559E-2</v>
      </c>
      <c r="R104" s="882">
        <f t="shared" si="2"/>
        <v>5.9701492537313432E-2</v>
      </c>
      <c r="S104" s="882">
        <f t="shared" si="2"/>
        <v>6.8042740841248311E-2</v>
      </c>
      <c r="T104" s="882">
        <f t="shared" si="2"/>
        <v>7.638398914518317E-2</v>
      </c>
      <c r="U104" s="882">
        <f t="shared" si="2"/>
        <v>8.4725237449118043E-2</v>
      </c>
      <c r="V104" s="882">
        <f t="shared" si="2"/>
        <v>9.3066485753052902E-2</v>
      </c>
      <c r="W104" s="882">
        <f t="shared" si="2"/>
        <v>0.10140773405698777</v>
      </c>
      <c r="X104" s="882">
        <f t="shared" si="2"/>
        <v>0.10974898236092265</v>
      </c>
    </row>
    <row r="105" spans="2:24" s="885" customFormat="1" hidden="1" outlineLevel="1" x14ac:dyDescent="0.2">
      <c r="B105" s="889" t="e">
        <f t="shared" si="1"/>
        <v>#N/A</v>
      </c>
      <c r="C105" s="888">
        <f t="shared" si="3"/>
        <v>3.5909090909090908</v>
      </c>
      <c r="D105" s="882" t="e">
        <f t="shared" si="4"/>
        <v>#N/A</v>
      </c>
      <c r="E105" s="882" t="e">
        <f>HLOOKUP($C$90,$M$96:$X$106,10)</f>
        <v>#N/A</v>
      </c>
      <c r="F105" s="882" t="e">
        <f>HLOOKUP($C$91,$M$96:$X$106,10)</f>
        <v>#N/A</v>
      </c>
      <c r="G105" s="882"/>
      <c r="H105" s="882"/>
      <c r="I105" s="880">
        <v>8</v>
      </c>
      <c r="J105" s="881">
        <v>1.0999999999999999E-2</v>
      </c>
      <c r="K105" s="881">
        <v>2.9850746268656716E-2</v>
      </c>
      <c r="L105" s="879">
        <f t="shared" si="5"/>
        <v>8.5685210312075986E-5</v>
      </c>
      <c r="M105" s="882">
        <f t="shared" si="2"/>
        <v>8.4294436906377189E-3</v>
      </c>
      <c r="N105" s="882">
        <f t="shared" si="2"/>
        <v>1.271370420624152E-2</v>
      </c>
      <c r="O105" s="882">
        <f t="shared" si="2"/>
        <v>1.6997964721845317E-2</v>
      </c>
      <c r="P105" s="882">
        <f t="shared" si="2"/>
        <v>2.1282225237449118E-2</v>
      </c>
      <c r="Q105" s="882">
        <f t="shared" si="2"/>
        <v>2.5566485753052919E-2</v>
      </c>
      <c r="R105" s="882">
        <f t="shared" si="2"/>
        <v>2.9850746268656716E-2</v>
      </c>
      <c r="S105" s="882">
        <f t="shared" si="2"/>
        <v>3.4135006784260513E-2</v>
      </c>
      <c r="T105" s="882">
        <f t="shared" si="2"/>
        <v>3.8419267299864314E-2</v>
      </c>
      <c r="U105" s="882">
        <f t="shared" si="2"/>
        <v>4.2703527815468115E-2</v>
      </c>
      <c r="V105" s="882">
        <f t="shared" si="2"/>
        <v>4.6987788331071909E-2</v>
      </c>
      <c r="W105" s="882">
        <f t="shared" si="2"/>
        <v>5.1272048846675716E-2</v>
      </c>
      <c r="X105" s="882">
        <f t="shared" si="2"/>
        <v>5.555630936227951E-2</v>
      </c>
    </row>
    <row r="106" spans="2:24" s="885" customFormat="1" hidden="1" outlineLevel="1" x14ac:dyDescent="0.2">
      <c r="B106" s="889" t="e">
        <f t="shared" si="1"/>
        <v>#N/A</v>
      </c>
      <c r="C106" s="888">
        <f t="shared" si="3"/>
        <v>4.1818181818181808</v>
      </c>
      <c r="D106" s="882" t="e">
        <f t="shared" si="4"/>
        <v>#N/A</v>
      </c>
      <c r="E106" s="882" t="e">
        <f>HLOOKUP($C$90,$M$96:$X$106,11)</f>
        <v>#N/A</v>
      </c>
      <c r="F106" s="882" t="e">
        <f>HLOOKUP($C$91,$M$96:$X$106,11)</f>
        <v>#N/A</v>
      </c>
      <c r="G106" s="882"/>
      <c r="H106" s="882"/>
      <c r="I106" s="880">
        <v>9</v>
      </c>
      <c r="J106" s="881">
        <v>5.0000000000000001E-3</v>
      </c>
      <c r="K106" s="881">
        <v>1.4925373134328358E-2</v>
      </c>
      <c r="L106" s="879">
        <f t="shared" si="5"/>
        <v>4.5115332428765265E-5</v>
      </c>
      <c r="M106" s="882">
        <f t="shared" si="2"/>
        <v>3.6465400271370419E-3</v>
      </c>
      <c r="N106" s="882">
        <f t="shared" si="2"/>
        <v>5.9023066485753058E-3</v>
      </c>
      <c r="O106" s="882">
        <f t="shared" si="2"/>
        <v>8.1580732700135689E-3</v>
      </c>
      <c r="P106" s="882">
        <f t="shared" si="2"/>
        <v>1.0413839891451832E-2</v>
      </c>
      <c r="Q106" s="882">
        <f t="shared" si="2"/>
        <v>1.2669606512890095E-2</v>
      </c>
      <c r="R106" s="882">
        <f t="shared" si="2"/>
        <v>1.492537313432836E-2</v>
      </c>
      <c r="S106" s="882">
        <f t="shared" si="2"/>
        <v>1.7181139755766621E-2</v>
      </c>
      <c r="T106" s="882">
        <f t="shared" si="2"/>
        <v>1.9436906377204886E-2</v>
      </c>
      <c r="U106" s="882">
        <f t="shared" si="2"/>
        <v>2.169267299864315E-2</v>
      </c>
      <c r="V106" s="882">
        <f t="shared" si="2"/>
        <v>2.3948439620081412E-2</v>
      </c>
      <c r="W106" s="882">
        <f t="shared" si="2"/>
        <v>2.6204206241519677E-2</v>
      </c>
      <c r="X106" s="882">
        <f t="shared" si="2"/>
        <v>2.8459972862957938E-2</v>
      </c>
    </row>
    <row r="107" spans="2:24" s="885" customFormat="1" hidden="1" outlineLevel="1" x14ac:dyDescent="0.2">
      <c r="B107" s="887" t="e">
        <f>SUM(B97:B106)</f>
        <v>#N/A</v>
      </c>
      <c r="C107" s="884"/>
      <c r="D107" s="890"/>
      <c r="E107" s="890"/>
      <c r="F107" s="890"/>
      <c r="G107" s="890"/>
      <c r="H107" s="890"/>
      <c r="I107" s="884"/>
      <c r="J107" s="884"/>
      <c r="K107" s="884"/>
      <c r="L107" s="884"/>
      <c r="M107" s="883">
        <f>SUM(M97:M106)</f>
        <v>1.0022942473900518</v>
      </c>
      <c r="N107" s="883">
        <f t="shared" ref="N107:X107" si="6">SUM(N97:N106)</f>
        <v>1.0018353979120413</v>
      </c>
      <c r="O107" s="883">
        <f t="shared" si="6"/>
        <v>1.0013765484340309</v>
      </c>
      <c r="P107" s="883">
        <f t="shared" si="6"/>
        <v>1.0009176989560207</v>
      </c>
      <c r="Q107" s="883">
        <f t="shared" si="6"/>
        <v>1.0004588494780102</v>
      </c>
      <c r="R107" s="883">
        <f t="shared" si="6"/>
        <v>1</v>
      </c>
      <c r="S107" s="883">
        <f t="shared" si="6"/>
        <v>0.99954115052198966</v>
      </c>
      <c r="T107" s="883">
        <f t="shared" si="6"/>
        <v>0.99908230104397933</v>
      </c>
      <c r="U107" s="883">
        <f t="shared" si="6"/>
        <v>0.9986234515659691</v>
      </c>
      <c r="V107" s="883">
        <f t="shared" si="6"/>
        <v>0.99816460208795843</v>
      </c>
      <c r="W107" s="883">
        <f t="shared" si="6"/>
        <v>0.99770575260994809</v>
      </c>
      <c r="X107" s="883">
        <f t="shared" si="6"/>
        <v>0.99724690313193787</v>
      </c>
    </row>
    <row r="108" spans="2:24" s="885" customFormat="1" hidden="1" outlineLevel="1" x14ac:dyDescent="0.2">
      <c r="B108" s="891"/>
      <c r="C108" s="884"/>
      <c r="D108" s="890"/>
      <c r="E108" s="890"/>
      <c r="F108" s="890"/>
      <c r="G108" s="890"/>
      <c r="H108" s="890"/>
      <c r="I108" s="884"/>
      <c r="J108" s="884"/>
      <c r="K108" s="884"/>
      <c r="L108" s="884"/>
      <c r="M108" s="882"/>
      <c r="N108" s="882"/>
      <c r="O108" s="882"/>
      <c r="P108" s="882"/>
      <c r="Q108" s="882"/>
      <c r="R108" s="882"/>
      <c r="S108" s="882"/>
      <c r="T108" s="882"/>
      <c r="U108" s="882"/>
      <c r="V108" s="882"/>
      <c r="W108" s="882"/>
      <c r="X108" s="882"/>
    </row>
    <row r="109" spans="2:24" s="885" customFormat="1" hidden="1" outlineLevel="1" x14ac:dyDescent="0.2">
      <c r="B109" s="878" t="s">
        <v>259</v>
      </c>
      <c r="C109" s="878"/>
      <c r="D109" s="892"/>
      <c r="E109" s="892"/>
      <c r="F109" s="892"/>
      <c r="G109" s="892"/>
      <c r="H109" s="892"/>
      <c r="I109" s="878"/>
      <c r="J109" s="878"/>
      <c r="K109" s="878"/>
      <c r="L109" s="878"/>
      <c r="M109" s="893"/>
      <c r="N109" s="893"/>
      <c r="O109" s="893"/>
      <c r="P109" s="893"/>
      <c r="Q109" s="893"/>
      <c r="R109" s="893"/>
      <c r="S109" s="893"/>
      <c r="T109" s="893"/>
      <c r="U109" s="893"/>
      <c r="V109" s="893"/>
      <c r="W109" s="893"/>
      <c r="X109" s="893"/>
    </row>
    <row r="110" spans="2:24" s="885" customFormat="1" hidden="1" outlineLevel="1" x14ac:dyDescent="0.2">
      <c r="B110" s="878" t="s">
        <v>253</v>
      </c>
      <c r="C110" s="878" t="s">
        <v>253</v>
      </c>
      <c r="D110" s="892" t="s">
        <v>254</v>
      </c>
      <c r="E110" s="892" t="s">
        <v>255</v>
      </c>
      <c r="F110" s="892" t="s">
        <v>256</v>
      </c>
      <c r="G110" s="892"/>
      <c r="H110" s="892"/>
      <c r="I110" s="878" t="s">
        <v>257</v>
      </c>
      <c r="J110" s="878">
        <v>180</v>
      </c>
      <c r="K110" s="878">
        <v>400</v>
      </c>
      <c r="L110" s="878" t="s">
        <v>258</v>
      </c>
      <c r="M110" s="894">
        <v>150</v>
      </c>
      <c r="N110" s="894">
        <v>200</v>
      </c>
      <c r="O110" s="894">
        <f>N110+50</f>
        <v>250</v>
      </c>
      <c r="P110" s="894">
        <f t="shared" ref="P110:X110" si="7">O110+50</f>
        <v>300</v>
      </c>
      <c r="Q110" s="894">
        <f t="shared" si="7"/>
        <v>350</v>
      </c>
      <c r="R110" s="894">
        <f t="shared" si="7"/>
        <v>400</v>
      </c>
      <c r="S110" s="894">
        <f t="shared" si="7"/>
        <v>450</v>
      </c>
      <c r="T110" s="894">
        <f t="shared" si="7"/>
        <v>500</v>
      </c>
      <c r="U110" s="894">
        <f t="shared" si="7"/>
        <v>550</v>
      </c>
      <c r="V110" s="894">
        <f t="shared" si="7"/>
        <v>600</v>
      </c>
      <c r="W110" s="894">
        <f t="shared" si="7"/>
        <v>650</v>
      </c>
      <c r="X110" s="894">
        <f t="shared" si="7"/>
        <v>700</v>
      </c>
    </row>
    <row r="111" spans="2:24" s="885" customFormat="1" hidden="1" outlineLevel="1" x14ac:dyDescent="0.2">
      <c r="B111" s="887" t="e">
        <f>$C$92*D111*C111</f>
        <v>#N/A</v>
      </c>
      <c r="C111" s="888">
        <f>D122/2.2</f>
        <v>0</v>
      </c>
      <c r="D111" s="882" t="e">
        <f>F111-E111</f>
        <v>#N/A</v>
      </c>
      <c r="E111" s="882" t="e">
        <f>HLOOKUP($C$90,$M$110:$X$120,2)</f>
        <v>#N/A</v>
      </c>
      <c r="F111" s="882" t="e">
        <f>HLOOKUP($C$91,$M$110:$X$120,2)</f>
        <v>#N/A</v>
      </c>
      <c r="G111" s="882"/>
      <c r="H111" s="882"/>
      <c r="I111" s="880">
        <v>0</v>
      </c>
      <c r="J111" s="881">
        <v>0.14199999999999999</v>
      </c>
      <c r="K111" s="881">
        <v>5.8823529411764705E-2</v>
      </c>
      <c r="L111" s="879">
        <f>(K111-J111)/220</f>
        <v>-3.7807486631016038E-4</v>
      </c>
      <c r="M111" s="882">
        <f t="shared" ref="M111:X120" si="8">$J111+(M$110-180)*$L111</f>
        <v>0.15334224598930479</v>
      </c>
      <c r="N111" s="882">
        <f t="shared" si="8"/>
        <v>0.13443850267379678</v>
      </c>
      <c r="O111" s="882">
        <f t="shared" si="8"/>
        <v>0.11553475935828876</v>
      </c>
      <c r="P111" s="882">
        <f t="shared" si="8"/>
        <v>9.6631016042780737E-2</v>
      </c>
      <c r="Q111" s="882">
        <f t="shared" si="8"/>
        <v>7.7727272727272728E-2</v>
      </c>
      <c r="R111" s="882">
        <f t="shared" si="8"/>
        <v>5.8823529411764705E-2</v>
      </c>
      <c r="S111" s="882">
        <f t="shared" si="8"/>
        <v>3.9919786096256682E-2</v>
      </c>
      <c r="T111" s="882">
        <f t="shared" si="8"/>
        <v>2.1016042780748673E-2</v>
      </c>
      <c r="U111" s="882">
        <f t="shared" si="8"/>
        <v>2.1122994652406357E-3</v>
      </c>
      <c r="V111" s="882">
        <f t="shared" si="8"/>
        <v>-1.6791443850267374E-2</v>
      </c>
      <c r="W111" s="882">
        <f t="shared" si="8"/>
        <v>-3.5695187165775383E-2</v>
      </c>
      <c r="X111" s="882">
        <f t="shared" si="8"/>
        <v>-5.459893048128342E-2</v>
      </c>
    </row>
    <row r="112" spans="2:24" s="885" customFormat="1" hidden="1" outlineLevel="1" x14ac:dyDescent="0.2">
      <c r="B112" s="887" t="e">
        <f t="shared" ref="B112:B120" si="9">$C$92*D112*C112</f>
        <v>#N/A</v>
      </c>
      <c r="C112" s="888">
        <f t="shared" ref="C112:C120" si="10">D123/2.2</f>
        <v>0</v>
      </c>
      <c r="D112" s="882" t="e">
        <f t="shared" ref="D112:D120" si="11">F112-E112</f>
        <v>#N/A</v>
      </c>
      <c r="E112" s="882" t="e">
        <f>HLOOKUP($C$90,$M$110:$X$120,3)</f>
        <v>#N/A</v>
      </c>
      <c r="F112" s="882" t="e">
        <f>HLOOKUP($C$91,$M$110:$X$120,3)</f>
        <v>#N/A</v>
      </c>
      <c r="G112" s="882"/>
      <c r="H112" s="882"/>
      <c r="I112" s="880">
        <v>1</v>
      </c>
      <c r="J112" s="881">
        <v>0.30099999999999999</v>
      </c>
      <c r="K112" s="881">
        <v>0.20588235294117646</v>
      </c>
      <c r="L112" s="879">
        <f t="shared" ref="L112:L120" si="12">(K112-J112)/220</f>
        <v>-4.3235294117647058E-4</v>
      </c>
      <c r="M112" s="882">
        <f t="shared" si="8"/>
        <v>0.31397058823529411</v>
      </c>
      <c r="N112" s="882">
        <f t="shared" si="8"/>
        <v>0.29235294117647059</v>
      </c>
      <c r="O112" s="882">
        <f t="shared" si="8"/>
        <v>0.27073529411764707</v>
      </c>
      <c r="P112" s="882">
        <f t="shared" si="8"/>
        <v>0.24911764705882353</v>
      </c>
      <c r="Q112" s="882">
        <f t="shared" si="8"/>
        <v>0.22749999999999998</v>
      </c>
      <c r="R112" s="882">
        <f t="shared" si="8"/>
        <v>0.20588235294117646</v>
      </c>
      <c r="S112" s="882">
        <f t="shared" si="8"/>
        <v>0.18426470588235294</v>
      </c>
      <c r="T112" s="882">
        <f t="shared" si="8"/>
        <v>0.16264705882352939</v>
      </c>
      <c r="U112" s="882">
        <f t="shared" si="8"/>
        <v>0.14102941176470588</v>
      </c>
      <c r="V112" s="882">
        <f t="shared" si="8"/>
        <v>0.11941176470588236</v>
      </c>
      <c r="W112" s="882">
        <f t="shared" si="8"/>
        <v>9.7794117647058809E-2</v>
      </c>
      <c r="X112" s="882">
        <f t="shared" si="8"/>
        <v>7.617647058823529E-2</v>
      </c>
    </row>
    <row r="113" spans="2:24" s="885" customFormat="1" hidden="1" outlineLevel="1" x14ac:dyDescent="0.2">
      <c r="B113" s="887" t="e">
        <f t="shared" si="9"/>
        <v>#N/A</v>
      </c>
      <c r="C113" s="888">
        <f t="shared" si="10"/>
        <v>0</v>
      </c>
      <c r="D113" s="882" t="e">
        <f t="shared" si="11"/>
        <v>#N/A</v>
      </c>
      <c r="E113" s="882" t="e">
        <f>HLOOKUP($C$90,$M$110:$X$120,4)</f>
        <v>#N/A</v>
      </c>
      <c r="F113" s="882" t="e">
        <f>HLOOKUP($C$91,$M$110:$X$120,4)</f>
        <v>#N/A</v>
      </c>
      <c r="G113" s="882"/>
      <c r="H113" s="882"/>
      <c r="I113" s="880">
        <v>2</v>
      </c>
      <c r="J113" s="881">
        <v>0.23599999999999999</v>
      </c>
      <c r="K113" s="881">
        <v>0.23529411764705882</v>
      </c>
      <c r="L113" s="879">
        <f t="shared" si="12"/>
        <v>-3.2085561497325786E-6</v>
      </c>
      <c r="M113" s="882">
        <f t="shared" si="8"/>
        <v>0.23609625668449197</v>
      </c>
      <c r="N113" s="882">
        <f t="shared" si="8"/>
        <v>0.23593582887700534</v>
      </c>
      <c r="O113" s="882">
        <f t="shared" si="8"/>
        <v>0.23577540106951872</v>
      </c>
      <c r="P113" s="882">
        <f t="shared" si="8"/>
        <v>0.23561497326203207</v>
      </c>
      <c r="Q113" s="882">
        <f t="shared" si="8"/>
        <v>0.23545454545454544</v>
      </c>
      <c r="R113" s="882">
        <f t="shared" si="8"/>
        <v>0.23529411764705882</v>
      </c>
      <c r="S113" s="882">
        <f t="shared" si="8"/>
        <v>0.2351336898395722</v>
      </c>
      <c r="T113" s="882">
        <f t="shared" si="8"/>
        <v>0.23497326203208557</v>
      </c>
      <c r="U113" s="882">
        <f t="shared" si="8"/>
        <v>0.23481283422459892</v>
      </c>
      <c r="V113" s="882">
        <f t="shared" si="8"/>
        <v>0.2346524064171123</v>
      </c>
      <c r="W113" s="882">
        <f t="shared" si="8"/>
        <v>0.23449197860962567</v>
      </c>
      <c r="X113" s="882">
        <f t="shared" si="8"/>
        <v>0.23433155080213905</v>
      </c>
    </row>
    <row r="114" spans="2:24" s="885" customFormat="1" hidden="1" outlineLevel="1" x14ac:dyDescent="0.2">
      <c r="B114" s="887" t="e">
        <f t="shared" si="9"/>
        <v>#N/A</v>
      </c>
      <c r="C114" s="888">
        <f t="shared" si="10"/>
        <v>0.27272727272727271</v>
      </c>
      <c r="D114" s="882" t="e">
        <f t="shared" si="11"/>
        <v>#N/A</v>
      </c>
      <c r="E114" s="882" t="e">
        <f>HLOOKUP($C$90,$M$110:$X$120,5)</f>
        <v>#N/A</v>
      </c>
      <c r="F114" s="882" t="e">
        <f>HLOOKUP($C$91,$M$110:$X$120,5)</f>
        <v>#N/A</v>
      </c>
      <c r="G114" s="882"/>
      <c r="H114" s="882"/>
      <c r="I114" s="880">
        <v>3</v>
      </c>
      <c r="J114" s="881">
        <v>0.14000000000000001</v>
      </c>
      <c r="K114" s="881">
        <v>0.17647058823529413</v>
      </c>
      <c r="L114" s="879">
        <f t="shared" si="12"/>
        <v>1.6577540106951872E-4</v>
      </c>
      <c r="M114" s="882">
        <f t="shared" si="8"/>
        <v>0.13502673796791445</v>
      </c>
      <c r="N114" s="882">
        <f t="shared" si="8"/>
        <v>0.1433155080213904</v>
      </c>
      <c r="O114" s="882">
        <f t="shared" si="8"/>
        <v>0.15160427807486632</v>
      </c>
      <c r="P114" s="882">
        <f t="shared" si="8"/>
        <v>0.15989304812834226</v>
      </c>
      <c r="Q114" s="882">
        <f t="shared" si="8"/>
        <v>0.16818181818181821</v>
      </c>
      <c r="R114" s="882">
        <f t="shared" si="8"/>
        <v>0.17647058823529413</v>
      </c>
      <c r="S114" s="882">
        <f t="shared" si="8"/>
        <v>0.18475935828877008</v>
      </c>
      <c r="T114" s="882">
        <f t="shared" si="8"/>
        <v>0.19304812834224599</v>
      </c>
      <c r="U114" s="882">
        <f t="shared" si="8"/>
        <v>0.20133689839572194</v>
      </c>
      <c r="V114" s="882">
        <f t="shared" si="8"/>
        <v>0.20962566844919789</v>
      </c>
      <c r="W114" s="882">
        <f t="shared" si="8"/>
        <v>0.21791443850267381</v>
      </c>
      <c r="X114" s="882">
        <f t="shared" si="8"/>
        <v>0.22620320855614975</v>
      </c>
    </row>
    <row r="115" spans="2:24" s="885" customFormat="1" hidden="1" outlineLevel="1" x14ac:dyDescent="0.2">
      <c r="B115" s="887" t="e">
        <f t="shared" si="9"/>
        <v>#N/A</v>
      </c>
      <c r="C115" s="888">
        <f t="shared" si="10"/>
        <v>0.59090909090909083</v>
      </c>
      <c r="D115" s="882" t="e">
        <f>F115-E115</f>
        <v>#N/A</v>
      </c>
      <c r="E115" s="882" t="e">
        <f>HLOOKUP($C$90,$M$110:$X$120,6)</f>
        <v>#N/A</v>
      </c>
      <c r="F115" s="882" t="e">
        <f>HLOOKUP($C$91,$M$110:$X$120,6)</f>
        <v>#N/A</v>
      </c>
      <c r="G115" s="882"/>
      <c r="H115" s="882"/>
      <c r="I115" s="880">
        <v>4</v>
      </c>
      <c r="J115" s="881">
        <v>8.3000000000000004E-2</v>
      </c>
      <c r="K115" s="881">
        <v>0.11764705882352941</v>
      </c>
      <c r="L115" s="879">
        <f t="shared" si="12"/>
        <v>1.5748663101604275E-4</v>
      </c>
      <c r="M115" s="882">
        <f t="shared" si="8"/>
        <v>7.8275401069518719E-2</v>
      </c>
      <c r="N115" s="882">
        <f t="shared" si="8"/>
        <v>8.6149732620320857E-2</v>
      </c>
      <c r="O115" s="882">
        <f t="shared" si="8"/>
        <v>9.4024064171122995E-2</v>
      </c>
      <c r="P115" s="882">
        <f t="shared" si="8"/>
        <v>0.10189839572192513</v>
      </c>
      <c r="Q115" s="882">
        <f t="shared" si="8"/>
        <v>0.10977272727272727</v>
      </c>
      <c r="R115" s="882">
        <f t="shared" si="8"/>
        <v>0.11764705882352941</v>
      </c>
      <c r="S115" s="882">
        <f t="shared" si="8"/>
        <v>0.12552139037433155</v>
      </c>
      <c r="T115" s="882">
        <f t="shared" si="8"/>
        <v>0.13339572192513369</v>
      </c>
      <c r="U115" s="882">
        <f t="shared" si="8"/>
        <v>0.14127005347593583</v>
      </c>
      <c r="V115" s="882">
        <f t="shared" si="8"/>
        <v>0.14914438502673796</v>
      </c>
      <c r="W115" s="882">
        <f t="shared" si="8"/>
        <v>0.1570187165775401</v>
      </c>
      <c r="X115" s="882">
        <f t="shared" si="8"/>
        <v>0.16489304812834224</v>
      </c>
    </row>
    <row r="116" spans="2:24" s="885" customFormat="1" hidden="1" outlineLevel="1" x14ac:dyDescent="0.2">
      <c r="B116" s="887" t="e">
        <f t="shared" si="9"/>
        <v>#N/A</v>
      </c>
      <c r="C116" s="888">
        <f t="shared" si="10"/>
        <v>0.90909090909090906</v>
      </c>
      <c r="D116" s="882" t="e">
        <f t="shared" si="11"/>
        <v>#N/A</v>
      </c>
      <c r="E116" s="882" t="e">
        <f>HLOOKUP($C$90,$M$110:$X$120,7)</f>
        <v>#N/A</v>
      </c>
      <c r="F116" s="882" t="e">
        <f>HLOOKUP($C$91,$M$110:$X$120,7)</f>
        <v>#N/A</v>
      </c>
      <c r="G116" s="882"/>
      <c r="H116" s="882"/>
      <c r="I116" s="880">
        <v>5</v>
      </c>
      <c r="J116" s="881">
        <v>4.7E-2</v>
      </c>
      <c r="K116" s="881">
        <v>8.8235294117647065E-2</v>
      </c>
      <c r="L116" s="879">
        <f t="shared" si="12"/>
        <v>1.8743315508021392E-4</v>
      </c>
      <c r="M116" s="882">
        <f t="shared" si="8"/>
        <v>4.137700534759358E-2</v>
      </c>
      <c r="N116" s="882">
        <f t="shared" si="8"/>
        <v>5.074866310160428E-2</v>
      </c>
      <c r="O116" s="882">
        <f t="shared" si="8"/>
        <v>6.0120320855614973E-2</v>
      </c>
      <c r="P116" s="882">
        <f t="shared" si="8"/>
        <v>6.9491978609625665E-2</v>
      </c>
      <c r="Q116" s="882">
        <f t="shared" si="8"/>
        <v>7.8863636363636358E-2</v>
      </c>
      <c r="R116" s="882">
        <f t="shared" si="8"/>
        <v>8.8235294117647065E-2</v>
      </c>
      <c r="S116" s="882">
        <f t="shared" si="8"/>
        <v>9.7606951871657757E-2</v>
      </c>
      <c r="T116" s="882">
        <f t="shared" si="8"/>
        <v>0.10697860962566846</v>
      </c>
      <c r="U116" s="882">
        <f t="shared" si="8"/>
        <v>0.11635026737967916</v>
      </c>
      <c r="V116" s="882">
        <f t="shared" si="8"/>
        <v>0.12572192513368985</v>
      </c>
      <c r="W116" s="882">
        <f t="shared" si="8"/>
        <v>0.13509358288770054</v>
      </c>
      <c r="X116" s="882">
        <f t="shared" si="8"/>
        <v>0.14446524064171123</v>
      </c>
    </row>
    <row r="117" spans="2:24" s="885" customFormat="1" hidden="1" outlineLevel="1" x14ac:dyDescent="0.2">
      <c r="B117" s="887" t="e">
        <f t="shared" si="9"/>
        <v>#N/A</v>
      </c>
      <c r="C117" s="888">
        <f t="shared" si="10"/>
        <v>1.1818181818181817</v>
      </c>
      <c r="D117" s="882" t="e">
        <f t="shared" si="11"/>
        <v>#N/A</v>
      </c>
      <c r="E117" s="882" t="e">
        <f>HLOOKUP($C$90,$M$110:$X$120,8)</f>
        <v>#N/A</v>
      </c>
      <c r="F117" s="882" t="e">
        <f>HLOOKUP($C$91,$M$110:$X$120,8)</f>
        <v>#N/A</v>
      </c>
      <c r="G117" s="882"/>
      <c r="H117" s="882"/>
      <c r="I117" s="880">
        <v>6</v>
      </c>
      <c r="J117" s="881">
        <v>2.5999999999999999E-2</v>
      </c>
      <c r="K117" s="881">
        <v>5.8823529411764705E-2</v>
      </c>
      <c r="L117" s="879">
        <f t="shared" si="12"/>
        <v>1.4919786096256687E-4</v>
      </c>
      <c r="M117" s="882">
        <f t="shared" si="8"/>
        <v>2.1524064171122993E-2</v>
      </c>
      <c r="N117" s="882">
        <f t="shared" si="8"/>
        <v>2.8983957219251337E-2</v>
      </c>
      <c r="O117" s="882">
        <f t="shared" si="8"/>
        <v>3.6443850267379681E-2</v>
      </c>
      <c r="P117" s="882">
        <f t="shared" si="8"/>
        <v>4.3903743315508018E-2</v>
      </c>
      <c r="Q117" s="882">
        <f t="shared" si="8"/>
        <v>5.1363636363636361E-2</v>
      </c>
      <c r="R117" s="882">
        <f t="shared" si="8"/>
        <v>5.8823529411764705E-2</v>
      </c>
      <c r="S117" s="882">
        <f t="shared" si="8"/>
        <v>6.6283422459893049E-2</v>
      </c>
      <c r="T117" s="882">
        <f t="shared" si="8"/>
        <v>7.3743315508021393E-2</v>
      </c>
      <c r="U117" s="882">
        <f t="shared" si="8"/>
        <v>8.1203208556149736E-2</v>
      </c>
      <c r="V117" s="882">
        <f t="shared" si="8"/>
        <v>8.866310160427808E-2</v>
      </c>
      <c r="W117" s="882">
        <f t="shared" si="8"/>
        <v>9.6122994652406424E-2</v>
      </c>
      <c r="X117" s="882">
        <f t="shared" si="8"/>
        <v>0.10358288770053477</v>
      </c>
    </row>
    <row r="118" spans="2:24" s="885" customFormat="1" hidden="1" outlineLevel="1" x14ac:dyDescent="0.2">
      <c r="B118" s="887" t="e">
        <f t="shared" si="9"/>
        <v>#N/A</v>
      </c>
      <c r="C118" s="888">
        <f t="shared" si="10"/>
        <v>1.4999999999999998</v>
      </c>
      <c r="D118" s="882" t="e">
        <f t="shared" si="11"/>
        <v>#N/A</v>
      </c>
      <c r="E118" s="882" t="e">
        <f>HLOOKUP($C$90,$M$110:$X$120,9)</f>
        <v>#N/A</v>
      </c>
      <c r="F118" s="882" t="e">
        <f>HLOOKUP($C$91,$M$110:$X$120,9)</f>
        <v>#N/A</v>
      </c>
      <c r="G118" s="882"/>
      <c r="H118" s="882"/>
      <c r="I118" s="880">
        <v>7</v>
      </c>
      <c r="J118" s="881">
        <v>1.4E-2</v>
      </c>
      <c r="K118" s="881">
        <v>2.9411764705882353E-2</v>
      </c>
      <c r="L118" s="879">
        <f t="shared" si="12"/>
        <v>7.0053475935828876E-5</v>
      </c>
      <c r="M118" s="882">
        <f t="shared" si="8"/>
        <v>1.1898395721925133E-2</v>
      </c>
      <c r="N118" s="882">
        <f t="shared" si="8"/>
        <v>1.5401069518716578E-2</v>
      </c>
      <c r="O118" s="882">
        <f t="shared" si="8"/>
        <v>1.8903743315508023E-2</v>
      </c>
      <c r="P118" s="882">
        <f t="shared" si="8"/>
        <v>2.2406417112299466E-2</v>
      </c>
      <c r="Q118" s="882">
        <f t="shared" si="8"/>
        <v>2.5909090909090909E-2</v>
      </c>
      <c r="R118" s="882">
        <f t="shared" si="8"/>
        <v>2.9411764705882353E-2</v>
      </c>
      <c r="S118" s="882">
        <f t="shared" si="8"/>
        <v>3.2914438502673796E-2</v>
      </c>
      <c r="T118" s="882">
        <f t="shared" si="8"/>
        <v>3.6417112299465239E-2</v>
      </c>
      <c r="U118" s="882">
        <f t="shared" si="8"/>
        <v>3.9919786096256682E-2</v>
      </c>
      <c r="V118" s="882">
        <f t="shared" si="8"/>
        <v>4.3422459893048125E-2</v>
      </c>
      <c r="W118" s="882">
        <f t="shared" si="8"/>
        <v>4.6925133689839568E-2</v>
      </c>
      <c r="X118" s="882">
        <f t="shared" si="8"/>
        <v>5.0427807486631011E-2</v>
      </c>
    </row>
    <row r="119" spans="2:24" s="885" customFormat="1" hidden="1" outlineLevel="1" x14ac:dyDescent="0.2">
      <c r="B119" s="887" t="e">
        <f t="shared" si="9"/>
        <v>#N/A</v>
      </c>
      <c r="C119" s="888">
        <f t="shared" si="10"/>
        <v>1.7727272727272725</v>
      </c>
      <c r="D119" s="882" t="e">
        <f t="shared" si="11"/>
        <v>#N/A</v>
      </c>
      <c r="E119" s="882" t="e">
        <f>HLOOKUP($C$90,$M$110:$X$120,10)</f>
        <v>#N/A</v>
      </c>
      <c r="F119" s="882" t="e">
        <f>HLOOKUP($C$91,$M$110:$X$120,10)</f>
        <v>#N/A</v>
      </c>
      <c r="G119" s="882"/>
      <c r="H119" s="882"/>
      <c r="I119" s="880">
        <v>8</v>
      </c>
      <c r="J119" s="881">
        <v>8.0000000000000002E-3</v>
      </c>
      <c r="K119" s="881">
        <v>2.9411764705882353E-2</v>
      </c>
      <c r="L119" s="879">
        <f t="shared" si="12"/>
        <v>9.7326203208556152E-5</v>
      </c>
      <c r="M119" s="882">
        <f t="shared" si="8"/>
        <v>5.0802139037433155E-3</v>
      </c>
      <c r="N119" s="882">
        <f t="shared" si="8"/>
        <v>9.9465240641711233E-3</v>
      </c>
      <c r="O119" s="882">
        <f t="shared" si="8"/>
        <v>1.481283422459893E-2</v>
      </c>
      <c r="P119" s="882">
        <f t="shared" si="8"/>
        <v>1.9679144385026739E-2</v>
      </c>
      <c r="Q119" s="882">
        <f t="shared" si="8"/>
        <v>2.4545454545454547E-2</v>
      </c>
      <c r="R119" s="882">
        <f t="shared" si="8"/>
        <v>2.9411764705882353E-2</v>
      </c>
      <c r="S119" s="882">
        <f t="shared" si="8"/>
        <v>3.4278074866310161E-2</v>
      </c>
      <c r="T119" s="882">
        <f t="shared" si="8"/>
        <v>3.914438502673797E-2</v>
      </c>
      <c r="U119" s="882">
        <f t="shared" si="8"/>
        <v>4.4010695187165778E-2</v>
      </c>
      <c r="V119" s="882">
        <f t="shared" si="8"/>
        <v>4.8877005347593587E-2</v>
      </c>
      <c r="W119" s="882">
        <f t="shared" si="8"/>
        <v>5.3743315508021389E-2</v>
      </c>
      <c r="X119" s="882">
        <f t="shared" si="8"/>
        <v>5.8609625668449197E-2</v>
      </c>
    </row>
    <row r="120" spans="2:24" s="885" customFormat="1" hidden="1" outlineLevel="1" x14ac:dyDescent="0.2">
      <c r="B120" s="887" t="e">
        <f t="shared" si="9"/>
        <v>#N/A</v>
      </c>
      <c r="C120" s="888">
        <f t="shared" si="10"/>
        <v>2.0909090909090904</v>
      </c>
      <c r="D120" s="882" t="e">
        <f t="shared" si="11"/>
        <v>#N/A</v>
      </c>
      <c r="E120" s="882" t="e">
        <f>HLOOKUP($C$90,$M$110:$X$120,11)</f>
        <v>#N/A</v>
      </c>
      <c r="F120" s="882" t="e">
        <f>HLOOKUP($C$91,$M$110:$X$120,11)</f>
        <v>#N/A</v>
      </c>
      <c r="G120" s="882"/>
      <c r="H120" s="882"/>
      <c r="I120" s="880">
        <v>9</v>
      </c>
      <c r="J120" s="881">
        <v>3.0000000000000001E-3</v>
      </c>
      <c r="K120" s="881">
        <v>0</v>
      </c>
      <c r="L120" s="879">
        <f t="shared" si="12"/>
        <v>-1.3636363636363637E-5</v>
      </c>
      <c r="M120" s="882">
        <f t="shared" si="8"/>
        <v>3.4090909090909094E-3</v>
      </c>
      <c r="N120" s="882">
        <f t="shared" si="8"/>
        <v>2.7272727272727275E-3</v>
      </c>
      <c r="O120" s="882">
        <f t="shared" si="8"/>
        <v>2.0454545454545456E-3</v>
      </c>
      <c r="P120" s="882">
        <f t="shared" si="8"/>
        <v>1.3636363636363637E-3</v>
      </c>
      <c r="Q120" s="882">
        <f t="shared" si="8"/>
        <v>6.8181818181818187E-4</v>
      </c>
      <c r="R120" s="882">
        <f t="shared" si="8"/>
        <v>0</v>
      </c>
      <c r="S120" s="882">
        <f t="shared" si="8"/>
        <v>-6.8181818181818187E-4</v>
      </c>
      <c r="T120" s="882">
        <f t="shared" si="8"/>
        <v>-1.3636363636363637E-3</v>
      </c>
      <c r="U120" s="882">
        <f t="shared" si="8"/>
        <v>-2.0454545454545456E-3</v>
      </c>
      <c r="V120" s="882">
        <f t="shared" si="8"/>
        <v>-2.7272727272727275E-3</v>
      </c>
      <c r="W120" s="882">
        <f t="shared" si="8"/>
        <v>-3.4090909090909094E-3</v>
      </c>
      <c r="X120" s="882">
        <f t="shared" si="8"/>
        <v>-4.0909090909090912E-3</v>
      </c>
    </row>
    <row r="121" spans="2:24" s="885" customFormat="1" hidden="1" outlineLevel="1" x14ac:dyDescent="0.2">
      <c r="B121" s="887" t="e">
        <f>SUM(B111:B120)</f>
        <v>#N/A</v>
      </c>
      <c r="C121" s="884"/>
      <c r="D121" s="890"/>
      <c r="E121" s="890"/>
      <c r="F121" s="890"/>
      <c r="G121" s="890"/>
      <c r="H121" s="890"/>
      <c r="I121" s="884"/>
      <c r="J121" s="884"/>
      <c r="K121" s="884"/>
      <c r="L121" s="884"/>
      <c r="M121" s="883">
        <f>SUM(M111:M120)</f>
        <v>0.99999999999999989</v>
      </c>
      <c r="N121" s="883">
        <f t="shared" ref="N121:X121" si="13">SUM(N111:N120)</f>
        <v>0.99999999999999989</v>
      </c>
      <c r="O121" s="883">
        <f t="shared" si="13"/>
        <v>1</v>
      </c>
      <c r="P121" s="883">
        <f t="shared" si="13"/>
        <v>1</v>
      </c>
      <c r="Q121" s="883">
        <f t="shared" si="13"/>
        <v>1</v>
      </c>
      <c r="R121" s="883">
        <f t="shared" si="13"/>
        <v>1</v>
      </c>
      <c r="S121" s="883">
        <f t="shared" si="13"/>
        <v>1</v>
      </c>
      <c r="T121" s="883">
        <f t="shared" si="13"/>
        <v>0.99999999999999989</v>
      </c>
      <c r="U121" s="883">
        <f t="shared" si="13"/>
        <v>0.99999999999999989</v>
      </c>
      <c r="V121" s="883">
        <f t="shared" si="13"/>
        <v>1</v>
      </c>
      <c r="W121" s="883">
        <f t="shared" si="13"/>
        <v>1</v>
      </c>
      <c r="X121" s="883">
        <f t="shared" si="13"/>
        <v>1</v>
      </c>
    </row>
    <row r="122" spans="2:24" s="885" customFormat="1" hidden="1" outlineLevel="1" x14ac:dyDescent="0.2">
      <c r="B122" s="891"/>
      <c r="C122" s="884">
        <v>0</v>
      </c>
      <c r="D122" s="895">
        <v>0</v>
      </c>
      <c r="E122" s="890"/>
      <c r="F122" s="890"/>
      <c r="G122" s="890"/>
      <c r="H122" s="890"/>
      <c r="I122" s="884"/>
      <c r="J122" s="884"/>
      <c r="K122" s="884"/>
      <c r="L122" s="884"/>
      <c r="M122" s="882"/>
      <c r="N122" s="882"/>
      <c r="O122" s="882"/>
      <c r="P122" s="882"/>
      <c r="Q122" s="882"/>
      <c r="R122" s="882"/>
      <c r="S122" s="882"/>
      <c r="T122" s="882"/>
      <c r="U122" s="882"/>
      <c r="V122" s="882"/>
      <c r="W122" s="882"/>
      <c r="X122" s="882"/>
    </row>
    <row r="123" spans="2:24" s="885" customFormat="1" hidden="1" outlineLevel="1" x14ac:dyDescent="0.2">
      <c r="B123" s="891"/>
      <c r="C123" s="884">
        <v>0</v>
      </c>
      <c r="D123" s="895">
        <v>0</v>
      </c>
      <c r="E123" s="890"/>
      <c r="F123" s="890"/>
      <c r="G123" s="890"/>
      <c r="H123" s="890"/>
      <c r="I123" s="884"/>
      <c r="J123" s="884"/>
      <c r="K123" s="884"/>
      <c r="L123" s="884"/>
      <c r="M123" s="882"/>
      <c r="N123" s="882"/>
      <c r="O123" s="882"/>
      <c r="P123" s="882"/>
      <c r="Q123" s="882"/>
      <c r="R123" s="882"/>
      <c r="S123" s="882"/>
      <c r="T123" s="882"/>
      <c r="U123" s="882"/>
      <c r="V123" s="882"/>
      <c r="W123" s="882"/>
      <c r="X123" s="882"/>
    </row>
    <row r="124" spans="2:24" s="885" customFormat="1" hidden="1" outlineLevel="1" x14ac:dyDescent="0.2">
      <c r="B124" s="891"/>
      <c r="C124" s="884">
        <v>0</v>
      </c>
      <c r="D124" s="895">
        <v>0</v>
      </c>
      <c r="E124" s="890"/>
      <c r="F124" s="890"/>
      <c r="G124" s="890"/>
      <c r="H124" s="890"/>
      <c r="I124" s="884"/>
      <c r="J124" s="884"/>
      <c r="K124" s="884"/>
      <c r="L124" s="884"/>
      <c r="M124" s="882"/>
      <c r="N124" s="882"/>
      <c r="O124" s="882"/>
      <c r="P124" s="882"/>
      <c r="Q124" s="882"/>
      <c r="R124" s="882"/>
      <c r="S124" s="882"/>
      <c r="T124" s="882"/>
      <c r="U124" s="882"/>
      <c r="V124" s="882"/>
      <c r="W124" s="882"/>
      <c r="X124" s="882"/>
    </row>
    <row r="125" spans="2:24" s="885" customFormat="1" hidden="1" outlineLevel="1" x14ac:dyDescent="0.2">
      <c r="C125" s="885">
        <v>1.3</v>
      </c>
      <c r="D125" s="896">
        <v>0.6</v>
      </c>
    </row>
    <row r="126" spans="2:24" s="885" customFormat="1" hidden="1" outlineLevel="1" x14ac:dyDescent="0.2">
      <c r="C126" s="885">
        <v>2.6</v>
      </c>
      <c r="D126" s="896">
        <v>1.3</v>
      </c>
    </row>
    <row r="127" spans="2:24" s="885" customFormat="1" hidden="1" outlineLevel="1" x14ac:dyDescent="0.2">
      <c r="C127" s="885">
        <v>3.9</v>
      </c>
      <c r="D127" s="896">
        <v>2</v>
      </c>
    </row>
    <row r="128" spans="2:24" s="885" customFormat="1" hidden="1" outlineLevel="1" x14ac:dyDescent="0.2">
      <c r="C128" s="885">
        <v>5.2</v>
      </c>
      <c r="D128" s="896">
        <v>2.6</v>
      </c>
    </row>
    <row r="129" spans="3:4" s="885" customFormat="1" hidden="1" outlineLevel="1" x14ac:dyDescent="0.2">
      <c r="C129" s="885">
        <v>6.6</v>
      </c>
      <c r="D129" s="896">
        <v>3.3</v>
      </c>
    </row>
    <row r="130" spans="3:4" s="885" customFormat="1" hidden="1" outlineLevel="1" x14ac:dyDescent="0.2">
      <c r="C130" s="885">
        <v>7.9</v>
      </c>
      <c r="D130" s="896">
        <v>3.9</v>
      </c>
    </row>
    <row r="131" spans="3:4" s="885" customFormat="1" hidden="1" outlineLevel="1" x14ac:dyDescent="0.2">
      <c r="C131" s="885">
        <v>9.1999999999999993</v>
      </c>
      <c r="D131" s="896">
        <v>4.5999999999999996</v>
      </c>
    </row>
    <row r="132" spans="3:4" s="885" customFormat="1" hidden="1" outlineLevel="1" x14ac:dyDescent="0.2"/>
    <row r="133" spans="3:4" collapsed="1" x14ac:dyDescent="0.2"/>
  </sheetData>
  <sheetProtection password="8826" sheet="1" objects="1" scenarios="1"/>
  <mergeCells count="22">
    <mergeCell ref="D60:E60"/>
    <mergeCell ref="J52:L52"/>
    <mergeCell ref="J46:L46"/>
    <mergeCell ref="C6:D6"/>
    <mergeCell ref="C5:F5"/>
    <mergeCell ref="C12:D12"/>
    <mergeCell ref="C11:D11"/>
    <mergeCell ref="C10:D10"/>
    <mergeCell ref="C9:D9"/>
    <mergeCell ref="C8:D8"/>
    <mergeCell ref="C7:D7"/>
    <mergeCell ref="D42:E42"/>
    <mergeCell ref="C42:C43"/>
    <mergeCell ref="F42:F43"/>
    <mergeCell ref="C41:F41"/>
    <mergeCell ref="J28:L28"/>
    <mergeCell ref="J33:L33"/>
    <mergeCell ref="B15:G15"/>
    <mergeCell ref="I26:M26"/>
    <mergeCell ref="B3:G4"/>
    <mergeCell ref="C17:E17"/>
    <mergeCell ref="C24:E24"/>
  </mergeCells>
  <pageMargins left="0.75" right="0.75" top="1" bottom="1" header="0.5" footer="0.5"/>
  <pageSetup orientation="portrait" horizontalDpi="4294967293" verticalDpi="429496729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enableFormatConditionsCalculation="0">
    <tabColor theme="7" tint="0.39997558519241921"/>
  </sheetPr>
  <dimension ref="A2:L21"/>
  <sheetViews>
    <sheetView showGridLines="0" zoomScale="130" zoomScaleNormal="130" zoomScalePageLayoutView="130" workbookViewId="0"/>
  </sheetViews>
  <sheetFormatPr baseColWidth="10" defaultColWidth="11.5" defaultRowHeight="15" x14ac:dyDescent="0.2"/>
  <cols>
    <col min="1" max="1" width="3.1640625" style="897" customWidth="1"/>
    <col min="2" max="16384" width="11.5" style="897"/>
  </cols>
  <sheetData>
    <row r="2" spans="1:12" ht="35" thickBot="1" x14ac:dyDescent="0.45">
      <c r="C2" s="1146"/>
      <c r="D2" s="1146"/>
      <c r="E2" s="1146"/>
      <c r="F2" s="1146"/>
      <c r="G2" s="1146"/>
      <c r="H2" s="1146"/>
      <c r="I2" s="1146"/>
      <c r="J2" s="1146"/>
    </row>
    <row r="3" spans="1:12" ht="26" customHeight="1" thickTop="1" thickBot="1" x14ac:dyDescent="0.25">
      <c r="B3" s="898"/>
      <c r="C3" s="1143" t="s">
        <v>519</v>
      </c>
      <c r="D3" s="1144"/>
      <c r="E3" s="1144"/>
      <c r="F3" s="1144"/>
      <c r="G3" s="1144" t="s">
        <v>520</v>
      </c>
      <c r="H3" s="1144"/>
      <c r="I3" s="1144"/>
      <c r="J3" s="1145"/>
    </row>
    <row r="4" spans="1:12" ht="15" customHeight="1" thickTop="1" x14ac:dyDescent="0.2">
      <c r="A4" s="899"/>
      <c r="B4" s="1136" t="s">
        <v>523</v>
      </c>
      <c r="C4" s="1139"/>
      <c r="D4" s="1139"/>
      <c r="E4" s="1139"/>
      <c r="F4" s="1139"/>
      <c r="G4" s="1139"/>
      <c r="H4" s="1139"/>
      <c r="I4" s="1139"/>
      <c r="J4" s="1140"/>
      <c r="L4" s="900"/>
    </row>
    <row r="5" spans="1:12" x14ac:dyDescent="0.2">
      <c r="A5" s="899"/>
      <c r="B5" s="1137"/>
      <c r="C5" s="1139"/>
      <c r="D5" s="1139"/>
      <c r="E5" s="1139"/>
      <c r="F5" s="1139"/>
      <c r="G5" s="1139"/>
      <c r="H5" s="1139"/>
      <c r="I5" s="1139"/>
      <c r="J5" s="1140"/>
    </row>
    <row r="6" spans="1:12" x14ac:dyDescent="0.2">
      <c r="A6" s="899"/>
      <c r="B6" s="1137"/>
      <c r="C6" s="1139"/>
      <c r="D6" s="1139"/>
      <c r="E6" s="1139"/>
      <c r="F6" s="1139"/>
      <c r="G6" s="1139"/>
      <c r="H6" s="1139"/>
      <c r="I6" s="1139"/>
      <c r="J6" s="1140"/>
    </row>
    <row r="7" spans="1:12" x14ac:dyDescent="0.2">
      <c r="A7" s="899"/>
      <c r="B7" s="1137"/>
      <c r="C7" s="1139"/>
      <c r="D7" s="1139"/>
      <c r="E7" s="1139"/>
      <c r="F7" s="1139"/>
      <c r="G7" s="1139"/>
      <c r="H7" s="1139"/>
      <c r="I7" s="1139"/>
      <c r="J7" s="1140"/>
    </row>
    <row r="8" spans="1:12" x14ac:dyDescent="0.2">
      <c r="A8" s="899"/>
      <c r="B8" s="1137"/>
      <c r="C8" s="1139"/>
      <c r="D8" s="1139"/>
      <c r="E8" s="1139"/>
      <c r="F8" s="1139"/>
      <c r="G8" s="1139"/>
      <c r="H8" s="1139"/>
      <c r="I8" s="1139"/>
      <c r="J8" s="1140"/>
    </row>
    <row r="9" spans="1:12" x14ac:dyDescent="0.2">
      <c r="A9" s="899"/>
      <c r="B9" s="1137"/>
      <c r="C9" s="1139"/>
      <c r="D9" s="1139"/>
      <c r="E9" s="1139"/>
      <c r="F9" s="1139"/>
      <c r="G9" s="1139"/>
      <c r="H9" s="1139"/>
      <c r="I9" s="1139"/>
      <c r="J9" s="1140"/>
    </row>
    <row r="10" spans="1:12" x14ac:dyDescent="0.2">
      <c r="A10" s="899"/>
      <c r="B10" s="1137"/>
      <c r="C10" s="1139"/>
      <c r="D10" s="1139"/>
      <c r="E10" s="1139"/>
      <c r="F10" s="1139"/>
      <c r="G10" s="1139"/>
      <c r="H10" s="1139"/>
      <c r="I10" s="1139"/>
      <c r="J10" s="1140"/>
    </row>
    <row r="11" spans="1:12" ht="16" thickBot="1" x14ac:dyDescent="0.25">
      <c r="A11" s="899"/>
      <c r="B11" s="1138"/>
      <c r="C11" s="1147"/>
      <c r="D11" s="1148"/>
      <c r="E11" s="1148"/>
      <c r="F11" s="1149"/>
      <c r="G11" s="1147"/>
      <c r="H11" s="1148"/>
      <c r="I11" s="1148"/>
      <c r="J11" s="1150"/>
    </row>
    <row r="12" spans="1:12" ht="25.25" customHeight="1" thickTop="1" thickBot="1" x14ac:dyDescent="0.25">
      <c r="A12" s="899"/>
      <c r="B12" s="901"/>
      <c r="C12" s="1141" t="s">
        <v>521</v>
      </c>
      <c r="D12" s="1141"/>
      <c r="E12" s="1141"/>
      <c r="F12" s="1141"/>
      <c r="G12" s="1141" t="s">
        <v>522</v>
      </c>
      <c r="H12" s="1141"/>
      <c r="I12" s="1141"/>
      <c r="J12" s="1142"/>
    </row>
    <row r="13" spans="1:12" ht="16.25" customHeight="1" thickTop="1" x14ac:dyDescent="0.2">
      <c r="A13" s="899"/>
      <c r="B13" s="1136" t="s">
        <v>524</v>
      </c>
      <c r="C13" s="1139"/>
      <c r="D13" s="1139"/>
      <c r="E13" s="1139"/>
      <c r="F13" s="1139"/>
      <c r="G13" s="1139"/>
      <c r="H13" s="1139"/>
      <c r="I13" s="1139"/>
      <c r="J13" s="1140"/>
    </row>
    <row r="14" spans="1:12" x14ac:dyDescent="0.2">
      <c r="A14" s="899"/>
      <c r="B14" s="1137"/>
      <c r="C14" s="1139"/>
      <c r="D14" s="1139"/>
      <c r="E14" s="1139"/>
      <c r="F14" s="1139"/>
      <c r="G14" s="1139"/>
      <c r="H14" s="1139"/>
      <c r="I14" s="1139"/>
      <c r="J14" s="1140"/>
    </row>
    <row r="15" spans="1:12" x14ac:dyDescent="0.2">
      <c r="A15" s="899"/>
      <c r="B15" s="1137"/>
      <c r="C15" s="1139"/>
      <c r="D15" s="1139"/>
      <c r="E15" s="1139"/>
      <c r="F15" s="1139"/>
      <c r="G15" s="1139"/>
      <c r="H15" s="1139"/>
      <c r="I15" s="1139"/>
      <c r="J15" s="1140"/>
    </row>
    <row r="16" spans="1:12" x14ac:dyDescent="0.2">
      <c r="A16" s="899"/>
      <c r="B16" s="1137"/>
      <c r="C16" s="1139"/>
      <c r="D16" s="1139"/>
      <c r="E16" s="1139"/>
      <c r="F16" s="1139"/>
      <c r="G16" s="1139"/>
      <c r="H16" s="1139"/>
      <c r="I16" s="1139"/>
      <c r="J16" s="1140"/>
    </row>
    <row r="17" spans="1:10" x14ac:dyDescent="0.2">
      <c r="A17" s="899"/>
      <c r="B17" s="1137"/>
      <c r="C17" s="1139"/>
      <c r="D17" s="1139"/>
      <c r="E17" s="1139"/>
      <c r="F17" s="1139"/>
      <c r="G17" s="1139"/>
      <c r="H17" s="1139"/>
      <c r="I17" s="1139"/>
      <c r="J17" s="1140"/>
    </row>
    <row r="18" spans="1:10" x14ac:dyDescent="0.2">
      <c r="A18" s="899"/>
      <c r="B18" s="1137"/>
      <c r="C18" s="1139"/>
      <c r="D18" s="1139"/>
      <c r="E18" s="1139"/>
      <c r="F18" s="1139"/>
      <c r="G18" s="1139"/>
      <c r="H18" s="1139"/>
      <c r="I18" s="1139"/>
      <c r="J18" s="1140"/>
    </row>
    <row r="19" spans="1:10" x14ac:dyDescent="0.2">
      <c r="A19" s="899"/>
      <c r="B19" s="1137"/>
      <c r="C19" s="1139"/>
      <c r="D19" s="1139"/>
      <c r="E19" s="1139"/>
      <c r="F19" s="1139"/>
      <c r="G19" s="1139"/>
      <c r="H19" s="1139"/>
      <c r="I19" s="1139"/>
      <c r="J19" s="1140"/>
    </row>
    <row r="20" spans="1:10" ht="16" thickBot="1" x14ac:dyDescent="0.25">
      <c r="A20" s="899"/>
      <c r="B20" s="1138"/>
      <c r="C20" s="1134"/>
      <c r="D20" s="1134"/>
      <c r="E20" s="1134"/>
      <c r="F20" s="1134"/>
      <c r="G20" s="1134"/>
      <c r="H20" s="1134"/>
      <c r="I20" s="1134"/>
      <c r="J20" s="1135"/>
    </row>
    <row r="21" spans="1:10" ht="16" thickTop="1" x14ac:dyDescent="0.2"/>
  </sheetData>
  <mergeCells count="39">
    <mergeCell ref="C3:F3"/>
    <mergeCell ref="G3:J3"/>
    <mergeCell ref="B13:B20"/>
    <mergeCell ref="C2:J2"/>
    <mergeCell ref="C4:F4"/>
    <mergeCell ref="C5:F5"/>
    <mergeCell ref="C6:F6"/>
    <mergeCell ref="C7:F7"/>
    <mergeCell ref="C11:F11"/>
    <mergeCell ref="G11:J11"/>
    <mergeCell ref="C19:F19"/>
    <mergeCell ref="C20:F20"/>
    <mergeCell ref="C8:F8"/>
    <mergeCell ref="C9:F9"/>
    <mergeCell ref="C10:F10"/>
    <mergeCell ref="C12:F12"/>
    <mergeCell ref="G18:J18"/>
    <mergeCell ref="G19:J19"/>
    <mergeCell ref="C13:F13"/>
    <mergeCell ref="C14:F14"/>
    <mergeCell ref="G9:J9"/>
    <mergeCell ref="C15:F15"/>
    <mergeCell ref="C16:F16"/>
    <mergeCell ref="G20:J20"/>
    <mergeCell ref="B4:B11"/>
    <mergeCell ref="G10:J10"/>
    <mergeCell ref="G12:J12"/>
    <mergeCell ref="G13:J13"/>
    <mergeCell ref="G14:J14"/>
    <mergeCell ref="G15:J15"/>
    <mergeCell ref="G16:J16"/>
    <mergeCell ref="G4:J4"/>
    <mergeCell ref="G5:J5"/>
    <mergeCell ref="G6:J6"/>
    <mergeCell ref="G7:J7"/>
    <mergeCell ref="G8:J8"/>
    <mergeCell ref="C17:F17"/>
    <mergeCell ref="C18:F18"/>
    <mergeCell ref="G17:J17"/>
  </mergeCells>
  <phoneticPr fontId="59" type="noConversion"/>
  <pageMargins left="0.75" right="0.75" top="1" bottom="1" header="0.5" footer="0.5"/>
  <pageSetup orientation="portrait" horizontalDpi="4294967292" verticalDpi="4294967292"/>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enableFormatConditionsCalculation="0">
    <tabColor rgb="FFC00000"/>
  </sheetPr>
  <dimension ref="A1:U24"/>
  <sheetViews>
    <sheetView zoomScale="106" zoomScaleNormal="60" zoomScalePageLayoutView="60" workbookViewId="0">
      <selection activeCell="G14" sqref="G14"/>
    </sheetView>
  </sheetViews>
  <sheetFormatPr baseColWidth="10" defaultColWidth="11.1640625" defaultRowHeight="16" x14ac:dyDescent="0.2"/>
  <cols>
    <col min="1" max="1" width="6.33203125" style="870" customWidth="1"/>
    <col min="2" max="2" width="13.5" style="870" customWidth="1"/>
    <col min="3" max="3" width="8.33203125" style="870" customWidth="1"/>
    <col min="4" max="4" width="12" style="870" customWidth="1"/>
    <col min="5" max="5" width="13.6640625" style="870" customWidth="1"/>
    <col min="6" max="6" width="14" style="870" customWidth="1"/>
    <col min="7" max="7" width="15.6640625" style="870" customWidth="1"/>
    <col min="8" max="8" width="12" style="870" customWidth="1"/>
    <col min="9" max="9" width="3.33203125" style="870" customWidth="1"/>
    <col min="10" max="11" width="12" style="870" customWidth="1"/>
    <col min="12" max="12" width="29.1640625" style="870" bestFit="1" customWidth="1"/>
    <col min="13" max="13" width="15.1640625" style="870" customWidth="1"/>
    <col min="14" max="31" width="12.6640625" style="870" customWidth="1"/>
    <col min="32" max="32" width="8.6640625" style="870" customWidth="1"/>
    <col min="33" max="33" width="2" style="870" customWidth="1"/>
    <col min="34" max="34" width="11.1640625" style="870"/>
    <col min="35" max="35" width="7.33203125" style="870" customWidth="1"/>
    <col min="36" max="36" width="3.6640625" style="870" customWidth="1"/>
    <col min="37" max="37" width="11.1640625" style="870"/>
    <col min="38" max="38" width="7" style="870" customWidth="1"/>
    <col min="39" max="16384" width="11.1640625" style="870"/>
  </cols>
  <sheetData>
    <row r="1" spans="1:21" x14ac:dyDescent="0.2">
      <c r="A1" s="869"/>
      <c r="B1" s="869"/>
      <c r="C1" s="869"/>
      <c r="D1" s="869"/>
      <c r="E1" s="869"/>
      <c r="F1" s="869"/>
      <c r="G1" s="869"/>
      <c r="H1" s="869"/>
      <c r="I1" s="869"/>
      <c r="J1" s="869"/>
      <c r="K1" s="869"/>
      <c r="L1" s="869"/>
      <c r="M1" s="869"/>
      <c r="N1" s="869"/>
      <c r="O1" s="869"/>
      <c r="P1" s="869"/>
      <c r="Q1" s="869"/>
      <c r="R1" s="869"/>
      <c r="S1" s="869"/>
      <c r="T1" s="869"/>
      <c r="U1" s="869"/>
    </row>
    <row r="2" spans="1:21" ht="19" x14ac:dyDescent="0.25">
      <c r="A2" s="869"/>
      <c r="B2" s="869"/>
      <c r="C2" s="869"/>
      <c r="D2" s="869"/>
      <c r="E2" s="869"/>
      <c r="F2" s="871"/>
      <c r="G2" s="872"/>
      <c r="H2" s="869"/>
      <c r="I2" s="869"/>
      <c r="J2" s="869"/>
      <c r="K2" s="869"/>
      <c r="L2" s="869"/>
      <c r="M2" s="869"/>
      <c r="N2" s="869"/>
      <c r="O2" s="869"/>
      <c r="P2" s="869"/>
      <c r="Q2" s="869"/>
      <c r="R2" s="869"/>
      <c r="S2" s="869"/>
      <c r="T2" s="869"/>
      <c r="U2" s="869"/>
    </row>
    <row r="3" spans="1:21" x14ac:dyDescent="0.2">
      <c r="A3" s="869"/>
      <c r="B3" s="869"/>
      <c r="C3" s="869"/>
      <c r="D3" s="869"/>
      <c r="E3" s="869"/>
      <c r="F3" s="869"/>
      <c r="G3" s="869"/>
      <c r="H3" s="869"/>
      <c r="I3" s="869"/>
      <c r="J3" s="869"/>
      <c r="K3" s="869"/>
      <c r="L3" s="869"/>
      <c r="M3" s="869"/>
      <c r="N3" s="869"/>
      <c r="O3" s="869"/>
      <c r="P3" s="869"/>
      <c r="Q3" s="869"/>
      <c r="R3" s="869"/>
      <c r="S3" s="869"/>
      <c r="T3" s="869"/>
      <c r="U3" s="869"/>
    </row>
    <row r="4" spans="1:21" x14ac:dyDescent="0.2">
      <c r="A4" s="873"/>
      <c r="B4" s="873"/>
      <c r="C4" s="873"/>
      <c r="D4" s="873"/>
      <c r="E4" s="873"/>
      <c r="F4" s="873"/>
      <c r="G4" s="873"/>
      <c r="H4" s="873"/>
      <c r="I4" s="873"/>
      <c r="J4" s="873"/>
      <c r="K4" s="873"/>
      <c r="L4" s="873"/>
      <c r="M4" s="873"/>
      <c r="N4" s="873"/>
      <c r="O4" s="873"/>
      <c r="P4" s="869"/>
      <c r="Q4" s="869"/>
      <c r="R4" s="869"/>
      <c r="S4" s="869"/>
      <c r="T4" s="869"/>
      <c r="U4" s="869"/>
    </row>
    <row r="5" spans="1:21" x14ac:dyDescent="0.2">
      <c r="A5" s="873"/>
      <c r="B5" s="874"/>
      <c r="C5" s="1057"/>
      <c r="D5" s="1057"/>
      <c r="E5" s="873"/>
      <c r="F5" s="873"/>
      <c r="G5" s="873"/>
      <c r="H5" s="873"/>
      <c r="I5" s="873"/>
      <c r="J5" s="873"/>
      <c r="K5" s="873"/>
      <c r="L5" s="873"/>
      <c r="M5" s="873"/>
      <c r="N5" s="873"/>
      <c r="O5" s="873"/>
      <c r="P5" s="869"/>
      <c r="Q5" s="869"/>
      <c r="R5" s="869"/>
      <c r="S5" s="869"/>
      <c r="T5" s="869"/>
      <c r="U5" s="869"/>
    </row>
    <row r="6" spans="1:21" x14ac:dyDescent="0.2">
      <c r="A6" s="873"/>
      <c r="B6" s="873"/>
      <c r="C6" s="873"/>
      <c r="D6" s="873"/>
      <c r="E6" s="873"/>
      <c r="F6" s="873"/>
      <c r="G6" s="1058"/>
      <c r="H6" s="1058"/>
      <c r="I6" s="875"/>
      <c r="J6" s="873"/>
      <c r="K6" s="873"/>
      <c r="L6" s="873"/>
      <c r="M6" s="873"/>
      <c r="N6" s="873"/>
      <c r="O6" s="873"/>
      <c r="P6" s="869"/>
      <c r="Q6" s="869"/>
      <c r="R6" s="869"/>
      <c r="S6" s="869"/>
      <c r="T6" s="869"/>
      <c r="U6" s="869"/>
    </row>
    <row r="7" spans="1:21" x14ac:dyDescent="0.2">
      <c r="A7" s="873"/>
      <c r="B7" s="873"/>
      <c r="C7" s="873"/>
      <c r="D7" s="873"/>
      <c r="E7" s="873"/>
      <c r="F7" s="873"/>
      <c r="G7" s="877"/>
      <c r="H7" s="876"/>
      <c r="I7" s="902"/>
      <c r="J7" s="873"/>
      <c r="K7" s="873"/>
      <c r="L7" s="873"/>
      <c r="M7" s="873"/>
      <c r="N7" s="873"/>
      <c r="O7" s="873"/>
      <c r="P7" s="869"/>
      <c r="Q7" s="869"/>
      <c r="R7" s="869"/>
      <c r="S7" s="869"/>
      <c r="T7" s="869"/>
      <c r="U7" s="869"/>
    </row>
    <row r="8" spans="1:21" ht="27" customHeight="1" x14ac:dyDescent="0.2">
      <c r="A8" s="873"/>
      <c r="B8" s="1152" t="s">
        <v>579</v>
      </c>
      <c r="C8" s="1152"/>
      <c r="D8" s="1152"/>
      <c r="E8" s="903" t="s">
        <v>580</v>
      </c>
      <c r="F8" s="903" t="s">
        <v>581</v>
      </c>
      <c r="G8" s="904" t="s">
        <v>582</v>
      </c>
      <c r="H8" s="905" t="s">
        <v>583</v>
      </c>
      <c r="I8" s="873"/>
      <c r="J8" s="906" t="s">
        <v>589</v>
      </c>
      <c r="K8" s="906" t="s">
        <v>580</v>
      </c>
      <c r="L8" s="906" t="s">
        <v>581</v>
      </c>
      <c r="M8" s="907" t="s">
        <v>582</v>
      </c>
      <c r="N8" s="873"/>
      <c r="O8" s="873"/>
      <c r="P8" s="869"/>
      <c r="Q8" s="869"/>
      <c r="R8" s="869"/>
      <c r="S8" s="869"/>
      <c r="T8" s="869"/>
      <c r="U8" s="869"/>
    </row>
    <row r="9" spans="1:21" ht="24" customHeight="1" x14ac:dyDescent="0.2">
      <c r="B9" s="1151"/>
      <c r="C9" s="1151"/>
      <c r="D9" s="1151"/>
      <c r="E9" s="858"/>
      <c r="F9" s="858"/>
      <c r="G9" s="858"/>
      <c r="H9" s="858">
        <f>SUM(E9:G9)</f>
        <v>0</v>
      </c>
      <c r="J9" s="908">
        <v>3</v>
      </c>
      <c r="K9" s="908" t="s">
        <v>584</v>
      </c>
      <c r="L9" s="908" t="s">
        <v>586</v>
      </c>
      <c r="M9" s="908" t="s">
        <v>585</v>
      </c>
    </row>
    <row r="10" spans="1:21" ht="24" customHeight="1" x14ac:dyDescent="0.2">
      <c r="B10" s="1151"/>
      <c r="C10" s="1151"/>
      <c r="D10" s="1151"/>
      <c r="E10" s="858"/>
      <c r="F10" s="858"/>
      <c r="G10" s="858"/>
      <c r="H10" s="858">
        <f t="shared" ref="H10:H24" si="0">SUM(E10:G10)</f>
        <v>0</v>
      </c>
      <c r="J10" s="908">
        <v>6</v>
      </c>
      <c r="K10" s="908" t="s">
        <v>248</v>
      </c>
      <c r="L10" s="908" t="s">
        <v>587</v>
      </c>
      <c r="M10" s="908" t="s">
        <v>248</v>
      </c>
    </row>
    <row r="11" spans="1:21" ht="24" customHeight="1" x14ac:dyDescent="0.2">
      <c r="B11" s="1151"/>
      <c r="C11" s="1151"/>
      <c r="D11" s="1151"/>
      <c r="E11" s="858"/>
      <c r="F11" s="858"/>
      <c r="G11" s="858"/>
      <c r="H11" s="858">
        <f t="shared" si="0"/>
        <v>0</v>
      </c>
      <c r="J11" s="908">
        <v>9</v>
      </c>
      <c r="K11" s="908" t="s">
        <v>585</v>
      </c>
      <c r="L11" s="908" t="s">
        <v>588</v>
      </c>
      <c r="M11" s="908" t="s">
        <v>584</v>
      </c>
    </row>
    <row r="12" spans="1:21" ht="24" customHeight="1" x14ac:dyDescent="0.2">
      <c r="B12" s="1151"/>
      <c r="C12" s="1151"/>
      <c r="D12" s="1151"/>
      <c r="E12" s="858"/>
      <c r="F12" s="858"/>
      <c r="G12" s="858"/>
      <c r="H12" s="858">
        <f t="shared" si="0"/>
        <v>0</v>
      </c>
    </row>
    <row r="13" spans="1:21" ht="24" customHeight="1" x14ac:dyDescent="0.2">
      <c r="B13" s="1151"/>
      <c r="C13" s="1151"/>
      <c r="D13" s="1151"/>
      <c r="E13" s="858"/>
      <c r="F13" s="858"/>
      <c r="G13" s="858"/>
      <c r="H13" s="858">
        <f t="shared" si="0"/>
        <v>0</v>
      </c>
    </row>
    <row r="14" spans="1:21" ht="24" customHeight="1" x14ac:dyDescent="0.2">
      <c r="B14" s="1151"/>
      <c r="C14" s="1151"/>
      <c r="D14" s="1151"/>
      <c r="E14" s="858"/>
      <c r="F14" s="858"/>
      <c r="G14" s="858"/>
      <c r="H14" s="858">
        <f t="shared" si="0"/>
        <v>0</v>
      </c>
    </row>
    <row r="15" spans="1:21" ht="24" customHeight="1" x14ac:dyDescent="0.2">
      <c r="B15" s="1151"/>
      <c r="C15" s="1151"/>
      <c r="D15" s="1151"/>
      <c r="E15" s="858"/>
      <c r="F15" s="858"/>
      <c r="G15" s="858"/>
      <c r="H15" s="858">
        <f t="shared" si="0"/>
        <v>0</v>
      </c>
    </row>
    <row r="16" spans="1:21" ht="24" customHeight="1" x14ac:dyDescent="0.2">
      <c r="B16" s="1151"/>
      <c r="C16" s="1151"/>
      <c r="D16" s="1151"/>
      <c r="E16" s="858"/>
      <c r="F16" s="858"/>
      <c r="G16" s="858"/>
      <c r="H16" s="858">
        <f t="shared" si="0"/>
        <v>0</v>
      </c>
    </row>
    <row r="17" spans="2:8" ht="24" customHeight="1" x14ac:dyDescent="0.2">
      <c r="B17" s="1151"/>
      <c r="C17" s="1151"/>
      <c r="D17" s="1151"/>
      <c r="E17" s="858"/>
      <c r="F17" s="858"/>
      <c r="G17" s="858"/>
      <c r="H17" s="858">
        <f t="shared" si="0"/>
        <v>0</v>
      </c>
    </row>
    <row r="18" spans="2:8" ht="24" customHeight="1" x14ac:dyDescent="0.2">
      <c r="B18" s="1151"/>
      <c r="C18" s="1151"/>
      <c r="D18" s="1151"/>
      <c r="E18" s="858"/>
      <c r="F18" s="858"/>
      <c r="G18" s="858"/>
      <c r="H18" s="858">
        <f t="shared" si="0"/>
        <v>0</v>
      </c>
    </row>
    <row r="19" spans="2:8" ht="24" customHeight="1" x14ac:dyDescent="0.2">
      <c r="B19" s="1151"/>
      <c r="C19" s="1151"/>
      <c r="D19" s="1151"/>
      <c r="E19" s="858"/>
      <c r="F19" s="858"/>
      <c r="G19" s="858"/>
      <c r="H19" s="858">
        <f t="shared" si="0"/>
        <v>0</v>
      </c>
    </row>
    <row r="20" spans="2:8" ht="24" customHeight="1" x14ac:dyDescent="0.2">
      <c r="B20" s="1151"/>
      <c r="C20" s="1151"/>
      <c r="D20" s="1151"/>
      <c r="E20" s="858"/>
      <c r="F20" s="858"/>
      <c r="G20" s="858"/>
      <c r="H20" s="858">
        <f t="shared" si="0"/>
        <v>0</v>
      </c>
    </row>
    <row r="21" spans="2:8" ht="24" customHeight="1" x14ac:dyDescent="0.2">
      <c r="B21" s="1151"/>
      <c r="C21" s="1151"/>
      <c r="D21" s="1151"/>
      <c r="E21" s="858"/>
      <c r="F21" s="858"/>
      <c r="G21" s="858"/>
      <c r="H21" s="858">
        <f t="shared" si="0"/>
        <v>0</v>
      </c>
    </row>
    <row r="22" spans="2:8" ht="24" customHeight="1" x14ac:dyDescent="0.2">
      <c r="B22" s="1151"/>
      <c r="C22" s="1151"/>
      <c r="D22" s="1151"/>
      <c r="E22" s="858"/>
      <c r="F22" s="858"/>
      <c r="G22" s="858"/>
      <c r="H22" s="858">
        <f t="shared" si="0"/>
        <v>0</v>
      </c>
    </row>
    <row r="23" spans="2:8" ht="24" customHeight="1" x14ac:dyDescent="0.2">
      <c r="B23" s="1151"/>
      <c r="C23" s="1151"/>
      <c r="D23" s="1151"/>
      <c r="E23" s="858"/>
      <c r="F23" s="858"/>
      <c r="G23" s="858"/>
      <c r="H23" s="858">
        <f t="shared" si="0"/>
        <v>0</v>
      </c>
    </row>
    <row r="24" spans="2:8" ht="24" customHeight="1" x14ac:dyDescent="0.2">
      <c r="B24" s="1151"/>
      <c r="C24" s="1151"/>
      <c r="D24" s="1151"/>
      <c r="E24" s="858"/>
      <c r="F24" s="858"/>
      <c r="G24" s="858"/>
      <c r="H24" s="858">
        <f t="shared" si="0"/>
        <v>0</v>
      </c>
    </row>
  </sheetData>
  <sheetProtection selectLockedCells="1"/>
  <mergeCells count="19">
    <mergeCell ref="B15:D15"/>
    <mergeCell ref="B16:D16"/>
    <mergeCell ref="B17:D17"/>
    <mergeCell ref="B23:D23"/>
    <mergeCell ref="B24:D24"/>
    <mergeCell ref="B18:D18"/>
    <mergeCell ref="B19:D19"/>
    <mergeCell ref="B20:D20"/>
    <mergeCell ref="B21:D21"/>
    <mergeCell ref="B22:D22"/>
    <mergeCell ref="C5:D5"/>
    <mergeCell ref="G6:H6"/>
    <mergeCell ref="B14:D14"/>
    <mergeCell ref="B8:D8"/>
    <mergeCell ref="B9:D9"/>
    <mergeCell ref="B10:D10"/>
    <mergeCell ref="B11:D11"/>
    <mergeCell ref="B12:D12"/>
    <mergeCell ref="B13:D13"/>
  </mergeCells>
  <dataValidations count="2">
    <dataValidation type="whole" allowBlank="1" showInputMessage="1" showErrorMessage="1" sqref="J9">
      <formula1>1</formula1>
      <formula2>9</formula2>
    </dataValidation>
    <dataValidation type="list" allowBlank="1" showInputMessage="1" showErrorMessage="1" sqref="E9:G24">
      <formula1>$J$9:$J$11</formula1>
    </dataValidation>
  </dataValidations>
  <pageMargins left="0.511811024" right="0.511811024" top="0.78740157499999996" bottom="0.78740157499999996" header="0.31496062000000002" footer="0.31496062000000002"/>
  <pageSetup paperSize="9" orientation="portrait"/>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enableFormatConditionsCalculation="0">
    <tabColor theme="9" tint="0.499984740745262"/>
  </sheetPr>
  <dimension ref="A1:M57"/>
  <sheetViews>
    <sheetView zoomScale="108" zoomScaleNormal="75" zoomScalePageLayoutView="75" workbookViewId="0">
      <selection activeCell="J24" sqref="J24:M40"/>
    </sheetView>
  </sheetViews>
  <sheetFormatPr baseColWidth="10" defaultColWidth="20.6640625" defaultRowHeight="14" outlineLevelCol="1" x14ac:dyDescent="0.2"/>
  <cols>
    <col min="1" max="1" width="2" style="477" customWidth="1"/>
    <col min="2" max="2" width="70.33203125" style="477" bestFit="1" customWidth="1"/>
    <col min="3" max="3" width="14.6640625" style="477" customWidth="1"/>
    <col min="4" max="4" width="15.33203125" style="477" customWidth="1"/>
    <col min="5" max="8" width="20.6640625" style="477" customWidth="1" outlineLevel="1"/>
    <col min="9" max="13" width="15.1640625" style="477" customWidth="1"/>
    <col min="14" max="16384" width="20.6640625" style="477"/>
  </cols>
  <sheetData>
    <row r="1" spans="1:13" x14ac:dyDescent="0.2">
      <c r="A1" s="473"/>
    </row>
    <row r="3" spans="1:13" ht="21" customHeight="1" x14ac:dyDescent="0.2"/>
    <row r="4" spans="1:13" ht="21" customHeight="1" x14ac:dyDescent="0.2">
      <c r="B4" s="1157" t="s">
        <v>294</v>
      </c>
      <c r="C4" s="1157"/>
      <c r="D4" s="1157"/>
      <c r="E4" s="1157"/>
      <c r="F4" s="1157"/>
      <c r="G4" s="1157"/>
      <c r="H4" s="1157"/>
      <c r="I4" s="1157"/>
      <c r="J4" s="1157"/>
      <c r="K4" s="1157"/>
      <c r="L4" s="1157"/>
      <c r="M4" s="1157"/>
    </row>
    <row r="5" spans="1:13" x14ac:dyDescent="0.2">
      <c r="B5" s="1158" t="s">
        <v>35</v>
      </c>
      <c r="C5" s="1158" t="s">
        <v>37</v>
      </c>
      <c r="D5" s="1157" t="s">
        <v>295</v>
      </c>
      <c r="E5" s="1157"/>
      <c r="F5" s="1157"/>
      <c r="G5" s="1157"/>
      <c r="H5" s="1157"/>
      <c r="I5" s="1157"/>
      <c r="J5" s="1157"/>
      <c r="K5" s="1157"/>
      <c r="L5" s="1157"/>
      <c r="M5" s="1157"/>
    </row>
    <row r="6" spans="1:13" ht="15" customHeight="1" x14ac:dyDescent="0.2">
      <c r="A6" s="44"/>
      <c r="B6" s="1158"/>
      <c r="C6" s="1158"/>
      <c r="D6" s="510" t="s">
        <v>423</v>
      </c>
      <c r="E6" s="1159">
        <f>D7+1</f>
        <v>2017</v>
      </c>
      <c r="F6" s="1159"/>
      <c r="G6" s="1159"/>
      <c r="H6" s="1159"/>
      <c r="I6" s="1159"/>
      <c r="J6" s="1159">
        <f>E6+1</f>
        <v>2018</v>
      </c>
      <c r="K6" s="1159">
        <f>J6+1</f>
        <v>2019</v>
      </c>
      <c r="L6" s="1159">
        <f>K6+1</f>
        <v>2020</v>
      </c>
      <c r="M6" s="1159">
        <f>L6+1</f>
        <v>2021</v>
      </c>
    </row>
    <row r="7" spans="1:13" ht="18" customHeight="1" x14ac:dyDescent="0.2">
      <c r="A7" s="44"/>
      <c r="B7" s="1158"/>
      <c r="C7" s="1158"/>
      <c r="D7" s="510">
        <f>'Input Zootecnico atual'!C4</f>
        <v>2016</v>
      </c>
      <c r="E7" s="503" t="s">
        <v>275</v>
      </c>
      <c r="F7" s="503" t="s">
        <v>276</v>
      </c>
      <c r="G7" s="503" t="s">
        <v>277</v>
      </c>
      <c r="H7" s="503" t="s">
        <v>278</v>
      </c>
      <c r="I7" s="143" t="s">
        <v>296</v>
      </c>
      <c r="J7" s="1159"/>
      <c r="K7" s="1159"/>
      <c r="L7" s="1159"/>
      <c r="M7" s="1159"/>
    </row>
    <row r="8" spans="1:13" ht="18" customHeight="1" x14ac:dyDescent="0.2">
      <c r="A8" s="44"/>
      <c r="B8" s="158" t="s">
        <v>279</v>
      </c>
      <c r="C8" s="145" t="s">
        <v>280</v>
      </c>
      <c r="D8" s="177">
        <f>'Input Financeiro atual'!$C$11</f>
        <v>0</v>
      </c>
      <c r="E8" s="1038">
        <v>0</v>
      </c>
      <c r="F8" s="1038">
        <v>0</v>
      </c>
      <c r="G8" s="1038">
        <v>0</v>
      </c>
      <c r="H8" s="1038">
        <v>0</v>
      </c>
      <c r="I8" s="511">
        <f>IFERROR(AVERAGE(E8:H8),"-")</f>
        <v>0</v>
      </c>
      <c r="J8" s="146">
        <v>0</v>
      </c>
      <c r="K8" s="146">
        <v>0</v>
      </c>
      <c r="L8" s="146">
        <v>0</v>
      </c>
      <c r="M8" s="146">
        <v>0</v>
      </c>
    </row>
    <row r="9" spans="1:13" ht="18" customHeight="1" x14ac:dyDescent="0.2">
      <c r="A9" s="44"/>
      <c r="B9" s="159"/>
      <c r="C9" s="147" t="s">
        <v>281</v>
      </c>
      <c r="D9" s="1037"/>
      <c r="E9" s="1037"/>
      <c r="F9" s="1037"/>
      <c r="G9" s="1037"/>
      <c r="H9" s="1037"/>
      <c r="I9" s="511" t="str">
        <f t="shared" ref="I9:I23" si="0">IFERROR(AVERAGE(E9:H9),"-")</f>
        <v>-</v>
      </c>
      <c r="J9" s="177" t="s">
        <v>42</v>
      </c>
      <c r="K9" s="177" t="s">
        <v>42</v>
      </c>
      <c r="L9" s="177" t="s">
        <v>42</v>
      </c>
      <c r="M9" s="177" t="s">
        <v>42</v>
      </c>
    </row>
    <row r="10" spans="1:13" ht="18" customHeight="1" x14ac:dyDescent="0.2">
      <c r="A10" s="44"/>
      <c r="B10" s="159"/>
      <c r="C10" s="147" t="s">
        <v>281</v>
      </c>
      <c r="D10" s="1037"/>
      <c r="E10" s="1037"/>
      <c r="F10" s="1037"/>
      <c r="G10" s="1037"/>
      <c r="H10" s="1037"/>
      <c r="I10" s="511" t="str">
        <f t="shared" si="0"/>
        <v>-</v>
      </c>
      <c r="J10" s="177" t="s">
        <v>42</v>
      </c>
      <c r="K10" s="177" t="s">
        <v>42</v>
      </c>
      <c r="L10" s="177" t="s">
        <v>42</v>
      </c>
      <c r="M10" s="177" t="s">
        <v>42</v>
      </c>
    </row>
    <row r="11" spans="1:13" ht="18" customHeight="1" x14ac:dyDescent="0.2">
      <c r="A11" s="44"/>
      <c r="B11" s="159"/>
      <c r="C11" s="147" t="s">
        <v>281</v>
      </c>
      <c r="D11" s="1037"/>
      <c r="E11" s="1037"/>
      <c r="F11" s="1037"/>
      <c r="G11" s="1037"/>
      <c r="H11" s="1037"/>
      <c r="I11" s="511" t="str">
        <f t="shared" si="0"/>
        <v>-</v>
      </c>
      <c r="J11" s="177" t="s">
        <v>42</v>
      </c>
      <c r="K11" s="177" t="s">
        <v>42</v>
      </c>
      <c r="L11" s="177" t="s">
        <v>42</v>
      </c>
      <c r="M11" s="177" t="s">
        <v>42</v>
      </c>
    </row>
    <row r="12" spans="1:13" ht="18" customHeight="1" x14ac:dyDescent="0.2">
      <c r="A12" s="44"/>
      <c r="B12" s="159"/>
      <c r="C12" s="147" t="s">
        <v>281</v>
      </c>
      <c r="D12" s="1037"/>
      <c r="E12" s="1037"/>
      <c r="F12" s="1037"/>
      <c r="G12" s="1037"/>
      <c r="H12" s="1037"/>
      <c r="I12" s="511" t="str">
        <f t="shared" si="0"/>
        <v>-</v>
      </c>
      <c r="J12" s="177" t="s">
        <v>42</v>
      </c>
      <c r="K12" s="177" t="s">
        <v>42</v>
      </c>
      <c r="L12" s="177" t="s">
        <v>42</v>
      </c>
      <c r="M12" s="177" t="s">
        <v>42</v>
      </c>
    </row>
    <row r="13" spans="1:13" ht="18" customHeight="1" x14ac:dyDescent="0.2">
      <c r="A13" s="44"/>
      <c r="B13" s="160"/>
      <c r="C13" s="147" t="s">
        <v>281</v>
      </c>
      <c r="D13" s="1037"/>
      <c r="E13" s="1037"/>
      <c r="F13" s="1037"/>
      <c r="G13" s="1037"/>
      <c r="H13" s="1037"/>
      <c r="I13" s="511" t="str">
        <f t="shared" si="0"/>
        <v>-</v>
      </c>
      <c r="J13" s="177" t="s">
        <v>42</v>
      </c>
      <c r="K13" s="177" t="s">
        <v>42</v>
      </c>
      <c r="L13" s="177" t="s">
        <v>42</v>
      </c>
      <c r="M13" s="177" t="s">
        <v>42</v>
      </c>
    </row>
    <row r="14" spans="1:13" ht="18" customHeight="1" x14ac:dyDescent="0.2">
      <c r="A14" s="44"/>
      <c r="B14" s="159"/>
      <c r="C14" s="147" t="s">
        <v>281</v>
      </c>
      <c r="D14" s="1037"/>
      <c r="E14" s="1037"/>
      <c r="F14" s="1037"/>
      <c r="G14" s="1037"/>
      <c r="H14" s="1037"/>
      <c r="I14" s="511" t="str">
        <f t="shared" si="0"/>
        <v>-</v>
      </c>
      <c r="J14" s="177" t="s">
        <v>42</v>
      </c>
      <c r="K14" s="177" t="s">
        <v>42</v>
      </c>
      <c r="L14" s="177" t="s">
        <v>42</v>
      </c>
      <c r="M14" s="177" t="s">
        <v>42</v>
      </c>
    </row>
    <row r="15" spans="1:13" ht="18" customHeight="1" x14ac:dyDescent="0.2">
      <c r="A15" s="44"/>
      <c r="B15" s="159"/>
      <c r="C15" s="147" t="s">
        <v>281</v>
      </c>
      <c r="D15" s="1037"/>
      <c r="E15" s="1037"/>
      <c r="F15" s="1037"/>
      <c r="G15" s="1037"/>
      <c r="H15" s="1037"/>
      <c r="I15" s="511" t="str">
        <f>IFERROR(AVERAGE(E15:H15),"-")</f>
        <v>-</v>
      </c>
      <c r="J15" s="177" t="s">
        <v>42</v>
      </c>
      <c r="K15" s="177" t="s">
        <v>42</v>
      </c>
      <c r="L15" s="177" t="s">
        <v>42</v>
      </c>
      <c r="M15" s="177" t="s">
        <v>42</v>
      </c>
    </row>
    <row r="16" spans="1:13" ht="18" customHeight="1" x14ac:dyDescent="0.2">
      <c r="A16" s="44"/>
      <c r="B16" s="159"/>
      <c r="C16" s="147" t="s">
        <v>281</v>
      </c>
      <c r="D16" s="1037"/>
      <c r="E16" s="1037"/>
      <c r="F16" s="1037"/>
      <c r="G16" s="1037"/>
      <c r="H16" s="1037"/>
      <c r="I16" s="511" t="str">
        <f>IFERROR(AVERAGE(E16:H16),"-")</f>
        <v>-</v>
      </c>
      <c r="J16" s="177" t="s">
        <v>42</v>
      </c>
      <c r="K16" s="177" t="s">
        <v>42</v>
      </c>
      <c r="L16" s="177" t="s">
        <v>42</v>
      </c>
      <c r="M16" s="177" t="s">
        <v>42</v>
      </c>
    </row>
    <row r="17" spans="1:13" ht="18" customHeight="1" x14ac:dyDescent="0.2">
      <c r="A17" s="44"/>
      <c r="B17" s="159"/>
      <c r="C17" s="147" t="s">
        <v>281</v>
      </c>
      <c r="D17" s="1037"/>
      <c r="E17" s="1037"/>
      <c r="F17" s="1037"/>
      <c r="G17" s="1037"/>
      <c r="H17" s="1037"/>
      <c r="I17" s="511" t="str">
        <f t="shared" si="0"/>
        <v>-</v>
      </c>
      <c r="J17" s="177" t="s">
        <v>42</v>
      </c>
      <c r="K17" s="177" t="s">
        <v>42</v>
      </c>
      <c r="L17" s="177" t="s">
        <v>42</v>
      </c>
      <c r="M17" s="177" t="s">
        <v>42</v>
      </c>
    </row>
    <row r="18" spans="1:13" ht="18" customHeight="1" x14ac:dyDescent="0.2">
      <c r="A18" s="44"/>
      <c r="B18" s="159"/>
      <c r="C18" s="147" t="s">
        <v>281</v>
      </c>
      <c r="D18" s="1037"/>
      <c r="E18" s="1037"/>
      <c r="F18" s="1037"/>
      <c r="G18" s="1037"/>
      <c r="H18" s="1037"/>
      <c r="I18" s="511" t="str">
        <f t="shared" si="0"/>
        <v>-</v>
      </c>
      <c r="J18" s="177" t="s">
        <v>42</v>
      </c>
      <c r="K18" s="177" t="s">
        <v>42</v>
      </c>
      <c r="L18" s="177" t="s">
        <v>42</v>
      </c>
      <c r="M18" s="177" t="s">
        <v>42</v>
      </c>
    </row>
    <row r="19" spans="1:13" ht="18" customHeight="1" x14ac:dyDescent="0.2">
      <c r="A19" s="44"/>
      <c r="B19" s="159"/>
      <c r="C19" s="147" t="s">
        <v>281</v>
      </c>
      <c r="D19" s="1037"/>
      <c r="E19" s="1037"/>
      <c r="F19" s="1037"/>
      <c r="G19" s="1037"/>
      <c r="H19" s="1037"/>
      <c r="I19" s="511" t="str">
        <f t="shared" si="0"/>
        <v>-</v>
      </c>
      <c r="J19" s="177" t="s">
        <v>42</v>
      </c>
      <c r="K19" s="177" t="s">
        <v>42</v>
      </c>
      <c r="L19" s="177" t="s">
        <v>42</v>
      </c>
      <c r="M19" s="177" t="s">
        <v>42</v>
      </c>
    </row>
    <row r="20" spans="1:13" ht="18" customHeight="1" x14ac:dyDescent="0.2">
      <c r="A20" s="44"/>
      <c r="B20" s="159"/>
      <c r="C20" s="147" t="s">
        <v>281</v>
      </c>
      <c r="D20" s="1037"/>
      <c r="E20" s="1037"/>
      <c r="F20" s="1037"/>
      <c r="G20" s="1037"/>
      <c r="H20" s="1037"/>
      <c r="I20" s="511" t="str">
        <f t="shared" si="0"/>
        <v>-</v>
      </c>
      <c r="J20" s="177" t="s">
        <v>42</v>
      </c>
      <c r="K20" s="177" t="s">
        <v>42</v>
      </c>
      <c r="L20" s="177" t="s">
        <v>42</v>
      </c>
      <c r="M20" s="177" t="s">
        <v>42</v>
      </c>
    </row>
    <row r="21" spans="1:13" ht="15" customHeight="1" x14ac:dyDescent="0.2">
      <c r="A21" s="44"/>
      <c r="B21" s="159"/>
      <c r="C21" s="147" t="s">
        <v>281</v>
      </c>
      <c r="D21" s="146"/>
      <c r="E21" s="146"/>
      <c r="F21" s="146"/>
      <c r="G21" s="146"/>
      <c r="H21" s="146"/>
      <c r="I21" s="511" t="str">
        <f>IFERROR(AVERAGE(E21:H21),"-")</f>
        <v>-</v>
      </c>
      <c r="J21" s="203" t="s">
        <v>42</v>
      </c>
      <c r="K21" s="203" t="s">
        <v>42</v>
      </c>
      <c r="L21" s="203" t="s">
        <v>42</v>
      </c>
      <c r="M21" s="203" t="s">
        <v>42</v>
      </c>
    </row>
    <row r="22" spans="1:13" ht="18" customHeight="1" x14ac:dyDescent="0.2">
      <c r="A22" s="44"/>
      <c r="B22" s="159"/>
      <c r="C22" s="147" t="s">
        <v>281</v>
      </c>
      <c r="D22" s="146"/>
      <c r="E22" s="146"/>
      <c r="F22" s="146"/>
      <c r="G22" s="146"/>
      <c r="H22" s="146"/>
      <c r="I22" s="511" t="str">
        <f>IFERROR(AVERAGE(E22:H22),"-")</f>
        <v>-</v>
      </c>
      <c r="J22" s="203" t="s">
        <v>42</v>
      </c>
      <c r="K22" s="203" t="s">
        <v>42</v>
      </c>
      <c r="L22" s="203" t="s">
        <v>42</v>
      </c>
      <c r="M22" s="203" t="s">
        <v>42</v>
      </c>
    </row>
    <row r="23" spans="1:13" ht="18" customHeight="1" thickBot="1" x14ac:dyDescent="0.25">
      <c r="A23" s="44"/>
      <c r="B23" s="159"/>
      <c r="C23" s="148" t="s">
        <v>281</v>
      </c>
      <c r="D23" s="146"/>
      <c r="E23" s="146"/>
      <c r="F23" s="146"/>
      <c r="G23" s="146"/>
      <c r="H23" s="146"/>
      <c r="I23" s="149" t="str">
        <f t="shared" si="0"/>
        <v>-</v>
      </c>
      <c r="J23" s="1029" t="s">
        <v>42</v>
      </c>
      <c r="K23" s="1029" t="s">
        <v>42</v>
      </c>
      <c r="L23" s="1029" t="s">
        <v>42</v>
      </c>
      <c r="M23" s="1029" t="s">
        <v>42</v>
      </c>
    </row>
    <row r="24" spans="1:13" ht="18" customHeight="1" thickTop="1" x14ac:dyDescent="0.2">
      <c r="A24" s="44"/>
      <c r="B24" s="161" t="str">
        <f>'Input Financeiro atual'!B28</f>
        <v>Mão de obra</v>
      </c>
      <c r="C24" s="150" t="s">
        <v>449</v>
      </c>
      <c r="D24" s="151">
        <f>'Input Financeiro atual'!C28/12</f>
        <v>0</v>
      </c>
      <c r="E24" s="152">
        <v>0</v>
      </c>
      <c r="F24" s="152">
        <v>0</v>
      </c>
      <c r="G24" s="152">
        <v>0</v>
      </c>
      <c r="H24" s="152">
        <v>0</v>
      </c>
      <c r="I24" s="153">
        <f>IFERROR(AVERAGE(E24:H24),"-")</f>
        <v>0</v>
      </c>
      <c r="J24" s="152">
        <v>0</v>
      </c>
      <c r="K24" s="152">
        <v>0</v>
      </c>
      <c r="L24" s="152">
        <v>0</v>
      </c>
      <c r="M24" s="152">
        <v>0</v>
      </c>
    </row>
    <row r="25" spans="1:13" ht="16.25" customHeight="1" x14ac:dyDescent="0.2">
      <c r="A25" s="44"/>
      <c r="B25" s="161" t="str">
        <f>'Input Financeiro atual'!B29</f>
        <v>Sanidade</v>
      </c>
      <c r="C25" s="154" t="s">
        <v>447</v>
      </c>
      <c r="D25" s="155" t="e">
        <f>('Input Financeiro atual'!C29/('Input Zootecnico atual'!$C$17+'Input Zootecnico atual'!$C$23))/12</f>
        <v>#DIV/0!</v>
      </c>
      <c r="E25" s="146" t="e">
        <v>#DIV/0!</v>
      </c>
      <c r="F25" s="146" t="e">
        <v>#DIV/0!</v>
      </c>
      <c r="G25" s="146" t="e">
        <v>#DIV/0!</v>
      </c>
      <c r="H25" s="146" t="e">
        <v>#DIV/0!</v>
      </c>
      <c r="I25" s="153" t="str">
        <f t="shared" ref="I25:I40" si="1">IFERROR(AVERAGE(E25:H25),"-")</f>
        <v>-</v>
      </c>
      <c r="J25" s="146" t="s">
        <v>42</v>
      </c>
      <c r="K25" s="146" t="s">
        <v>42</v>
      </c>
      <c r="L25" s="146" t="s">
        <v>42</v>
      </c>
      <c r="M25" s="146" t="s">
        <v>42</v>
      </c>
    </row>
    <row r="26" spans="1:13" ht="18" customHeight="1" x14ac:dyDescent="0.2">
      <c r="A26" s="44"/>
      <c r="B26" s="161" t="str">
        <f>'Input Financeiro atual'!B30</f>
        <v>Reprodução</v>
      </c>
      <c r="C26" s="154" t="s">
        <v>448</v>
      </c>
      <c r="D26" s="155" t="e">
        <f>('Input Financeiro atual'!C30/('Input Zootecnico atual'!$C$17))/12</f>
        <v>#DIV/0!</v>
      </c>
      <c r="E26" s="146" t="e">
        <v>#DIV/0!</v>
      </c>
      <c r="F26" s="146" t="e">
        <v>#DIV/0!</v>
      </c>
      <c r="G26" s="146" t="e">
        <v>#DIV/0!</v>
      </c>
      <c r="H26" s="146" t="e">
        <v>#DIV/0!</v>
      </c>
      <c r="I26" s="153" t="str">
        <f t="shared" si="1"/>
        <v>-</v>
      </c>
      <c r="J26" s="146" t="s">
        <v>42</v>
      </c>
      <c r="K26" s="146" t="s">
        <v>42</v>
      </c>
      <c r="L26" s="146" t="s">
        <v>42</v>
      </c>
      <c r="M26" s="146" t="s">
        <v>42</v>
      </c>
    </row>
    <row r="27" spans="1:13" ht="18" customHeight="1" x14ac:dyDescent="0.2">
      <c r="A27" s="44"/>
      <c r="B27" s="161" t="str">
        <f>'Input Financeiro atual'!B31</f>
        <v>Material de consumo</v>
      </c>
      <c r="C27" s="154" t="s">
        <v>447</v>
      </c>
      <c r="D27" s="155" t="e">
        <f>('Input Financeiro atual'!C31/('Input Zootecnico atual'!$C$17+'Input Zootecnico atual'!$C$23))/12</f>
        <v>#DIV/0!</v>
      </c>
      <c r="E27" s="146" t="e">
        <v>#DIV/0!</v>
      </c>
      <c r="F27" s="146" t="e">
        <v>#DIV/0!</v>
      </c>
      <c r="G27" s="146" t="e">
        <v>#DIV/0!</v>
      </c>
      <c r="H27" s="146" t="e">
        <v>#DIV/0!</v>
      </c>
      <c r="I27" s="153" t="str">
        <f t="shared" si="1"/>
        <v>-</v>
      </c>
      <c r="J27" s="146" t="s">
        <v>42</v>
      </c>
      <c r="K27" s="146" t="s">
        <v>42</v>
      </c>
      <c r="L27" s="146" t="s">
        <v>42</v>
      </c>
      <c r="M27" s="146" t="s">
        <v>42</v>
      </c>
    </row>
    <row r="28" spans="1:13" ht="18" customHeight="1" x14ac:dyDescent="0.2">
      <c r="A28" s="44"/>
      <c r="B28" s="161" t="str">
        <f>'Input Financeiro atual'!B32</f>
        <v>BST</v>
      </c>
      <c r="C28" s="154" t="s">
        <v>448</v>
      </c>
      <c r="D28" s="155" t="e">
        <f>('Input Financeiro atual'!C32/('Input Zootecnico atual'!$C$17))/12</f>
        <v>#DIV/0!</v>
      </c>
      <c r="E28" s="146" t="e">
        <v>#DIV/0!</v>
      </c>
      <c r="F28" s="146" t="e">
        <v>#DIV/0!</v>
      </c>
      <c r="G28" s="146" t="e">
        <v>#DIV/0!</v>
      </c>
      <c r="H28" s="146" t="e">
        <v>#DIV/0!</v>
      </c>
      <c r="I28" s="153" t="str">
        <f t="shared" si="1"/>
        <v>-</v>
      </c>
      <c r="J28" s="146" t="s">
        <v>42</v>
      </c>
      <c r="K28" s="146" t="s">
        <v>42</v>
      </c>
      <c r="L28" s="146" t="s">
        <v>42</v>
      </c>
      <c r="M28" s="146" t="s">
        <v>42</v>
      </c>
    </row>
    <row r="29" spans="1:13" ht="18" customHeight="1" x14ac:dyDescent="0.2">
      <c r="A29" s="44"/>
      <c r="B29" s="161" t="str">
        <f>'Input Financeiro atual'!B33</f>
        <v>Controles</v>
      </c>
      <c r="C29" s="154" t="s">
        <v>447</v>
      </c>
      <c r="D29" s="155" t="e">
        <f>('Input Financeiro atual'!C33/('Input Zootecnico atual'!$C$17+'Input Zootecnico atual'!$C$23))/12</f>
        <v>#DIV/0!</v>
      </c>
      <c r="E29" s="146" t="e">
        <v>#DIV/0!</v>
      </c>
      <c r="F29" s="146" t="e">
        <v>#DIV/0!</v>
      </c>
      <c r="G29" s="146" t="e">
        <v>#DIV/0!</v>
      </c>
      <c r="H29" s="146" t="e">
        <v>#DIV/0!</v>
      </c>
      <c r="I29" s="153" t="str">
        <f t="shared" si="1"/>
        <v>-</v>
      </c>
      <c r="J29" s="146" t="s">
        <v>42</v>
      </c>
      <c r="K29" s="146" t="s">
        <v>42</v>
      </c>
      <c r="L29" s="146" t="s">
        <v>42</v>
      </c>
      <c r="M29" s="146" t="s">
        <v>42</v>
      </c>
    </row>
    <row r="30" spans="1:13" ht="18" customHeight="1" x14ac:dyDescent="0.2">
      <c r="A30" s="44"/>
      <c r="B30" s="161" t="str">
        <f>'Input Financeiro atual'!B34</f>
        <v>Energia elétrica e combustível</v>
      </c>
      <c r="C30" s="154" t="s">
        <v>448</v>
      </c>
      <c r="D30" s="155" t="e">
        <f>('Input Financeiro atual'!C34/('Input Zootecnico atual'!$C$17))/12</f>
        <v>#DIV/0!</v>
      </c>
      <c r="E30" s="146" t="e">
        <v>#DIV/0!</v>
      </c>
      <c r="F30" s="146" t="e">
        <v>#DIV/0!</v>
      </c>
      <c r="G30" s="146" t="e">
        <v>#DIV/0!</v>
      </c>
      <c r="H30" s="146" t="e">
        <v>#DIV/0!</v>
      </c>
      <c r="I30" s="153" t="str">
        <f t="shared" si="1"/>
        <v>-</v>
      </c>
      <c r="J30" s="146" t="s">
        <v>42</v>
      </c>
      <c r="K30" s="146" t="s">
        <v>42</v>
      </c>
      <c r="L30" s="146" t="s">
        <v>42</v>
      </c>
      <c r="M30" s="146" t="s">
        <v>42</v>
      </c>
    </row>
    <row r="31" spans="1:13" ht="18" customHeight="1" x14ac:dyDescent="0.2">
      <c r="A31" s="44"/>
      <c r="B31" s="161" t="str">
        <f>'Input Financeiro atual'!B35</f>
        <v>Manutenção de instalações</v>
      </c>
      <c r="C31" s="154" t="s">
        <v>449</v>
      </c>
      <c r="D31" s="155">
        <f>('Input Financeiro atual'!C35/12)</f>
        <v>0</v>
      </c>
      <c r="E31" s="146">
        <v>0</v>
      </c>
      <c r="F31" s="146">
        <v>0</v>
      </c>
      <c r="G31" s="146">
        <v>0</v>
      </c>
      <c r="H31" s="146">
        <v>0</v>
      </c>
      <c r="I31" s="153">
        <f t="shared" si="1"/>
        <v>0</v>
      </c>
      <c r="J31" s="146">
        <v>0</v>
      </c>
      <c r="K31" s="146">
        <v>0</v>
      </c>
      <c r="L31" s="146">
        <v>0</v>
      </c>
      <c r="M31" s="146">
        <v>0</v>
      </c>
    </row>
    <row r="32" spans="1:13" ht="18" customHeight="1" x14ac:dyDescent="0.2">
      <c r="A32" s="44"/>
      <c r="B32" s="161" t="str">
        <f>'Input Financeiro atual'!B36</f>
        <v>Manutenção de maquinário</v>
      </c>
      <c r="C32" s="154" t="s">
        <v>449</v>
      </c>
      <c r="D32" s="155">
        <f>('Input Financeiro atual'!C36/12)</f>
        <v>0</v>
      </c>
      <c r="E32" s="146">
        <v>0</v>
      </c>
      <c r="F32" s="146">
        <v>0</v>
      </c>
      <c r="G32" s="146">
        <v>0</v>
      </c>
      <c r="H32" s="146">
        <v>0</v>
      </c>
      <c r="I32" s="153">
        <f t="shared" si="1"/>
        <v>0</v>
      </c>
      <c r="J32" s="146">
        <v>0</v>
      </c>
      <c r="K32" s="146">
        <v>0</v>
      </c>
      <c r="L32" s="146">
        <v>0</v>
      </c>
      <c r="M32" s="146">
        <v>0</v>
      </c>
    </row>
    <row r="33" spans="1:13" ht="18" customHeight="1" x14ac:dyDescent="0.2">
      <c r="A33" s="44"/>
      <c r="B33" s="161" t="str">
        <f>'Input Financeiro atual'!B37</f>
        <v>Arrendamento de terra para o leite</v>
      </c>
      <c r="C33" s="154" t="s">
        <v>449</v>
      </c>
      <c r="D33" s="155">
        <f>('Input Financeiro atual'!C37/12)</f>
        <v>0</v>
      </c>
      <c r="E33" s="146">
        <v>0</v>
      </c>
      <c r="F33" s="146">
        <v>0</v>
      </c>
      <c r="G33" s="146">
        <v>0</v>
      </c>
      <c r="H33" s="146">
        <v>0</v>
      </c>
      <c r="I33" s="153">
        <f t="shared" si="1"/>
        <v>0</v>
      </c>
      <c r="J33" s="146">
        <v>0</v>
      </c>
      <c r="K33" s="146">
        <v>0</v>
      </c>
      <c r="L33" s="146">
        <v>0</v>
      </c>
      <c r="M33" s="146">
        <v>0</v>
      </c>
    </row>
    <row r="34" spans="1:13" ht="18" customHeight="1" x14ac:dyDescent="0.2">
      <c r="A34" s="44"/>
      <c r="B34" s="161" t="str">
        <f>'Input Financeiro atual'!B38</f>
        <v>Depreciação</v>
      </c>
      <c r="C34" s="154" t="s">
        <v>449</v>
      </c>
      <c r="D34" s="155">
        <f>('Input Financeiro atual'!C38/12)</f>
        <v>0</v>
      </c>
      <c r="E34" s="157">
        <v>0</v>
      </c>
      <c r="F34" s="157">
        <v>0</v>
      </c>
      <c r="G34" s="157">
        <v>0</v>
      </c>
      <c r="H34" s="157">
        <v>0</v>
      </c>
      <c r="I34" s="153">
        <f t="shared" si="1"/>
        <v>0</v>
      </c>
      <c r="J34" s="157">
        <v>0</v>
      </c>
      <c r="K34" s="157">
        <v>0</v>
      </c>
      <c r="L34" s="157">
        <v>0</v>
      </c>
      <c r="M34" s="157">
        <v>0</v>
      </c>
    </row>
    <row r="35" spans="1:13" ht="18" customHeight="1" x14ac:dyDescent="0.2">
      <c r="A35" s="44"/>
      <c r="B35" s="161" t="str">
        <f>'Input Financeiro atual'!B39</f>
        <v>Outras despesas</v>
      </c>
      <c r="C35" s="154" t="s">
        <v>449</v>
      </c>
      <c r="D35" s="155">
        <f>('Input Financeiro atual'!C39/12)</f>
        <v>0</v>
      </c>
      <c r="E35" s="146">
        <v>0</v>
      </c>
      <c r="F35" s="146">
        <v>0</v>
      </c>
      <c r="G35" s="146">
        <v>0</v>
      </c>
      <c r="H35" s="146">
        <v>0</v>
      </c>
      <c r="I35" s="153">
        <f t="shared" si="1"/>
        <v>0</v>
      </c>
      <c r="J35" s="146">
        <v>0</v>
      </c>
      <c r="K35" s="146">
        <v>0</v>
      </c>
      <c r="L35" s="146">
        <v>0</v>
      </c>
      <c r="M35" s="146">
        <v>0</v>
      </c>
    </row>
    <row r="36" spans="1:13" ht="18" customHeight="1" x14ac:dyDescent="0.2">
      <c r="A36" s="44"/>
      <c r="B36" s="161" t="str">
        <f>'Input Financeiro atual'!B40</f>
        <v>Impostos de produção</v>
      </c>
      <c r="C36" s="154" t="s">
        <v>449</v>
      </c>
      <c r="D36" s="155">
        <f>('Input Financeiro atual'!C40/12)</f>
        <v>0</v>
      </c>
      <c r="E36" s="157">
        <v>0</v>
      </c>
      <c r="F36" s="157">
        <v>0</v>
      </c>
      <c r="G36" s="157">
        <v>0</v>
      </c>
      <c r="H36" s="157">
        <v>0</v>
      </c>
      <c r="I36" s="153">
        <f t="shared" si="1"/>
        <v>0</v>
      </c>
      <c r="J36" s="157">
        <v>0</v>
      </c>
      <c r="K36" s="157">
        <v>0</v>
      </c>
      <c r="L36" s="157">
        <v>0</v>
      </c>
      <c r="M36" s="157">
        <v>0</v>
      </c>
    </row>
    <row r="37" spans="1:13" ht="18" customHeight="1" x14ac:dyDescent="0.2">
      <c r="A37" s="44"/>
      <c r="B37" s="162" t="s">
        <v>282</v>
      </c>
      <c r="C37" s="154" t="s">
        <v>283</v>
      </c>
      <c r="D37" s="156">
        <f>'Input Zootecnico atual'!H46</f>
        <v>0</v>
      </c>
      <c r="E37" s="157">
        <v>0</v>
      </c>
      <c r="F37" s="157">
        <v>0</v>
      </c>
      <c r="G37" s="157">
        <v>0</v>
      </c>
      <c r="H37" s="157">
        <v>0</v>
      </c>
      <c r="I37" s="153">
        <f t="shared" si="1"/>
        <v>0</v>
      </c>
      <c r="J37" s="157">
        <v>0</v>
      </c>
      <c r="K37" s="157">
        <v>0</v>
      </c>
      <c r="L37" s="157">
        <v>0</v>
      </c>
      <c r="M37" s="157">
        <v>0</v>
      </c>
    </row>
    <row r="38" spans="1:13" ht="18" customHeight="1" x14ac:dyDescent="0.2">
      <c r="A38" s="44"/>
      <c r="B38" s="162" t="s">
        <v>284</v>
      </c>
      <c r="C38" s="154" t="s">
        <v>283</v>
      </c>
      <c r="D38" s="155">
        <f>'Input Financeiro atual'!C9</f>
        <v>0</v>
      </c>
      <c r="E38" s="157">
        <v>0</v>
      </c>
      <c r="F38" s="157">
        <v>0</v>
      </c>
      <c r="G38" s="157">
        <v>0</v>
      </c>
      <c r="H38" s="157">
        <v>0</v>
      </c>
      <c r="I38" s="153">
        <f t="shared" si="1"/>
        <v>0</v>
      </c>
      <c r="J38" s="157">
        <v>0</v>
      </c>
      <c r="K38" s="157">
        <v>0</v>
      </c>
      <c r="L38" s="157">
        <v>0</v>
      </c>
      <c r="M38" s="157">
        <v>0</v>
      </c>
    </row>
    <row r="39" spans="1:13" ht="18" customHeight="1" x14ac:dyDescent="0.2">
      <c r="A39" s="44"/>
      <c r="B39" s="162" t="s">
        <v>285</v>
      </c>
      <c r="C39" s="154" t="s">
        <v>283</v>
      </c>
      <c r="D39" s="155">
        <f>'Input Financeiro atual'!C13</f>
        <v>0</v>
      </c>
      <c r="E39" s="157">
        <v>0</v>
      </c>
      <c r="F39" s="157">
        <v>0</v>
      </c>
      <c r="G39" s="157">
        <v>0</v>
      </c>
      <c r="H39" s="157">
        <v>0</v>
      </c>
      <c r="I39" s="153">
        <f t="shared" si="1"/>
        <v>0</v>
      </c>
      <c r="J39" s="157">
        <v>0</v>
      </c>
      <c r="K39" s="157">
        <v>0</v>
      </c>
      <c r="L39" s="157">
        <v>0</v>
      </c>
      <c r="M39" s="157">
        <v>0</v>
      </c>
    </row>
    <row r="40" spans="1:13" ht="18" customHeight="1" x14ac:dyDescent="0.2">
      <c r="A40" s="44"/>
      <c r="B40" s="163" t="s">
        <v>286</v>
      </c>
      <c r="C40" s="154" t="s">
        <v>283</v>
      </c>
      <c r="D40" s="155">
        <f>D38*0.55+D39*0.45</f>
        <v>0</v>
      </c>
      <c r="E40" s="146">
        <v>0</v>
      </c>
      <c r="F40" s="146">
        <v>0</v>
      </c>
      <c r="G40" s="146">
        <v>0</v>
      </c>
      <c r="H40" s="146">
        <v>0</v>
      </c>
      <c r="I40" s="153">
        <f t="shared" si="1"/>
        <v>0</v>
      </c>
      <c r="J40" s="146">
        <v>0</v>
      </c>
      <c r="K40" s="146">
        <v>0</v>
      </c>
      <c r="L40" s="146">
        <v>0</v>
      </c>
      <c r="M40" s="146">
        <v>0</v>
      </c>
    </row>
    <row r="41" spans="1:13" ht="18" customHeight="1" x14ac:dyDescent="0.2">
      <c r="A41" s="44"/>
      <c r="B41" s="144"/>
      <c r="C41" s="137"/>
      <c r="D41" s="137"/>
      <c r="E41" s="137"/>
      <c r="F41" s="137"/>
      <c r="G41" s="137"/>
      <c r="H41" s="137"/>
      <c r="I41" s="137"/>
      <c r="J41" s="137"/>
      <c r="K41" s="137"/>
      <c r="L41" s="137"/>
      <c r="M41" s="137"/>
    </row>
    <row r="42" spans="1:13" ht="18" customHeight="1" x14ac:dyDescent="0.2">
      <c r="A42" s="44"/>
      <c r="B42" s="1155" t="s">
        <v>297</v>
      </c>
      <c r="C42" s="1156"/>
      <c r="D42" s="1156"/>
      <c r="E42" s="1156"/>
      <c r="F42" s="1156"/>
      <c r="G42" s="1156"/>
      <c r="H42" s="1156"/>
      <c r="I42" s="1156"/>
      <c r="J42" s="1156"/>
      <c r="K42" s="1156"/>
      <c r="L42" s="1156"/>
      <c r="M42" s="1156"/>
    </row>
    <row r="43" spans="1:13" ht="18" customHeight="1" x14ac:dyDescent="0.2">
      <c r="A43" s="44"/>
      <c r="B43" s="1153" t="s">
        <v>35</v>
      </c>
      <c r="C43" s="1154" t="s">
        <v>37</v>
      </c>
      <c r="I43" s="1154" t="s">
        <v>36</v>
      </c>
      <c r="J43" s="1154"/>
      <c r="K43" s="1154"/>
      <c r="L43" s="1154"/>
      <c r="M43" s="1154"/>
    </row>
    <row r="44" spans="1:13" x14ac:dyDescent="0.2">
      <c r="A44" s="44"/>
      <c r="B44" s="1153"/>
      <c r="C44" s="1154"/>
      <c r="I44" s="164">
        <f>E6</f>
        <v>2017</v>
      </c>
      <c r="J44" s="165">
        <f>I44+1</f>
        <v>2018</v>
      </c>
      <c r="K44" s="165">
        <f>J44+1</f>
        <v>2019</v>
      </c>
      <c r="L44" s="165">
        <f>K44+1</f>
        <v>2020</v>
      </c>
      <c r="M44" s="165">
        <f>L44+1</f>
        <v>2021</v>
      </c>
    </row>
    <row r="45" spans="1:13" x14ac:dyDescent="0.2">
      <c r="B45" s="168" t="s">
        <v>287</v>
      </c>
      <c r="C45" s="167" t="s">
        <v>18</v>
      </c>
      <c r="I45" s="167">
        <f>I46+I47</f>
        <v>0</v>
      </c>
      <c r="J45" s="167">
        <f>J46+J47</f>
        <v>0</v>
      </c>
      <c r="K45" s="167">
        <f>K46+K47</f>
        <v>0</v>
      </c>
      <c r="L45" s="167">
        <f>L46+L47</f>
        <v>0</v>
      </c>
      <c r="M45" s="167">
        <f>M46+M47</f>
        <v>0</v>
      </c>
    </row>
    <row r="46" spans="1:13" x14ac:dyDescent="0.2">
      <c r="B46" s="138" t="s">
        <v>288</v>
      </c>
      <c r="C46" s="139" t="s">
        <v>18</v>
      </c>
      <c r="I46" s="141"/>
      <c r="J46" s="141"/>
      <c r="K46" s="141"/>
      <c r="L46" s="141"/>
      <c r="M46" s="141"/>
    </row>
    <row r="47" spans="1:13" x14ac:dyDescent="0.2">
      <c r="B47" s="138" t="s">
        <v>289</v>
      </c>
      <c r="C47" s="139" t="s">
        <v>18</v>
      </c>
      <c r="I47" s="597">
        <f>I53-I46</f>
        <v>0</v>
      </c>
      <c r="J47" s="597">
        <f>J53-J46</f>
        <v>0</v>
      </c>
      <c r="K47" s="597">
        <f>K53-K46</f>
        <v>0</v>
      </c>
      <c r="L47" s="597">
        <f>L53-L46</f>
        <v>0</v>
      </c>
      <c r="M47" s="597">
        <f>M53-M46</f>
        <v>0</v>
      </c>
    </row>
    <row r="48" spans="1:13" x14ac:dyDescent="0.2">
      <c r="B48" s="138"/>
      <c r="C48" s="139" t="s">
        <v>18</v>
      </c>
      <c r="I48" s="138"/>
      <c r="J48" s="138"/>
      <c r="K48" s="138"/>
      <c r="L48" s="138"/>
      <c r="M48" s="138"/>
    </row>
    <row r="49" spans="2:13" x14ac:dyDescent="0.2">
      <c r="B49" s="138" t="s">
        <v>290</v>
      </c>
      <c r="C49" s="139" t="s">
        <v>18</v>
      </c>
      <c r="I49" s="142">
        <v>0.1</v>
      </c>
      <c r="J49" s="142">
        <v>0.1</v>
      </c>
      <c r="K49" s="142">
        <v>0.1</v>
      </c>
      <c r="L49" s="142">
        <v>0.1</v>
      </c>
      <c r="M49" s="142">
        <v>0.1</v>
      </c>
    </row>
    <row r="50" spans="2:13" x14ac:dyDescent="0.2">
      <c r="B50" s="138" t="s">
        <v>291</v>
      </c>
      <c r="C50" s="139" t="s">
        <v>18</v>
      </c>
      <c r="I50" s="142">
        <v>0.15</v>
      </c>
      <c r="J50" s="142">
        <v>0.15</v>
      </c>
      <c r="K50" s="142">
        <v>0.15</v>
      </c>
      <c r="L50" s="142">
        <v>0.15</v>
      </c>
      <c r="M50" s="142">
        <v>0.15</v>
      </c>
    </row>
    <row r="51" spans="2:13" x14ac:dyDescent="0.2">
      <c r="B51" s="138" t="s">
        <v>292</v>
      </c>
      <c r="C51" s="139" t="s">
        <v>18</v>
      </c>
      <c r="I51" s="140" t="str">
        <f>IF(I45&gt;0,(I46*I49+I47*I50)/I45,"")</f>
        <v/>
      </c>
      <c r="J51" s="140" t="str">
        <f>IF(J45&gt;0,(J46*J49+J47*J50)/J45,"")</f>
        <v/>
      </c>
      <c r="K51" s="140" t="str">
        <f>IF(K45&gt;0,(K46*K49+K47*K50)/K45,"")</f>
        <v/>
      </c>
      <c r="L51" s="140" t="str">
        <f>IF(L45&gt;0,(L46*L49+L47*L50)/L45,"")</f>
        <v/>
      </c>
      <c r="M51" s="140" t="str">
        <f>IF(M45&gt;0,(M46*M49+M47*M50)/M45,"")</f>
        <v/>
      </c>
    </row>
    <row r="52" spans="2:13" x14ac:dyDescent="0.2">
      <c r="B52" s="138"/>
      <c r="C52" s="139" t="s">
        <v>18</v>
      </c>
      <c r="I52" s="138"/>
      <c r="J52" s="138"/>
      <c r="K52" s="138"/>
      <c r="L52" s="138"/>
      <c r="M52" s="138"/>
    </row>
    <row r="53" spans="2:13" x14ac:dyDescent="0.2">
      <c r="B53" s="166" t="s">
        <v>293</v>
      </c>
      <c r="C53" s="167" t="s">
        <v>18</v>
      </c>
      <c r="I53" s="167">
        <f>I54+I55+I56+I57</f>
        <v>0</v>
      </c>
      <c r="J53" s="167">
        <f>J54+J55+J56+J57</f>
        <v>0</v>
      </c>
      <c r="K53" s="167">
        <f>K54+K55+K56+K57</f>
        <v>0</v>
      </c>
      <c r="L53" s="167">
        <f>L54+L55+L56+L57</f>
        <v>0</v>
      </c>
      <c r="M53" s="167">
        <f>M54+M55+M56+M57</f>
        <v>0</v>
      </c>
    </row>
    <row r="54" spans="2:13" x14ac:dyDescent="0.2">
      <c r="B54" s="21" t="s">
        <v>20</v>
      </c>
      <c r="C54" s="139" t="s">
        <v>18</v>
      </c>
      <c r="I54" s="141"/>
      <c r="J54" s="141"/>
      <c r="K54" s="141"/>
      <c r="L54" s="141"/>
      <c r="M54" s="141"/>
    </row>
    <row r="55" spans="2:13" x14ac:dyDescent="0.2">
      <c r="B55" s="21" t="s">
        <v>21</v>
      </c>
      <c r="C55" s="139" t="s">
        <v>18</v>
      </c>
      <c r="I55" s="141"/>
      <c r="J55" s="141"/>
      <c r="K55" s="141"/>
      <c r="L55" s="141"/>
      <c r="M55" s="141"/>
    </row>
    <row r="56" spans="2:13" x14ac:dyDescent="0.2">
      <c r="B56" s="21" t="s">
        <v>23</v>
      </c>
      <c r="C56" s="139" t="s">
        <v>18</v>
      </c>
      <c r="I56" s="139">
        <f>(SUM('Ev. Rebanho'!Q25:Q26)*Inputs!I38)+(SUM('Ev. Rebanho'!Q37:Q38)*Inputs!I39)</f>
        <v>0</v>
      </c>
      <c r="J56" s="139">
        <f>(SUM('Ev. Rebanho'!R25:R26)*Inputs!J38)+(SUM('Ev. Rebanho'!R37:R38)*Inputs!J39)</f>
        <v>0</v>
      </c>
      <c r="K56" s="139">
        <f>(SUM('Ev. Rebanho'!S25:S26)*Inputs!K38)+(SUM('Ev. Rebanho'!S37:S38)*Inputs!K39)</f>
        <v>0</v>
      </c>
      <c r="L56" s="139">
        <f>(SUM('Ev. Rebanho'!T25:T26)*Inputs!L38)+(SUM('Ev. Rebanho'!T37:T38)*Inputs!L39)</f>
        <v>0</v>
      </c>
      <c r="M56" s="139">
        <f>(SUM('Ev. Rebanho'!U25:U26)*Inputs!M38)+(SUM('Ev. Rebanho'!U37:U38)*Inputs!M39)</f>
        <v>0</v>
      </c>
    </row>
    <row r="57" spans="2:13" x14ac:dyDescent="0.2">
      <c r="B57" s="21" t="s">
        <v>25</v>
      </c>
      <c r="C57" s="139" t="s">
        <v>18</v>
      </c>
      <c r="I57" s="141">
        <v>0</v>
      </c>
      <c r="J57" s="141"/>
      <c r="K57" s="141"/>
      <c r="L57" s="141"/>
      <c r="M57" s="141"/>
    </row>
  </sheetData>
  <sheetProtection password="8826" sheet="1" objects="1" scenarios="1"/>
  <mergeCells count="13">
    <mergeCell ref="B43:B44"/>
    <mergeCell ref="C43:C44"/>
    <mergeCell ref="I43:M43"/>
    <mergeCell ref="B42:M42"/>
    <mergeCell ref="B4:M4"/>
    <mergeCell ref="B5:B7"/>
    <mergeCell ref="C5:C7"/>
    <mergeCell ref="D5:M5"/>
    <mergeCell ref="M6:M7"/>
    <mergeCell ref="L6:L7"/>
    <mergeCell ref="K6:K7"/>
    <mergeCell ref="J6:J7"/>
    <mergeCell ref="E6:I6"/>
  </mergeCells>
  <pageMargins left="0.511811024" right="0.511811024" top="0.78740157499999996" bottom="0.78740157499999996" header="0.31496062000000002" footer="0.31496062000000002"/>
  <pageSetup paperSize="9" orientation="portrait" horizontalDpi="4294967292" verticalDpi="4294967292"/>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enableFormatConditionsCalculation="0">
    <tabColor theme="8" tint="0.499984740745262"/>
  </sheetPr>
  <dimension ref="B2:U48"/>
  <sheetViews>
    <sheetView workbookViewId="0">
      <pane xSplit="3" ySplit="5" topLeftCell="D6" activePane="bottomRight" state="frozen"/>
      <selection pane="topRight"/>
      <selection pane="bottomLeft"/>
      <selection pane="bottomRight" activeCell="B3" sqref="B3"/>
    </sheetView>
  </sheetViews>
  <sheetFormatPr baseColWidth="10" defaultColWidth="11.1640625" defaultRowHeight="18" customHeight="1" outlineLevelCol="1" x14ac:dyDescent="0.2"/>
  <cols>
    <col min="1" max="1" width="2" style="169" customWidth="1"/>
    <col min="2" max="2" width="45.6640625" style="169" customWidth="1"/>
    <col min="3" max="3" width="10" style="169" bestFit="1" customWidth="1"/>
    <col min="4" max="4" width="8.5" style="169" customWidth="1"/>
    <col min="5" max="16" width="8.5" style="169" customWidth="1" outlineLevel="1"/>
    <col min="17" max="21" width="8.5" style="169" customWidth="1"/>
    <col min="22" max="16384" width="11.1640625" style="169"/>
  </cols>
  <sheetData>
    <row r="2" spans="2:21" ht="18" customHeight="1" x14ac:dyDescent="0.2">
      <c r="G2" s="172"/>
      <c r="J2" s="173"/>
    </row>
    <row r="3" spans="2:21" ht="18" customHeight="1" x14ac:dyDescent="0.2">
      <c r="G3" s="172"/>
      <c r="J3" s="173"/>
    </row>
    <row r="4" spans="2:21" ht="18" customHeight="1" x14ac:dyDescent="0.2">
      <c r="B4" s="1071" t="s">
        <v>35</v>
      </c>
      <c r="C4" s="1071" t="s">
        <v>37</v>
      </c>
      <c r="D4" s="648">
        <f>'Input Zootecnico atual'!C4</f>
        <v>2016</v>
      </c>
      <c r="E4" s="1160">
        <f>D4+1</f>
        <v>2017</v>
      </c>
      <c r="F4" s="1160"/>
      <c r="G4" s="1160"/>
      <c r="H4" s="1160"/>
      <c r="I4" s="1160"/>
      <c r="J4" s="1160"/>
      <c r="K4" s="1160"/>
      <c r="L4" s="1160"/>
      <c r="M4" s="1160"/>
      <c r="N4" s="1160"/>
      <c r="O4" s="1160"/>
      <c r="P4" s="1160"/>
      <c r="Q4" s="1160"/>
      <c r="R4" s="1160">
        <f>E4+1</f>
        <v>2018</v>
      </c>
      <c r="S4" s="1160">
        <f>R4+1</f>
        <v>2019</v>
      </c>
      <c r="T4" s="1160">
        <f>S4+1</f>
        <v>2020</v>
      </c>
      <c r="U4" s="1160">
        <f>T4+1</f>
        <v>2021</v>
      </c>
    </row>
    <row r="5" spans="2:21" ht="18" customHeight="1" x14ac:dyDescent="0.2">
      <c r="B5" s="1072"/>
      <c r="C5" s="1072"/>
      <c r="D5" s="649" t="s">
        <v>392</v>
      </c>
      <c r="E5" s="661" t="s">
        <v>298</v>
      </c>
      <c r="F5" s="661" t="s">
        <v>299</v>
      </c>
      <c r="G5" s="661" t="s">
        <v>300</v>
      </c>
      <c r="H5" s="661" t="s">
        <v>301</v>
      </c>
      <c r="I5" s="661" t="s">
        <v>302</v>
      </c>
      <c r="J5" s="661" t="s">
        <v>303</v>
      </c>
      <c r="K5" s="661" t="s">
        <v>304</v>
      </c>
      <c r="L5" s="661" t="s">
        <v>305</v>
      </c>
      <c r="M5" s="661" t="s">
        <v>306</v>
      </c>
      <c r="N5" s="661" t="s">
        <v>307</v>
      </c>
      <c r="O5" s="661" t="s">
        <v>308</v>
      </c>
      <c r="P5" s="661" t="s">
        <v>309</v>
      </c>
      <c r="Q5" s="662" t="s">
        <v>296</v>
      </c>
      <c r="R5" s="1160"/>
      <c r="S5" s="1160"/>
      <c r="T5" s="1160"/>
      <c r="U5" s="1160"/>
    </row>
    <row r="6" spans="2:21" ht="18" customHeight="1" x14ac:dyDescent="0.2">
      <c r="B6" s="180" t="str">
        <f>'Input Zootecnico atual'!B11</f>
        <v>Taxa de descarte</v>
      </c>
      <c r="C6" s="911" t="s">
        <v>174</v>
      </c>
      <c r="D6" s="912" t="e">
        <f>'Input Zootecnico atual'!C11</f>
        <v>#DIV/0!</v>
      </c>
      <c r="E6" s="663" t="e">
        <f>(E35)/D31</f>
        <v>#DIV/0!</v>
      </c>
      <c r="F6" s="663" t="e">
        <f>(F35)/E31</f>
        <v>#DIV/0!</v>
      </c>
      <c r="G6" s="663" t="e">
        <f>(G35)/F31</f>
        <v>#DIV/0!</v>
      </c>
      <c r="H6" s="663" t="e">
        <f t="shared" ref="H6:P6" si="0">(H35)/G31</f>
        <v>#DIV/0!</v>
      </c>
      <c r="I6" s="663" t="e">
        <f t="shared" si="0"/>
        <v>#DIV/0!</v>
      </c>
      <c r="J6" s="663" t="e">
        <f t="shared" si="0"/>
        <v>#DIV/0!</v>
      </c>
      <c r="K6" s="663" t="e">
        <f t="shared" si="0"/>
        <v>#DIV/0!</v>
      </c>
      <c r="L6" s="663" t="e">
        <f t="shared" si="0"/>
        <v>#DIV/0!</v>
      </c>
      <c r="M6" s="663" t="e">
        <f t="shared" si="0"/>
        <v>#DIV/0!</v>
      </c>
      <c r="N6" s="663" t="e">
        <f t="shared" si="0"/>
        <v>#DIV/0!</v>
      </c>
      <c r="O6" s="663" t="e">
        <f t="shared" si="0"/>
        <v>#DIV/0!</v>
      </c>
      <c r="P6" s="663" t="e">
        <f t="shared" si="0"/>
        <v>#DIV/0!</v>
      </c>
      <c r="Q6" s="664" t="e">
        <f>(Q35)/Q31</f>
        <v>#DIV/0!</v>
      </c>
      <c r="R6" s="910"/>
      <c r="S6" s="910"/>
      <c r="T6" s="910"/>
      <c r="U6" s="910"/>
    </row>
    <row r="7" spans="2:21" ht="18" customHeight="1" x14ac:dyDescent="0.2">
      <c r="B7" s="180" t="str">
        <f>'Input Zootecnico atual'!B63</f>
        <v>Mortalidade de bezerros + Natimorto</v>
      </c>
      <c r="C7" s="911" t="s">
        <v>174</v>
      </c>
      <c r="D7" s="913">
        <f>'Input Zootecnico atual'!C63</f>
        <v>0</v>
      </c>
      <c r="E7" s="665"/>
      <c r="F7" s="665"/>
      <c r="G7" s="665"/>
      <c r="H7" s="665"/>
      <c r="I7" s="665"/>
      <c r="J7" s="665"/>
      <c r="K7" s="665"/>
      <c r="L7" s="665"/>
      <c r="M7" s="665"/>
      <c r="N7" s="665"/>
      <c r="O7" s="665"/>
      <c r="P7" s="665"/>
      <c r="Q7" s="765" t="e">
        <f>AVERAGE(E7:P7)</f>
        <v>#DIV/0!</v>
      </c>
      <c r="R7" s="665"/>
      <c r="S7" s="665"/>
      <c r="T7" s="665"/>
      <c r="U7" s="665"/>
    </row>
    <row r="8" spans="2:21" ht="18" customHeight="1" x14ac:dyDescent="0.2">
      <c r="B8" s="180" t="str">
        <f>'Input Zootecnico atual'!B52</f>
        <v>Nascimento de fêmeas</v>
      </c>
      <c r="C8" s="911" t="s">
        <v>174</v>
      </c>
      <c r="D8" s="913">
        <f>'Input Zootecnico atual'!C52</f>
        <v>0</v>
      </c>
      <c r="E8" s="764"/>
      <c r="F8" s="764"/>
      <c r="G8" s="764"/>
      <c r="H8" s="764"/>
      <c r="I8" s="764"/>
      <c r="J8" s="764"/>
      <c r="K8" s="764"/>
      <c r="L8" s="764"/>
      <c r="M8" s="764"/>
      <c r="N8" s="764"/>
      <c r="O8" s="764"/>
      <c r="P8" s="764"/>
      <c r="Q8" s="765" t="e">
        <f t="shared" ref="Q8:Q21" si="1">AVERAGE(E8:P8)</f>
        <v>#DIV/0!</v>
      </c>
      <c r="R8" s="764"/>
      <c r="S8" s="764"/>
      <c r="T8" s="764"/>
      <c r="U8" s="764"/>
    </row>
    <row r="9" spans="2:21" s="916" customFormat="1" ht="18" customHeight="1" x14ac:dyDescent="0.2">
      <c r="B9" s="700" t="str">
        <f>'Input Zootecnico atual'!B9</f>
        <v>Tamanho do rebanho desejado (matrizes)</v>
      </c>
      <c r="C9" s="914" t="s">
        <v>428</v>
      </c>
      <c r="D9" s="915">
        <f>'Input Zootecnico atual'!C9</f>
        <v>0</v>
      </c>
      <c r="E9" s="697"/>
      <c r="F9" s="697"/>
      <c r="G9" s="697"/>
      <c r="H9" s="697"/>
      <c r="I9" s="697"/>
      <c r="J9" s="697"/>
      <c r="K9" s="697"/>
      <c r="L9" s="697"/>
      <c r="M9" s="697"/>
      <c r="N9" s="697"/>
      <c r="O9" s="697"/>
      <c r="P9" s="697"/>
      <c r="Q9" s="667" t="e">
        <f t="shared" si="1"/>
        <v>#DIV/0!</v>
      </c>
      <c r="R9" s="697"/>
      <c r="S9" s="697"/>
      <c r="T9" s="697"/>
      <c r="U9" s="697"/>
    </row>
    <row r="10" spans="2:21" ht="18" customHeight="1" x14ac:dyDescent="0.2">
      <c r="B10" s="180" t="str">
        <f>'Input Zootecnico atual'!B53</f>
        <v>Taxa de observação de cios</v>
      </c>
      <c r="C10" s="911" t="s">
        <v>174</v>
      </c>
      <c r="D10" s="913">
        <f>'Input Zootecnico atual'!C53</f>
        <v>0</v>
      </c>
      <c r="E10" s="764"/>
      <c r="F10" s="764"/>
      <c r="G10" s="764"/>
      <c r="H10" s="764"/>
      <c r="I10" s="764"/>
      <c r="J10" s="764"/>
      <c r="K10" s="764"/>
      <c r="L10" s="764"/>
      <c r="M10" s="764"/>
      <c r="N10" s="764"/>
      <c r="O10" s="764"/>
      <c r="P10" s="764"/>
      <c r="Q10" s="765" t="e">
        <f t="shared" si="1"/>
        <v>#DIV/0!</v>
      </c>
      <c r="R10" s="764"/>
      <c r="S10" s="764"/>
      <c r="T10" s="764"/>
      <c r="U10" s="764"/>
    </row>
    <row r="11" spans="2:21" ht="18" customHeight="1" x14ac:dyDescent="0.2">
      <c r="B11" s="180" t="str">
        <f>'Input Zootecnico atual'!B54</f>
        <v>Taxa de concepção</v>
      </c>
      <c r="C11" s="911" t="s">
        <v>174</v>
      </c>
      <c r="D11" s="913">
        <f>'Input Zootecnico atual'!C54</f>
        <v>0</v>
      </c>
      <c r="E11" s="764"/>
      <c r="F11" s="764"/>
      <c r="G11" s="764"/>
      <c r="H11" s="764"/>
      <c r="I11" s="764"/>
      <c r="J11" s="764"/>
      <c r="K11" s="764"/>
      <c r="L11" s="764"/>
      <c r="M11" s="764"/>
      <c r="N11" s="764"/>
      <c r="O11" s="764"/>
      <c r="P11" s="764"/>
      <c r="Q11" s="765" t="e">
        <f t="shared" si="1"/>
        <v>#DIV/0!</v>
      </c>
      <c r="R11" s="764"/>
      <c r="S11" s="764"/>
      <c r="T11" s="764"/>
      <c r="U11" s="764"/>
    </row>
    <row r="12" spans="2:21" ht="18" customHeight="1" x14ac:dyDescent="0.2">
      <c r="B12" s="180" t="str">
        <f>'Input Zootecnico atual'!B55</f>
        <v>Taxa de prenhez</v>
      </c>
      <c r="C12" s="911" t="s">
        <v>174</v>
      </c>
      <c r="D12" s="917">
        <f>'Input Zootecnico atual'!C55</f>
        <v>0</v>
      </c>
      <c r="E12" s="768">
        <f t="shared" ref="E12:P12" si="2">E11*E10</f>
        <v>0</v>
      </c>
      <c r="F12" s="768">
        <f t="shared" si="2"/>
        <v>0</v>
      </c>
      <c r="G12" s="768">
        <f t="shared" si="2"/>
        <v>0</v>
      </c>
      <c r="H12" s="768">
        <f t="shared" si="2"/>
        <v>0</v>
      </c>
      <c r="I12" s="768">
        <f t="shared" si="2"/>
        <v>0</v>
      </c>
      <c r="J12" s="768">
        <f t="shared" si="2"/>
        <v>0</v>
      </c>
      <c r="K12" s="768">
        <f t="shared" si="2"/>
        <v>0</v>
      </c>
      <c r="L12" s="768">
        <f t="shared" si="2"/>
        <v>0</v>
      </c>
      <c r="M12" s="768">
        <f t="shared" si="2"/>
        <v>0</v>
      </c>
      <c r="N12" s="768">
        <f t="shared" si="2"/>
        <v>0</v>
      </c>
      <c r="O12" s="768">
        <f t="shared" si="2"/>
        <v>0</v>
      </c>
      <c r="P12" s="768">
        <f t="shared" si="2"/>
        <v>0</v>
      </c>
      <c r="Q12" s="765">
        <f t="shared" si="1"/>
        <v>0</v>
      </c>
      <c r="R12" s="768">
        <f>(R10*R11)</f>
        <v>0</v>
      </c>
      <c r="S12" s="768">
        <f>(S10*S11)</f>
        <v>0</v>
      </c>
      <c r="T12" s="768">
        <f>(T10*T11)</f>
        <v>0</v>
      </c>
      <c r="U12" s="768">
        <f>(U10*U11)</f>
        <v>0</v>
      </c>
    </row>
    <row r="13" spans="2:21" ht="18" customHeight="1" x14ac:dyDescent="0.2">
      <c r="B13" s="180" t="s">
        <v>539</v>
      </c>
      <c r="C13" s="911" t="s">
        <v>174</v>
      </c>
      <c r="D13" s="913"/>
      <c r="E13" s="665"/>
      <c r="F13" s="665"/>
      <c r="G13" s="665"/>
      <c r="H13" s="665"/>
      <c r="I13" s="665"/>
      <c r="J13" s="665"/>
      <c r="K13" s="665"/>
      <c r="L13" s="665"/>
      <c r="M13" s="665"/>
      <c r="N13" s="665"/>
      <c r="O13" s="665"/>
      <c r="P13" s="665"/>
      <c r="Q13" s="796">
        <f>SUM(E13:P13)</f>
        <v>0</v>
      </c>
      <c r="R13" s="665"/>
      <c r="S13" s="665"/>
      <c r="T13" s="665"/>
      <c r="U13" s="665"/>
    </row>
    <row r="14" spans="2:21" ht="18" customHeight="1" x14ac:dyDescent="0.2">
      <c r="B14" s="180" t="str">
        <f>'Input Zootecnico atual'!B56</f>
        <v>DPP até 1ª cobertura</v>
      </c>
      <c r="C14" s="911" t="s">
        <v>243</v>
      </c>
      <c r="D14" s="655">
        <f>'Input Zootecnico atual'!C56</f>
        <v>0</v>
      </c>
      <c r="E14" s="666"/>
      <c r="F14" s="666"/>
      <c r="G14" s="666"/>
      <c r="H14" s="666"/>
      <c r="I14" s="666"/>
      <c r="J14" s="666"/>
      <c r="K14" s="666"/>
      <c r="L14" s="666"/>
      <c r="M14" s="666"/>
      <c r="N14" s="666"/>
      <c r="O14" s="666"/>
      <c r="P14" s="666"/>
      <c r="Q14" s="668" t="e">
        <f>AVERAGE(E14:P14)</f>
        <v>#DIV/0!</v>
      </c>
      <c r="R14" s="666"/>
      <c r="S14" s="666"/>
      <c r="T14" s="666"/>
      <c r="U14" s="666"/>
    </row>
    <row r="15" spans="2:21" ht="18" customHeight="1" x14ac:dyDescent="0.2">
      <c r="B15" s="180" t="str">
        <f>'Input Zootecnico atual'!B10</f>
        <v>Porcentagem de vacas em lactação</v>
      </c>
      <c r="C15" s="911" t="s">
        <v>174</v>
      </c>
      <c r="D15" s="913" t="e">
        <f>'Input Zootecnico atual'!D17/'Input Zootecnico atual'!D19</f>
        <v>#DIV/0!</v>
      </c>
      <c r="E15" s="764"/>
      <c r="F15" s="764"/>
      <c r="G15" s="764"/>
      <c r="H15" s="764"/>
      <c r="I15" s="764"/>
      <c r="J15" s="764"/>
      <c r="K15" s="764"/>
      <c r="L15" s="764"/>
      <c r="M15" s="764"/>
      <c r="N15" s="764"/>
      <c r="O15" s="764"/>
      <c r="P15" s="764"/>
      <c r="Q15" s="765" t="e">
        <f>AVERAGE(E15:P15)</f>
        <v>#DIV/0!</v>
      </c>
      <c r="R15" s="764"/>
      <c r="S15" s="764"/>
      <c r="T15" s="764"/>
      <c r="U15" s="764"/>
    </row>
    <row r="16" spans="2:21" ht="18" customHeight="1" x14ac:dyDescent="0.2">
      <c r="B16" s="180" t="str">
        <f>'Input Zootecnico atual'!B65</f>
        <v>Idade ao 1º parto</v>
      </c>
      <c r="C16" s="911" t="s">
        <v>429</v>
      </c>
      <c r="D16" s="918">
        <f>'Input Zootecnico atual'!C65</f>
        <v>0</v>
      </c>
      <c r="E16" s="766"/>
      <c r="F16" s="766"/>
      <c r="G16" s="766"/>
      <c r="H16" s="766"/>
      <c r="I16" s="766"/>
      <c r="J16" s="766"/>
      <c r="K16" s="766"/>
      <c r="L16" s="766"/>
      <c r="M16" s="766"/>
      <c r="N16" s="766"/>
      <c r="O16" s="766"/>
      <c r="P16" s="766"/>
      <c r="Q16" s="767" t="e">
        <f>AVERAGE(E16:P16)</f>
        <v>#DIV/0!</v>
      </c>
      <c r="R16" s="766"/>
      <c r="S16" s="766"/>
      <c r="T16" s="766"/>
      <c r="U16" s="766"/>
    </row>
    <row r="17" spans="2:21" ht="20" customHeight="1" x14ac:dyDescent="0.2">
      <c r="B17" s="180" t="s">
        <v>452</v>
      </c>
      <c r="C17" s="911" t="s">
        <v>174</v>
      </c>
      <c r="D17" s="913" t="e">
        <f>'Input Zootecnico atual'!D15/'Input Zootecnico atual'!D17</f>
        <v>#DIV/0!</v>
      </c>
      <c r="E17" s="764"/>
      <c r="F17" s="764"/>
      <c r="G17" s="764"/>
      <c r="H17" s="764"/>
      <c r="I17" s="764"/>
      <c r="J17" s="764"/>
      <c r="K17" s="764"/>
      <c r="L17" s="764"/>
      <c r="M17" s="764"/>
      <c r="N17" s="764"/>
      <c r="O17" s="764"/>
      <c r="P17" s="764"/>
      <c r="Q17" s="765" t="e">
        <f>AVERAGE(F17:P17)</f>
        <v>#DIV/0!</v>
      </c>
      <c r="R17" s="764"/>
      <c r="S17" s="764"/>
      <c r="T17" s="764"/>
      <c r="U17" s="764"/>
    </row>
    <row r="18" spans="2:21" ht="14" hidden="1" customHeight="1" x14ac:dyDescent="0.2">
      <c r="B18" s="180" t="s">
        <v>451</v>
      </c>
      <c r="C18" s="914" t="s">
        <v>428</v>
      </c>
      <c r="D18" s="650" t="e">
        <f>1/D11</f>
        <v>#DIV/0!</v>
      </c>
      <c r="E18" s="795" t="e">
        <f t="shared" ref="E18:P18" si="3">1/(E11-(E11*E13))</f>
        <v>#DIV/0!</v>
      </c>
      <c r="F18" s="795" t="e">
        <f t="shared" si="3"/>
        <v>#DIV/0!</v>
      </c>
      <c r="G18" s="795" t="e">
        <f t="shared" si="3"/>
        <v>#DIV/0!</v>
      </c>
      <c r="H18" s="795" t="e">
        <f t="shared" si="3"/>
        <v>#DIV/0!</v>
      </c>
      <c r="I18" s="795" t="e">
        <f t="shared" si="3"/>
        <v>#DIV/0!</v>
      </c>
      <c r="J18" s="795" t="e">
        <f t="shared" si="3"/>
        <v>#DIV/0!</v>
      </c>
      <c r="K18" s="795" t="e">
        <f t="shared" si="3"/>
        <v>#DIV/0!</v>
      </c>
      <c r="L18" s="795" t="e">
        <f t="shared" si="3"/>
        <v>#DIV/0!</v>
      </c>
      <c r="M18" s="795" t="e">
        <f t="shared" si="3"/>
        <v>#DIV/0!</v>
      </c>
      <c r="N18" s="795" t="e">
        <f t="shared" si="3"/>
        <v>#DIV/0!</v>
      </c>
      <c r="O18" s="795" t="e">
        <f t="shared" si="3"/>
        <v>#DIV/0!</v>
      </c>
      <c r="P18" s="795" t="e">
        <f t="shared" si="3"/>
        <v>#DIV/0!</v>
      </c>
      <c r="Q18" s="769" t="e">
        <f t="shared" si="1"/>
        <v>#DIV/0!</v>
      </c>
      <c r="R18" s="795" t="e">
        <f>1/(R11-(R11*R13))</f>
        <v>#DIV/0!</v>
      </c>
      <c r="S18" s="795" t="e">
        <f>1/(S11-(S11*S13))</f>
        <v>#DIV/0!</v>
      </c>
      <c r="T18" s="795" t="e">
        <f>1/(T11-(T11*T13))</f>
        <v>#DIV/0!</v>
      </c>
      <c r="U18" s="795" t="e">
        <f>1/(U11-(U11*U13))</f>
        <v>#DIV/0!</v>
      </c>
    </row>
    <row r="19" spans="2:21" ht="14" hidden="1" customHeight="1" x14ac:dyDescent="0.2">
      <c r="B19" s="180" t="s">
        <v>310</v>
      </c>
      <c r="C19" s="911" t="s">
        <v>243</v>
      </c>
      <c r="D19" s="651" t="e">
        <f t="shared" ref="D19:P19" si="4">(D14+(((D18-1)*21)/(D10)))</f>
        <v>#DIV/0!</v>
      </c>
      <c r="E19" s="658" t="e">
        <f t="shared" si="4"/>
        <v>#DIV/0!</v>
      </c>
      <c r="F19" s="658" t="e">
        <f t="shared" si="4"/>
        <v>#DIV/0!</v>
      </c>
      <c r="G19" s="658" t="e">
        <f t="shared" si="4"/>
        <v>#DIV/0!</v>
      </c>
      <c r="H19" s="658" t="e">
        <f t="shared" si="4"/>
        <v>#DIV/0!</v>
      </c>
      <c r="I19" s="658" t="e">
        <f t="shared" si="4"/>
        <v>#DIV/0!</v>
      </c>
      <c r="J19" s="658" t="e">
        <f t="shared" si="4"/>
        <v>#DIV/0!</v>
      </c>
      <c r="K19" s="658" t="e">
        <f t="shared" si="4"/>
        <v>#DIV/0!</v>
      </c>
      <c r="L19" s="658" t="e">
        <f t="shared" si="4"/>
        <v>#DIV/0!</v>
      </c>
      <c r="M19" s="658" t="e">
        <f t="shared" si="4"/>
        <v>#DIV/0!</v>
      </c>
      <c r="N19" s="658" t="e">
        <f t="shared" si="4"/>
        <v>#DIV/0!</v>
      </c>
      <c r="O19" s="658" t="e">
        <f t="shared" si="4"/>
        <v>#DIV/0!</v>
      </c>
      <c r="P19" s="658" t="e">
        <f t="shared" si="4"/>
        <v>#DIV/0!</v>
      </c>
      <c r="Q19" s="667" t="e">
        <f t="shared" si="1"/>
        <v>#DIV/0!</v>
      </c>
      <c r="R19" s="658" t="e">
        <f>(R14+(((R18-1)*21)/(R10)))</f>
        <v>#DIV/0!</v>
      </c>
      <c r="S19" s="658" t="e">
        <f>(S14+(((S18-1)*21)/(S10)))</f>
        <v>#DIV/0!</v>
      </c>
      <c r="T19" s="658" t="e">
        <f>(T14+(((T18-1)*21)/(T10)))</f>
        <v>#DIV/0!</v>
      </c>
      <c r="U19" s="658" t="e">
        <f>(U14+(((U18-1)*21)/(U10)))</f>
        <v>#DIV/0!</v>
      </c>
    </row>
    <row r="20" spans="2:21" ht="18" customHeight="1" x14ac:dyDescent="0.2">
      <c r="B20" s="180" t="s">
        <v>121</v>
      </c>
      <c r="C20" s="911" t="s">
        <v>243</v>
      </c>
      <c r="D20" s="651">
        <f>'Input Zootecnico atual'!D24</f>
        <v>0</v>
      </c>
      <c r="E20" s="658" t="e">
        <f>((E21*30.4)-60)/2</f>
        <v>#DIV/0!</v>
      </c>
      <c r="F20" s="658" t="e">
        <f t="shared" ref="F20:P20" si="5">((F21*30.4)-60)/2</f>
        <v>#DIV/0!</v>
      </c>
      <c r="G20" s="658" t="e">
        <f t="shared" si="5"/>
        <v>#DIV/0!</v>
      </c>
      <c r="H20" s="658" t="e">
        <f t="shared" si="5"/>
        <v>#DIV/0!</v>
      </c>
      <c r="I20" s="658" t="e">
        <f t="shared" si="5"/>
        <v>#DIV/0!</v>
      </c>
      <c r="J20" s="658" t="e">
        <f t="shared" si="5"/>
        <v>#DIV/0!</v>
      </c>
      <c r="K20" s="658" t="e">
        <f t="shared" si="5"/>
        <v>#DIV/0!</v>
      </c>
      <c r="L20" s="658" t="e">
        <f t="shared" si="5"/>
        <v>#DIV/0!</v>
      </c>
      <c r="M20" s="658" t="e">
        <f t="shared" si="5"/>
        <v>#DIV/0!</v>
      </c>
      <c r="N20" s="658" t="e">
        <f t="shared" si="5"/>
        <v>#DIV/0!</v>
      </c>
      <c r="O20" s="658" t="e">
        <f t="shared" si="5"/>
        <v>#DIV/0!</v>
      </c>
      <c r="P20" s="658" t="e">
        <f t="shared" si="5"/>
        <v>#DIV/0!</v>
      </c>
      <c r="Q20" s="667" t="e">
        <f t="shared" si="1"/>
        <v>#DIV/0!</v>
      </c>
      <c r="R20" s="658" t="e">
        <f>((R21*30.4)-60)/2</f>
        <v>#DIV/0!</v>
      </c>
      <c r="S20" s="658" t="e">
        <f>((S21*30.4)-60)/2</f>
        <v>#DIV/0!</v>
      </c>
      <c r="T20" s="658" t="e">
        <f>((T21*30.4)-60)/2</f>
        <v>#DIV/0!</v>
      </c>
      <c r="U20" s="658" t="e">
        <f>((U21*30.4)-60)/2</f>
        <v>#DIV/0!</v>
      </c>
    </row>
    <row r="21" spans="2:21" s="170" customFormat="1" ht="18" customHeight="1" x14ac:dyDescent="0.2">
      <c r="B21" s="180" t="s">
        <v>311</v>
      </c>
      <c r="C21" s="911" t="s">
        <v>429</v>
      </c>
      <c r="D21" s="652"/>
      <c r="E21" s="669" t="e">
        <f>(E19+283)/30.5</f>
        <v>#DIV/0!</v>
      </c>
      <c r="F21" s="669" t="e">
        <f t="shared" ref="F21:U21" si="6">(F19+283)/30.5</f>
        <v>#DIV/0!</v>
      </c>
      <c r="G21" s="669" t="e">
        <f t="shared" si="6"/>
        <v>#DIV/0!</v>
      </c>
      <c r="H21" s="669" t="e">
        <f t="shared" si="6"/>
        <v>#DIV/0!</v>
      </c>
      <c r="I21" s="669" t="e">
        <f t="shared" si="6"/>
        <v>#DIV/0!</v>
      </c>
      <c r="J21" s="669" t="e">
        <f t="shared" si="6"/>
        <v>#DIV/0!</v>
      </c>
      <c r="K21" s="669" t="e">
        <f t="shared" si="6"/>
        <v>#DIV/0!</v>
      </c>
      <c r="L21" s="669" t="e">
        <f t="shared" si="6"/>
        <v>#DIV/0!</v>
      </c>
      <c r="M21" s="669" t="e">
        <f t="shared" si="6"/>
        <v>#DIV/0!</v>
      </c>
      <c r="N21" s="669" t="e">
        <f t="shared" si="6"/>
        <v>#DIV/0!</v>
      </c>
      <c r="O21" s="669" t="e">
        <f t="shared" si="6"/>
        <v>#DIV/0!</v>
      </c>
      <c r="P21" s="669" t="e">
        <f t="shared" si="6"/>
        <v>#DIV/0!</v>
      </c>
      <c r="Q21" s="670" t="e">
        <f t="shared" si="1"/>
        <v>#DIV/0!</v>
      </c>
      <c r="R21" s="669" t="e">
        <f t="shared" si="6"/>
        <v>#DIV/0!</v>
      </c>
      <c r="S21" s="669" t="e">
        <f t="shared" si="6"/>
        <v>#DIV/0!</v>
      </c>
      <c r="T21" s="669" t="e">
        <f t="shared" si="6"/>
        <v>#DIV/0!</v>
      </c>
      <c r="U21" s="669" t="e">
        <f t="shared" si="6"/>
        <v>#DIV/0!</v>
      </c>
    </row>
    <row r="22" spans="2:21" ht="18" customHeight="1" x14ac:dyDescent="0.2">
      <c r="B22" s="181"/>
      <c r="C22" s="919"/>
      <c r="D22" s="653"/>
      <c r="E22" s="671"/>
      <c r="F22" s="671"/>
      <c r="G22" s="671"/>
      <c r="H22" s="671"/>
      <c r="I22" s="671"/>
      <c r="J22" s="671"/>
      <c r="K22" s="671"/>
      <c r="L22" s="671"/>
      <c r="M22" s="671"/>
      <c r="N22" s="671"/>
      <c r="O22" s="671"/>
      <c r="P22" s="671"/>
      <c r="Q22" s="672"/>
      <c r="R22" s="673"/>
      <c r="S22" s="673"/>
      <c r="T22" s="673"/>
      <c r="U22" s="673"/>
    </row>
    <row r="23" spans="2:21" ht="14" customHeight="1" x14ac:dyDescent="0.2">
      <c r="B23" s="180" t="s">
        <v>312</v>
      </c>
      <c r="C23" s="914" t="s">
        <v>428</v>
      </c>
      <c r="D23" s="651"/>
      <c r="E23" s="658">
        <f>D$31-D$35</f>
        <v>0</v>
      </c>
      <c r="F23" s="658">
        <f t="shared" ref="F23:O23" si="7">E$31-E$35</f>
        <v>0</v>
      </c>
      <c r="G23" s="658">
        <f t="shared" si="7"/>
        <v>0</v>
      </c>
      <c r="H23" s="658">
        <f t="shared" si="7"/>
        <v>0</v>
      </c>
      <c r="I23" s="658">
        <f t="shared" si="7"/>
        <v>0</v>
      </c>
      <c r="J23" s="658">
        <f t="shared" si="7"/>
        <v>0</v>
      </c>
      <c r="K23" s="658">
        <f t="shared" si="7"/>
        <v>0</v>
      </c>
      <c r="L23" s="658" t="e">
        <f t="shared" si="7"/>
        <v>#DIV/0!</v>
      </c>
      <c r="M23" s="658" t="e">
        <f t="shared" si="7"/>
        <v>#DIV/0!</v>
      </c>
      <c r="N23" s="658" t="e">
        <f t="shared" si="7"/>
        <v>#DIV/0!</v>
      </c>
      <c r="O23" s="658" t="e">
        <f t="shared" si="7"/>
        <v>#DIV/0!</v>
      </c>
      <c r="P23" s="658" t="e">
        <f>O$31-O$35</f>
        <v>#DIV/0!</v>
      </c>
      <c r="Q23" s="667" t="e">
        <f>AVERAGE(E23:P23)</f>
        <v>#DIV/0!</v>
      </c>
      <c r="R23" s="674" t="e">
        <f>($P$31*(1-R6))</f>
        <v>#DIV/0!</v>
      </c>
      <c r="S23" s="674" t="e">
        <f>R$31-R$35</f>
        <v>#DIV/0!</v>
      </c>
      <c r="T23" s="674" t="e">
        <f>S$31-S$35</f>
        <v>#DIV/0!</v>
      </c>
      <c r="U23" s="674" t="e">
        <f>T$31-T$35</f>
        <v>#DIV/0!</v>
      </c>
    </row>
    <row r="24" spans="2:21" ht="18" customHeight="1" x14ac:dyDescent="0.2">
      <c r="B24" s="180" t="s">
        <v>313</v>
      </c>
      <c r="C24" s="914" t="s">
        <v>428</v>
      </c>
      <c r="D24" s="654"/>
      <c r="E24" s="696"/>
      <c r="F24" s="696"/>
      <c r="G24" s="696"/>
      <c r="H24" s="696"/>
      <c r="I24" s="696"/>
      <c r="J24" s="696"/>
      <c r="K24" s="658" t="e">
        <f t="shared" ref="K24:P24" si="8">J40/(K16-15)</f>
        <v>#DIV/0!</v>
      </c>
      <c r="L24" s="658" t="e">
        <f t="shared" si="8"/>
        <v>#DIV/0!</v>
      </c>
      <c r="M24" s="658" t="e">
        <f t="shared" si="8"/>
        <v>#DIV/0!</v>
      </c>
      <c r="N24" s="658" t="e">
        <f t="shared" si="8"/>
        <v>#DIV/0!</v>
      </c>
      <c r="O24" s="658" t="e">
        <f t="shared" si="8"/>
        <v>#DIV/0!</v>
      </c>
      <c r="P24" s="658" t="e">
        <f t="shared" si="8"/>
        <v>#DIV/0!</v>
      </c>
      <c r="Q24" s="667" t="e">
        <f>SUM(E24:P24)</f>
        <v>#DIV/0!</v>
      </c>
      <c r="R24" s="675" t="e">
        <f>(P40/(R16-15))*12</f>
        <v>#DIV/0!</v>
      </c>
      <c r="S24" s="675" t="e">
        <f>(Q40/(S16-15))*12</f>
        <v>#DIV/0!</v>
      </c>
      <c r="T24" s="675" t="e">
        <f>(R40/(T16-15))*12</f>
        <v>#DIV/0!</v>
      </c>
      <c r="U24" s="675" t="e">
        <f>(S40/(U16-15))*12</f>
        <v>#DIV/0!</v>
      </c>
    </row>
    <row r="25" spans="2:21" ht="18" customHeight="1" x14ac:dyDescent="0.2">
      <c r="B25" s="700" t="s">
        <v>457</v>
      </c>
      <c r="C25" s="914" t="s">
        <v>428</v>
      </c>
      <c r="D25" s="655"/>
      <c r="E25" s="696"/>
      <c r="F25" s="696"/>
      <c r="G25" s="696"/>
      <c r="H25" s="696"/>
      <c r="I25" s="696"/>
      <c r="J25" s="696"/>
      <c r="K25" s="696"/>
      <c r="L25" s="696"/>
      <c r="M25" s="696"/>
      <c r="N25" s="696"/>
      <c r="O25" s="696"/>
      <c r="P25" s="696"/>
      <c r="Q25" s="667">
        <f>SUM(E25:P25)</f>
        <v>0</v>
      </c>
      <c r="R25" s="698"/>
      <c r="S25" s="698"/>
      <c r="T25" s="698"/>
      <c r="U25" s="698"/>
    </row>
    <row r="26" spans="2:21" ht="18" customHeight="1" x14ac:dyDescent="0.2">
      <c r="B26" s="700" t="s">
        <v>458</v>
      </c>
      <c r="C26" s="914" t="s">
        <v>428</v>
      </c>
      <c r="D26" s="655"/>
      <c r="E26" s="696"/>
      <c r="F26" s="696"/>
      <c r="G26" s="696"/>
      <c r="H26" s="696"/>
      <c r="I26" s="696"/>
      <c r="J26" s="696"/>
      <c r="K26" s="696"/>
      <c r="L26" s="696"/>
      <c r="M26" s="696"/>
      <c r="N26" s="696"/>
      <c r="O26" s="696"/>
      <c r="P26" s="696"/>
      <c r="Q26" s="667">
        <f>SUM(E26:P26)</f>
        <v>0</v>
      </c>
      <c r="R26" s="698"/>
      <c r="S26" s="698"/>
      <c r="T26" s="698"/>
      <c r="U26" s="698"/>
    </row>
    <row r="27" spans="2:21" ht="18" customHeight="1" x14ac:dyDescent="0.2">
      <c r="B27" s="494" t="s">
        <v>314</v>
      </c>
      <c r="C27" s="914" t="s">
        <v>428</v>
      </c>
      <c r="D27" s="651">
        <f>'Input Zootecnico atual'!D19</f>
        <v>0</v>
      </c>
      <c r="E27" s="658">
        <f>SUM(E23:E26)</f>
        <v>0</v>
      </c>
      <c r="F27" s="658">
        <f>SUM(F23:F26)</f>
        <v>0</v>
      </c>
      <c r="G27" s="658">
        <f>SUM(G23:G26)</f>
        <v>0</v>
      </c>
      <c r="H27" s="658">
        <f>SUM(H23:H26)</f>
        <v>0</v>
      </c>
      <c r="I27" s="658">
        <f t="shared" ref="I27:O27" si="9">SUM(I$23:I$26)</f>
        <v>0</v>
      </c>
      <c r="J27" s="658">
        <f t="shared" si="9"/>
        <v>0</v>
      </c>
      <c r="K27" s="658" t="e">
        <f t="shared" si="9"/>
        <v>#DIV/0!</v>
      </c>
      <c r="L27" s="658" t="e">
        <f t="shared" si="9"/>
        <v>#DIV/0!</v>
      </c>
      <c r="M27" s="658" t="e">
        <f t="shared" si="9"/>
        <v>#DIV/0!</v>
      </c>
      <c r="N27" s="658" t="e">
        <f t="shared" si="9"/>
        <v>#DIV/0!</v>
      </c>
      <c r="O27" s="658" t="e">
        <f t="shared" si="9"/>
        <v>#DIV/0!</v>
      </c>
      <c r="P27" s="658" t="e">
        <f>SUM(P$23:P$26)</f>
        <v>#DIV/0!</v>
      </c>
      <c r="Q27" s="667" t="e">
        <f>AVERAGE(E27,P27)</f>
        <v>#DIV/0!</v>
      </c>
      <c r="R27" s="674" t="e">
        <f>SUM(R23:R26)</f>
        <v>#DIV/0!</v>
      </c>
      <c r="S27" s="674" t="e">
        <f>SUM(S23:S26)</f>
        <v>#DIV/0!</v>
      </c>
      <c r="T27" s="674" t="e">
        <f>SUM(T23:T26)</f>
        <v>#DIV/0!</v>
      </c>
      <c r="U27" s="674" t="e">
        <f>SUM(U23:U26)</f>
        <v>#DIV/0!</v>
      </c>
    </row>
    <row r="28" spans="2:21" ht="18" customHeight="1" x14ac:dyDescent="0.2">
      <c r="B28" s="700" t="s">
        <v>459</v>
      </c>
      <c r="C28" s="914" t="s">
        <v>428</v>
      </c>
      <c r="D28" s="655"/>
      <c r="E28" s="696"/>
      <c r="F28" s="696"/>
      <c r="G28" s="696"/>
      <c r="H28" s="696"/>
      <c r="I28" s="696"/>
      <c r="J28" s="696"/>
      <c r="K28" s="696"/>
      <c r="L28" s="696"/>
      <c r="M28" s="696"/>
      <c r="N28" s="696"/>
      <c r="O28" s="696"/>
      <c r="P28" s="696"/>
      <c r="Q28" s="667">
        <f>SUM(E28:P28)</f>
        <v>0</v>
      </c>
      <c r="R28" s="696">
        <v>0</v>
      </c>
      <c r="S28" s="696">
        <v>0</v>
      </c>
      <c r="T28" s="696">
        <v>0</v>
      </c>
      <c r="U28" s="696">
        <v>0</v>
      </c>
    </row>
    <row r="29" spans="2:21" ht="18" customHeight="1" x14ac:dyDescent="0.2">
      <c r="B29" s="180" t="s">
        <v>315</v>
      </c>
      <c r="C29" s="914" t="s">
        <v>428</v>
      </c>
      <c r="D29" s="651"/>
      <c r="E29" s="658">
        <f>IF(E27-E$9&gt;0,E27-E$9,0)</f>
        <v>0</v>
      </c>
      <c r="F29" s="658">
        <f t="shared" ref="F29:P29" si="10">IF(F27-F$9&gt;0,F27-F$9,0)</f>
        <v>0</v>
      </c>
      <c r="G29" s="658">
        <f t="shared" si="10"/>
        <v>0</v>
      </c>
      <c r="H29" s="658">
        <f t="shared" si="10"/>
        <v>0</v>
      </c>
      <c r="I29" s="658">
        <f t="shared" si="10"/>
        <v>0</v>
      </c>
      <c r="J29" s="658">
        <f t="shared" si="10"/>
        <v>0</v>
      </c>
      <c r="K29" s="658" t="e">
        <f t="shared" si="10"/>
        <v>#DIV/0!</v>
      </c>
      <c r="L29" s="658" t="e">
        <f t="shared" si="10"/>
        <v>#DIV/0!</v>
      </c>
      <c r="M29" s="658" t="e">
        <f t="shared" si="10"/>
        <v>#DIV/0!</v>
      </c>
      <c r="N29" s="658" t="e">
        <f t="shared" si="10"/>
        <v>#DIV/0!</v>
      </c>
      <c r="O29" s="658" t="e">
        <f t="shared" si="10"/>
        <v>#DIV/0!</v>
      </c>
      <c r="P29" s="658" t="e">
        <f t="shared" si="10"/>
        <v>#DIV/0!</v>
      </c>
      <c r="Q29" s="667" t="e">
        <f t="shared" ref="Q29:Q34" si="11">AVERAGE(E29:P29)</f>
        <v>#DIV/0!</v>
      </c>
      <c r="R29" s="674" t="e">
        <f>IF(R27-R$9&gt;0,R27-R$9,0)</f>
        <v>#DIV/0!</v>
      </c>
      <c r="S29" s="674" t="e">
        <f>IF(S27-S$9&gt;0,S27-S$9,0)</f>
        <v>#DIV/0!</v>
      </c>
      <c r="T29" s="674" t="e">
        <f>IF(T27-T$9&gt;0,T27-T$9,0)</f>
        <v>#DIV/0!</v>
      </c>
      <c r="U29" s="674" t="e">
        <f>IF(U27-U$9&gt;0,U27-U$9,0)</f>
        <v>#DIV/0!</v>
      </c>
    </row>
    <row r="30" spans="2:21" s="916" customFormat="1" ht="18" customHeight="1" x14ac:dyDescent="0.2">
      <c r="B30" s="180" t="s">
        <v>316</v>
      </c>
      <c r="C30" s="914" t="s">
        <v>428</v>
      </c>
      <c r="D30" s="651">
        <f>'Input Zootecnico atual'!D17</f>
        <v>0</v>
      </c>
      <c r="E30" s="658">
        <f t="shared" ref="E30:P30" si="12">E15*E31</f>
        <v>0</v>
      </c>
      <c r="F30" s="658">
        <f t="shared" si="12"/>
        <v>0</v>
      </c>
      <c r="G30" s="658">
        <f t="shared" si="12"/>
        <v>0</v>
      </c>
      <c r="H30" s="658">
        <f t="shared" si="12"/>
        <v>0</v>
      </c>
      <c r="I30" s="658">
        <f t="shared" si="12"/>
        <v>0</v>
      </c>
      <c r="J30" s="658">
        <f t="shared" si="12"/>
        <v>0</v>
      </c>
      <c r="K30" s="658" t="e">
        <f t="shared" si="12"/>
        <v>#DIV/0!</v>
      </c>
      <c r="L30" s="658" t="e">
        <f t="shared" si="12"/>
        <v>#DIV/0!</v>
      </c>
      <c r="M30" s="658" t="e">
        <f t="shared" si="12"/>
        <v>#DIV/0!</v>
      </c>
      <c r="N30" s="658" t="e">
        <f t="shared" si="12"/>
        <v>#DIV/0!</v>
      </c>
      <c r="O30" s="658" t="e">
        <f t="shared" si="12"/>
        <v>#DIV/0!</v>
      </c>
      <c r="P30" s="658" t="e">
        <f t="shared" si="12"/>
        <v>#DIV/0!</v>
      </c>
      <c r="Q30" s="667" t="e">
        <f t="shared" si="11"/>
        <v>#DIV/0!</v>
      </c>
      <c r="R30" s="674" t="e">
        <f>R15*R31</f>
        <v>#DIV/0!</v>
      </c>
      <c r="S30" s="674" t="e">
        <f>S15*S31</f>
        <v>#DIV/0!</v>
      </c>
      <c r="T30" s="674" t="e">
        <f>T15*T31</f>
        <v>#DIV/0!</v>
      </c>
      <c r="U30" s="674" t="e">
        <f>U15*U31</f>
        <v>#DIV/0!</v>
      </c>
    </row>
    <row r="31" spans="2:21" s="916" customFormat="1" ht="18" customHeight="1" x14ac:dyDescent="0.2">
      <c r="B31" s="181" t="s">
        <v>517</v>
      </c>
      <c r="C31" s="911" t="s">
        <v>428</v>
      </c>
      <c r="D31" s="656">
        <f>D27</f>
        <v>0</v>
      </c>
      <c r="E31" s="676">
        <f>E27-E28-E29</f>
        <v>0</v>
      </c>
      <c r="F31" s="676">
        <f>F27-F28-F29</f>
        <v>0</v>
      </c>
      <c r="G31" s="676">
        <f t="shared" ref="G31:P31" si="13">G27-G28-G29</f>
        <v>0</v>
      </c>
      <c r="H31" s="676">
        <f t="shared" si="13"/>
        <v>0</v>
      </c>
      <c r="I31" s="676">
        <f t="shared" si="13"/>
        <v>0</v>
      </c>
      <c r="J31" s="676">
        <f t="shared" si="13"/>
        <v>0</v>
      </c>
      <c r="K31" s="676" t="e">
        <f t="shared" si="13"/>
        <v>#DIV/0!</v>
      </c>
      <c r="L31" s="676" t="e">
        <f t="shared" si="13"/>
        <v>#DIV/0!</v>
      </c>
      <c r="M31" s="676" t="e">
        <f t="shared" si="13"/>
        <v>#DIV/0!</v>
      </c>
      <c r="N31" s="676" t="e">
        <f t="shared" si="13"/>
        <v>#DIV/0!</v>
      </c>
      <c r="O31" s="676" t="e">
        <f t="shared" si="13"/>
        <v>#DIV/0!</v>
      </c>
      <c r="P31" s="676" t="e">
        <f t="shared" si="13"/>
        <v>#DIV/0!</v>
      </c>
      <c r="Q31" s="676" t="e">
        <f t="shared" si="11"/>
        <v>#DIV/0!</v>
      </c>
      <c r="R31" s="676" t="e">
        <f>R27-R28-R29</f>
        <v>#DIV/0!</v>
      </c>
      <c r="S31" s="676" t="e">
        <f>S27-S28-S29</f>
        <v>#DIV/0!</v>
      </c>
      <c r="T31" s="676" t="e">
        <f>T27-T28-T29</f>
        <v>#DIV/0!</v>
      </c>
      <c r="U31" s="676" t="e">
        <f>U27-U28-U29</f>
        <v>#DIV/0!</v>
      </c>
    </row>
    <row r="32" spans="2:21" ht="18" customHeight="1" x14ac:dyDescent="0.2">
      <c r="B32" s="180" t="s">
        <v>454</v>
      </c>
      <c r="C32" s="911" t="s">
        <v>320</v>
      </c>
      <c r="D32" s="652" t="e">
        <f>'Input Financeiro atual'!C10/'Input Zootecnico atual'!C17/365</f>
        <v>#DIV/0!</v>
      </c>
      <c r="E32" s="669">
        <f>(E33*(1-E34))</f>
        <v>0</v>
      </c>
      <c r="F32" s="669">
        <f t="shared" ref="F32:P32" si="14">(F33*(1-F34))</f>
        <v>0</v>
      </c>
      <c r="G32" s="669">
        <f t="shared" si="14"/>
        <v>0</v>
      </c>
      <c r="H32" s="669">
        <f t="shared" si="14"/>
        <v>0</v>
      </c>
      <c r="I32" s="669">
        <f t="shared" si="14"/>
        <v>0</v>
      </c>
      <c r="J32" s="669">
        <f t="shared" si="14"/>
        <v>0</v>
      </c>
      <c r="K32" s="669">
        <f t="shared" si="14"/>
        <v>0</v>
      </c>
      <c r="L32" s="669">
        <f t="shared" si="14"/>
        <v>0</v>
      </c>
      <c r="M32" s="669">
        <f t="shared" si="14"/>
        <v>0</v>
      </c>
      <c r="N32" s="669">
        <f t="shared" si="14"/>
        <v>0</v>
      </c>
      <c r="O32" s="669">
        <f t="shared" si="14"/>
        <v>0</v>
      </c>
      <c r="P32" s="669">
        <f t="shared" si="14"/>
        <v>0</v>
      </c>
      <c r="Q32" s="670">
        <f t="shared" si="11"/>
        <v>0</v>
      </c>
      <c r="R32" s="669">
        <f>(R33*(1-R34))/1.032</f>
        <v>0</v>
      </c>
      <c r="S32" s="669">
        <f>(S33*(1-S34))/1.032</f>
        <v>0</v>
      </c>
      <c r="T32" s="669">
        <f>(T33*(1-T34))/1.032</f>
        <v>0</v>
      </c>
      <c r="U32" s="669">
        <f>(U33*(1-U34))/1.032</f>
        <v>0</v>
      </c>
    </row>
    <row r="33" spans="2:21" ht="19.25" customHeight="1" x14ac:dyDescent="0.2">
      <c r="B33" s="701" t="s">
        <v>455</v>
      </c>
      <c r="C33" s="911" t="s">
        <v>320</v>
      </c>
      <c r="D33" s="677" t="e">
        <f>(D32/(1-D34))*1.032</f>
        <v>#DIV/0!</v>
      </c>
      <c r="E33" s="699"/>
      <c r="F33" s="699"/>
      <c r="G33" s="699"/>
      <c r="H33" s="699"/>
      <c r="I33" s="699"/>
      <c r="J33" s="699"/>
      <c r="K33" s="699"/>
      <c r="L33" s="699"/>
      <c r="M33" s="699"/>
      <c r="N33" s="699"/>
      <c r="O33" s="699"/>
      <c r="P33" s="699"/>
      <c r="Q33" s="677" t="e">
        <f t="shared" si="11"/>
        <v>#DIV/0!</v>
      </c>
      <c r="R33" s="699"/>
      <c r="S33" s="699"/>
      <c r="T33" s="699"/>
      <c r="U33" s="699"/>
    </row>
    <row r="34" spans="2:21" ht="20" customHeight="1" x14ac:dyDescent="0.2">
      <c r="B34" s="188" t="s">
        <v>538</v>
      </c>
      <c r="C34" s="650" t="s">
        <v>174</v>
      </c>
      <c r="D34" s="1009"/>
      <c r="E34" s="1010"/>
      <c r="F34" s="1010"/>
      <c r="G34" s="1010"/>
      <c r="H34" s="1010"/>
      <c r="I34" s="1010"/>
      <c r="J34" s="1010"/>
      <c r="K34" s="1010"/>
      <c r="L34" s="1010"/>
      <c r="M34" s="1010"/>
      <c r="N34" s="1010"/>
      <c r="O34" s="1010"/>
      <c r="P34" s="1010"/>
      <c r="Q34" s="797" t="e">
        <f t="shared" si="11"/>
        <v>#DIV/0!</v>
      </c>
      <c r="R34" s="792"/>
      <c r="S34" s="792"/>
      <c r="T34" s="792"/>
      <c r="U34" s="792"/>
    </row>
    <row r="35" spans="2:21" ht="18" customHeight="1" x14ac:dyDescent="0.2">
      <c r="B35" s="701" t="s">
        <v>317</v>
      </c>
      <c r="C35" s="914" t="s">
        <v>428</v>
      </c>
      <c r="D35" s="657">
        <f>'Input Zootecnico atual'!C66</f>
        <v>0</v>
      </c>
      <c r="E35" s="909"/>
      <c r="F35" s="909"/>
      <c r="G35" s="909"/>
      <c r="H35" s="909"/>
      <c r="I35" s="909"/>
      <c r="J35" s="909"/>
      <c r="K35" s="909"/>
      <c r="L35" s="909"/>
      <c r="M35" s="909"/>
      <c r="N35" s="909"/>
      <c r="O35" s="909"/>
      <c r="P35" s="909"/>
      <c r="Q35" s="793">
        <f>SUM(E35:P35)</f>
        <v>0</v>
      </c>
      <c r="R35" s="920" t="e">
        <f>R31*R6</f>
        <v>#DIV/0!</v>
      </c>
      <c r="S35" s="920" t="e">
        <f>S31*S6</f>
        <v>#DIV/0!</v>
      </c>
      <c r="T35" s="920" t="e">
        <f>T31*T6</f>
        <v>#DIV/0!</v>
      </c>
      <c r="U35" s="920" t="e">
        <f>U31*U6</f>
        <v>#DIV/0!</v>
      </c>
    </row>
    <row r="36" spans="2:21" ht="18" customHeight="1" x14ac:dyDescent="0.2">
      <c r="B36" s="188" t="s">
        <v>318</v>
      </c>
      <c r="C36" s="914" t="s">
        <v>428</v>
      </c>
      <c r="D36" s="658">
        <f t="shared" ref="D36:T36" si="15">D39+D40</f>
        <v>0</v>
      </c>
      <c r="E36" s="658" t="e">
        <f t="shared" si="15"/>
        <v>#DIV/0!</v>
      </c>
      <c r="F36" s="658" t="e">
        <f t="shared" si="15"/>
        <v>#DIV/0!</v>
      </c>
      <c r="G36" s="658" t="e">
        <f t="shared" si="15"/>
        <v>#DIV/0!</v>
      </c>
      <c r="H36" s="658" t="e">
        <f t="shared" si="15"/>
        <v>#DIV/0!</v>
      </c>
      <c r="I36" s="658" t="e">
        <f t="shared" si="15"/>
        <v>#DIV/0!</v>
      </c>
      <c r="J36" s="658" t="e">
        <f t="shared" si="15"/>
        <v>#DIV/0!</v>
      </c>
      <c r="K36" s="658" t="e">
        <f t="shared" si="15"/>
        <v>#DIV/0!</v>
      </c>
      <c r="L36" s="658" t="e">
        <f t="shared" si="15"/>
        <v>#DIV/0!</v>
      </c>
      <c r="M36" s="658" t="e">
        <f t="shared" si="15"/>
        <v>#DIV/0!</v>
      </c>
      <c r="N36" s="658" t="e">
        <f t="shared" si="15"/>
        <v>#DIV/0!</v>
      </c>
      <c r="O36" s="658" t="e">
        <f t="shared" si="15"/>
        <v>#DIV/0!</v>
      </c>
      <c r="P36" s="658" t="e">
        <f t="shared" si="15"/>
        <v>#DIV/0!</v>
      </c>
      <c r="Q36" s="667" t="e">
        <f>AVERAGE(E36:P36)</f>
        <v>#DIV/0!</v>
      </c>
      <c r="R36" s="658" t="e">
        <f t="shared" si="15"/>
        <v>#DIV/0!</v>
      </c>
      <c r="S36" s="658" t="e">
        <f t="shared" si="15"/>
        <v>#DIV/0!</v>
      </c>
      <c r="T36" s="658" t="e">
        <f t="shared" si="15"/>
        <v>#DIV/0!</v>
      </c>
      <c r="U36" s="658" t="e">
        <f>U39+U40</f>
        <v>#DIV/0!</v>
      </c>
    </row>
    <row r="37" spans="2:21" ht="18" customHeight="1" x14ac:dyDescent="0.2">
      <c r="B37" s="700" t="s">
        <v>489</v>
      </c>
      <c r="C37" s="914" t="s">
        <v>428</v>
      </c>
      <c r="D37" s="655"/>
      <c r="E37" s="696">
        <v>0</v>
      </c>
      <c r="F37" s="696">
        <v>0</v>
      </c>
      <c r="G37" s="696">
        <v>0</v>
      </c>
      <c r="H37" s="696">
        <v>0</v>
      </c>
      <c r="I37" s="696">
        <v>0</v>
      </c>
      <c r="J37" s="696">
        <v>0</v>
      </c>
      <c r="K37" s="696">
        <v>0</v>
      </c>
      <c r="L37" s="696">
        <v>0</v>
      </c>
      <c r="M37" s="696">
        <v>0</v>
      </c>
      <c r="N37" s="696">
        <v>0</v>
      </c>
      <c r="O37" s="696">
        <v>0</v>
      </c>
      <c r="P37" s="696">
        <v>0</v>
      </c>
      <c r="Q37" s="667">
        <f>SUM(E37:P37)</f>
        <v>0</v>
      </c>
      <c r="R37" s="696">
        <v>0</v>
      </c>
      <c r="S37" s="696">
        <v>0</v>
      </c>
      <c r="T37" s="696">
        <v>0</v>
      </c>
      <c r="U37" s="696">
        <v>0</v>
      </c>
    </row>
    <row r="38" spans="2:21" ht="18" customHeight="1" x14ac:dyDescent="0.2">
      <c r="B38" s="700" t="s">
        <v>490</v>
      </c>
      <c r="C38" s="914" t="s">
        <v>428</v>
      </c>
      <c r="D38" s="655"/>
      <c r="E38" s="696">
        <v>0</v>
      </c>
      <c r="F38" s="696">
        <v>0</v>
      </c>
      <c r="G38" s="696">
        <v>0</v>
      </c>
      <c r="H38" s="696">
        <v>0</v>
      </c>
      <c r="I38" s="696">
        <v>0</v>
      </c>
      <c r="J38" s="696">
        <v>0</v>
      </c>
      <c r="K38" s="696">
        <v>0</v>
      </c>
      <c r="L38" s="696">
        <v>0</v>
      </c>
      <c r="M38" s="696">
        <v>0</v>
      </c>
      <c r="N38" s="696">
        <v>0</v>
      </c>
      <c r="O38" s="696">
        <v>0</v>
      </c>
      <c r="P38" s="696">
        <v>0</v>
      </c>
      <c r="Q38" s="667">
        <f>SUM(E38:P38)</f>
        <v>0</v>
      </c>
      <c r="R38" s="696">
        <v>0</v>
      </c>
      <c r="S38" s="696">
        <v>0</v>
      </c>
      <c r="T38" s="696">
        <v>0</v>
      </c>
      <c r="U38" s="696">
        <v>0</v>
      </c>
    </row>
    <row r="39" spans="2:21" ht="18" customHeight="1" x14ac:dyDescent="0.2">
      <c r="B39" s="180" t="str">
        <f>'Input Zootecnico atual'!B20</f>
        <v>Novilhas 3 a 15 meses</v>
      </c>
      <c r="C39" s="914" t="s">
        <v>428</v>
      </c>
      <c r="D39" s="655">
        <f>'Input Zootecnico atual'!D20</f>
        <v>0</v>
      </c>
      <c r="E39" s="1031" t="e">
        <f>((D39)-(D39/12)+((E23*(12/E21)*E8)/12)+(E24*E8)+E37)*(1-E7)</f>
        <v>#DIV/0!</v>
      </c>
      <c r="F39" s="1031" t="e">
        <f t="shared" ref="F39:P39" si="16">((E39)-(E39/12)+((F23*(12/F21)*F8)/12)+(F24*F8)+F37)*(1-F7)</f>
        <v>#DIV/0!</v>
      </c>
      <c r="G39" s="1031" t="e">
        <f t="shared" si="16"/>
        <v>#DIV/0!</v>
      </c>
      <c r="H39" s="1031" t="e">
        <f t="shared" si="16"/>
        <v>#DIV/0!</v>
      </c>
      <c r="I39" s="1031" t="e">
        <f t="shared" si="16"/>
        <v>#DIV/0!</v>
      </c>
      <c r="J39" s="1031" t="e">
        <f t="shared" si="16"/>
        <v>#DIV/0!</v>
      </c>
      <c r="K39" s="1031" t="e">
        <f t="shared" si="16"/>
        <v>#DIV/0!</v>
      </c>
      <c r="L39" s="1031" t="e">
        <f t="shared" si="16"/>
        <v>#DIV/0!</v>
      </c>
      <c r="M39" s="1031" t="e">
        <f t="shared" si="16"/>
        <v>#DIV/0!</v>
      </c>
      <c r="N39" s="1031" t="e">
        <f t="shared" si="16"/>
        <v>#DIV/0!</v>
      </c>
      <c r="O39" s="1031" t="e">
        <f t="shared" si="16"/>
        <v>#DIV/0!</v>
      </c>
      <c r="P39" s="1031" t="e">
        <f t="shared" si="16"/>
        <v>#DIV/0!</v>
      </c>
      <c r="Q39" s="667" t="e">
        <f>AVERAGE(E39:P39)</f>
        <v>#DIV/0!</v>
      </c>
      <c r="R39" s="658" t="e">
        <f>((R23*(12/R21)*R8)+(R24*R8)+R37)*(1-R7)</f>
        <v>#DIV/0!</v>
      </c>
      <c r="S39" s="658" t="e">
        <f>((S23*(12/S21)*S8)+(S24*S8)+S37)*(1-S7)</f>
        <v>#DIV/0!</v>
      </c>
      <c r="T39" s="658" t="e">
        <f>((T23*(12/T21)*T8)+(T24*T8)+T37)*(1-T7)</f>
        <v>#DIV/0!</v>
      </c>
      <c r="U39" s="658" t="e">
        <f>((U23*(12/U21)*U8)+(U24*U8)+U37)*(1-U7)</f>
        <v>#DIV/0!</v>
      </c>
    </row>
    <row r="40" spans="2:21" ht="18" customHeight="1" x14ac:dyDescent="0.2">
      <c r="B40" s="180" t="str">
        <f>'Input Zootecnico atual'!B21</f>
        <v>Novilhas maior 15 meses</v>
      </c>
      <c r="C40" s="914" t="s">
        <v>428</v>
      </c>
      <c r="D40" s="655">
        <f>'Input Zootecnico atual'!D21</f>
        <v>0</v>
      </c>
      <c r="E40" s="658">
        <f>((D40)-(E24)+(D39/12)+(E38)-(E28))*0.995</f>
        <v>0</v>
      </c>
      <c r="F40" s="658" t="e">
        <f t="shared" ref="F40:P40" si="17">((E40)-(F24)+(E39/12)+(F38)-(F28))*0.995</f>
        <v>#DIV/0!</v>
      </c>
      <c r="G40" s="658" t="e">
        <f t="shared" si="17"/>
        <v>#DIV/0!</v>
      </c>
      <c r="H40" s="658" t="e">
        <f t="shared" si="17"/>
        <v>#DIV/0!</v>
      </c>
      <c r="I40" s="658" t="e">
        <f t="shared" si="17"/>
        <v>#DIV/0!</v>
      </c>
      <c r="J40" s="658" t="e">
        <f t="shared" si="17"/>
        <v>#DIV/0!</v>
      </c>
      <c r="K40" s="658" t="e">
        <f t="shared" si="17"/>
        <v>#DIV/0!</v>
      </c>
      <c r="L40" s="658" t="e">
        <f t="shared" si="17"/>
        <v>#DIV/0!</v>
      </c>
      <c r="M40" s="658" t="e">
        <f t="shared" si="17"/>
        <v>#DIV/0!</v>
      </c>
      <c r="N40" s="658" t="e">
        <f t="shared" si="17"/>
        <v>#DIV/0!</v>
      </c>
      <c r="O40" s="658" t="e">
        <f t="shared" si="17"/>
        <v>#DIV/0!</v>
      </c>
      <c r="P40" s="658" t="e">
        <f t="shared" si="17"/>
        <v>#DIV/0!</v>
      </c>
      <c r="Q40" s="667" t="e">
        <f>AVERAGE(E40:P40)</f>
        <v>#DIV/0!</v>
      </c>
      <c r="R40" s="658" t="e">
        <f>((P40)-(R24)+(P39)+(R38)-(R28))*0.95</f>
        <v>#DIV/0!</v>
      </c>
      <c r="S40" s="658" t="e">
        <f>((R40)-(S24)+(R39)+(S38)-(S28))*0.95</f>
        <v>#DIV/0!</v>
      </c>
      <c r="T40" s="658" t="e">
        <f>((S40)-(T24)+(S39)+(T38)-(T28))*0.95</f>
        <v>#DIV/0!</v>
      </c>
      <c r="U40" s="658" t="e">
        <f>((T40)-(U24)+(T39)+(U38)-(U28))*0.95</f>
        <v>#DIV/0!</v>
      </c>
    </row>
    <row r="41" spans="2:21" ht="18" customHeight="1" x14ac:dyDescent="0.2">
      <c r="B41" s="183" t="s">
        <v>319</v>
      </c>
      <c r="C41" s="919" t="s">
        <v>428</v>
      </c>
      <c r="D41" s="659">
        <f t="shared" ref="D41:P41" si="18">D31+D39+D40</f>
        <v>0</v>
      </c>
      <c r="E41" s="678" t="e">
        <f t="shared" si="18"/>
        <v>#DIV/0!</v>
      </c>
      <c r="F41" s="678" t="e">
        <f t="shared" si="18"/>
        <v>#DIV/0!</v>
      </c>
      <c r="G41" s="678" t="e">
        <f t="shared" si="18"/>
        <v>#DIV/0!</v>
      </c>
      <c r="H41" s="678" t="e">
        <f t="shared" si="18"/>
        <v>#DIV/0!</v>
      </c>
      <c r="I41" s="678" t="e">
        <f t="shared" si="18"/>
        <v>#DIV/0!</v>
      </c>
      <c r="J41" s="678" t="e">
        <f t="shared" si="18"/>
        <v>#DIV/0!</v>
      </c>
      <c r="K41" s="678" t="e">
        <f t="shared" si="18"/>
        <v>#DIV/0!</v>
      </c>
      <c r="L41" s="678" t="e">
        <f t="shared" si="18"/>
        <v>#DIV/0!</v>
      </c>
      <c r="M41" s="678" t="e">
        <f t="shared" si="18"/>
        <v>#DIV/0!</v>
      </c>
      <c r="N41" s="678" t="e">
        <f t="shared" si="18"/>
        <v>#DIV/0!</v>
      </c>
      <c r="O41" s="678" t="e">
        <f t="shared" si="18"/>
        <v>#DIV/0!</v>
      </c>
      <c r="P41" s="678" t="e">
        <f t="shared" si="18"/>
        <v>#DIV/0!</v>
      </c>
      <c r="Q41" s="678" t="e">
        <f>AVERAGE(E41:P41)</f>
        <v>#DIV/0!</v>
      </c>
      <c r="R41" s="679" t="e">
        <f>R31+R39+R40</f>
        <v>#DIV/0!</v>
      </c>
      <c r="S41" s="679" t="e">
        <f>S31+S39+S40</f>
        <v>#DIV/0!</v>
      </c>
      <c r="T41" s="679" t="e">
        <f>T31+T39+T40</f>
        <v>#DIV/0!</v>
      </c>
      <c r="U41" s="679" t="e">
        <f>U31+U39+U40</f>
        <v>#DIV/0!</v>
      </c>
    </row>
    <row r="42" spans="2:21" s="170" customFormat="1" ht="5.25" customHeight="1" x14ac:dyDescent="0.2">
      <c r="B42" s="185"/>
      <c r="C42" s="921"/>
      <c r="D42" s="186"/>
      <c r="E42" s="186"/>
      <c r="F42" s="186"/>
      <c r="G42" s="186"/>
      <c r="H42" s="186"/>
      <c r="I42" s="186"/>
      <c r="J42" s="186"/>
      <c r="K42" s="186"/>
      <c r="L42" s="186"/>
      <c r="M42" s="186"/>
      <c r="N42" s="186"/>
      <c r="O42" s="186"/>
      <c r="P42" s="186"/>
      <c r="Q42" s="186"/>
      <c r="R42" s="187"/>
      <c r="S42" s="187"/>
      <c r="T42" s="187"/>
      <c r="U42" s="187"/>
    </row>
    <row r="43" spans="2:21" ht="18" customHeight="1" x14ac:dyDescent="0.2">
      <c r="B43" s="184" t="s">
        <v>456</v>
      </c>
      <c r="C43" s="922" t="s">
        <v>40</v>
      </c>
      <c r="D43" s="660" t="e">
        <f>D30*D32</f>
        <v>#DIV/0!</v>
      </c>
      <c r="E43" s="680">
        <f t="shared" ref="E43:O43" si="19">E30*E32</f>
        <v>0</v>
      </c>
      <c r="F43" s="680">
        <f t="shared" si="19"/>
        <v>0</v>
      </c>
      <c r="G43" s="680">
        <f t="shared" si="19"/>
        <v>0</v>
      </c>
      <c r="H43" s="680">
        <f t="shared" si="19"/>
        <v>0</v>
      </c>
      <c r="I43" s="680">
        <f t="shared" si="19"/>
        <v>0</v>
      </c>
      <c r="J43" s="680">
        <f t="shared" si="19"/>
        <v>0</v>
      </c>
      <c r="K43" s="680" t="e">
        <f t="shared" si="19"/>
        <v>#DIV/0!</v>
      </c>
      <c r="L43" s="680" t="e">
        <f>L30*L32</f>
        <v>#DIV/0!</v>
      </c>
      <c r="M43" s="680" t="e">
        <f t="shared" si="19"/>
        <v>#DIV/0!</v>
      </c>
      <c r="N43" s="680" t="e">
        <f t="shared" si="19"/>
        <v>#DIV/0!</v>
      </c>
      <c r="O43" s="680" t="e">
        <f t="shared" si="19"/>
        <v>#DIV/0!</v>
      </c>
      <c r="P43" s="680" t="e">
        <f>P30*P32</f>
        <v>#DIV/0!</v>
      </c>
      <c r="Q43" s="680" t="e">
        <f>Q30*Q32</f>
        <v>#DIV/0!</v>
      </c>
      <c r="R43" s="923" t="e">
        <f>(R30*R32)</f>
        <v>#DIV/0!</v>
      </c>
      <c r="S43" s="923" t="e">
        <f>(S30*S32)</f>
        <v>#DIV/0!</v>
      </c>
      <c r="T43" s="923" t="e">
        <f>(T30*T32)</f>
        <v>#DIV/0!</v>
      </c>
      <c r="U43" s="923" t="e">
        <f>(U30*U32)</f>
        <v>#DIV/0!</v>
      </c>
    </row>
    <row r="44" spans="2:21" ht="18" customHeight="1" x14ac:dyDescent="0.2">
      <c r="B44" s="170"/>
      <c r="D44" s="171"/>
      <c r="E44" s="924"/>
    </row>
    <row r="45" spans="2:21" ht="18" customHeight="1" x14ac:dyDescent="0.2">
      <c r="B45" s="170"/>
      <c r="D45" s="171"/>
      <c r="E45" s="171"/>
    </row>
    <row r="46" spans="2:21" ht="18" customHeight="1" x14ac:dyDescent="0.2">
      <c r="B46" s="170"/>
      <c r="D46" s="171"/>
      <c r="E46" s="171"/>
      <c r="L46" s="175"/>
      <c r="N46" s="175"/>
    </row>
    <row r="47" spans="2:21" ht="18" customHeight="1" x14ac:dyDescent="0.2">
      <c r="B47" s="170"/>
      <c r="D47" s="171"/>
      <c r="E47" s="171"/>
    </row>
    <row r="48" spans="2:21" ht="18" customHeight="1" x14ac:dyDescent="0.2">
      <c r="B48" s="170"/>
      <c r="D48" s="171"/>
      <c r="E48" s="171"/>
    </row>
  </sheetData>
  <sheetProtection password="8826" sheet="1" objects="1" scenarios="1"/>
  <mergeCells count="7">
    <mergeCell ref="T4:T5"/>
    <mergeCell ref="E4:Q4"/>
    <mergeCell ref="U4:U5"/>
    <mergeCell ref="C4:C5"/>
    <mergeCell ref="B4:B5"/>
    <mergeCell ref="R4:R5"/>
    <mergeCell ref="S4:S5"/>
  </mergeCells>
  <pageMargins left="0.511811024" right="0.511811024" top="0.78740157499999996" bottom="0.78740157499999996" header="0.31496062000000002" footer="0.31496062000000002"/>
  <pageSetup paperSize="9" orientation="portrait" horizontalDpi="4294967292" verticalDpi="4294967292"/>
  <ignoredErrors>
    <ignoredError sqref="R35:U35" unlockedFormula="1"/>
    <ignoredError sqref="Q34" formulaRange="1"/>
  </ignoredErrors>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enableFormatConditionsCalculation="0">
    <tabColor theme="8" tint="0.499984740745262"/>
  </sheetPr>
  <dimension ref="A1:EH49"/>
  <sheetViews>
    <sheetView showGridLines="0" zoomScale="108" zoomScaleNormal="80" zoomScalePageLayoutView="80" workbookViewId="0">
      <selection activeCell="J26" sqref="J26"/>
    </sheetView>
  </sheetViews>
  <sheetFormatPr baseColWidth="10" defaultColWidth="12.5" defaultRowHeight="18" customHeight="1" x14ac:dyDescent="0.2"/>
  <cols>
    <col min="1" max="1" width="2.1640625" style="197" customWidth="1"/>
    <col min="2" max="2" width="37.1640625" style="197" customWidth="1"/>
    <col min="3" max="15" width="17.1640625" style="197" customWidth="1"/>
    <col min="16" max="16" width="13.33203125" style="197" customWidth="1"/>
    <col min="17" max="17" width="10.5" style="197" bestFit="1" customWidth="1"/>
    <col min="18" max="18" width="10.33203125" style="198" customWidth="1"/>
    <col min="19" max="19" width="8.5" style="198" customWidth="1"/>
    <col min="20" max="20" width="18" style="198" customWidth="1"/>
    <col min="21" max="21" width="7.33203125" style="198" customWidth="1"/>
    <col min="22" max="22" width="0.5" style="198" customWidth="1"/>
    <col min="23" max="42" width="8.33203125" style="198" customWidth="1"/>
    <col min="43" max="84" width="10.5" style="198" customWidth="1"/>
    <col min="85" max="16384" width="12.5" style="198"/>
  </cols>
  <sheetData>
    <row r="1" spans="1:42" ht="18" customHeight="1" x14ac:dyDescent="0.2">
      <c r="A1" s="598"/>
    </row>
    <row r="4" spans="1:42" ht="18" customHeight="1" x14ac:dyDescent="0.2">
      <c r="B4" s="1158" t="s">
        <v>35</v>
      </c>
      <c r="C4" s="1158" t="s">
        <v>36</v>
      </c>
      <c r="D4" s="1158"/>
      <c r="E4" s="1158"/>
      <c r="F4" s="1158"/>
      <c r="G4" s="1158"/>
      <c r="H4" s="1158"/>
      <c r="I4" s="1158"/>
      <c r="J4" s="1158" t="s">
        <v>349</v>
      </c>
      <c r="K4" s="1158"/>
      <c r="L4" s="1158"/>
      <c r="M4" s="1168" t="s">
        <v>8</v>
      </c>
      <c r="N4" s="1168"/>
      <c r="O4" s="1158" t="s">
        <v>350</v>
      </c>
      <c r="P4" s="245"/>
      <c r="Q4" s="245"/>
      <c r="R4" s="246"/>
      <c r="S4" s="246"/>
      <c r="T4" s="246"/>
      <c r="U4" s="246"/>
      <c r="V4" s="247"/>
      <c r="W4" s="248"/>
      <c r="X4" s="246"/>
      <c r="Y4" s="248"/>
      <c r="Z4" s="246"/>
      <c r="AA4" s="246"/>
      <c r="AB4" s="246"/>
      <c r="AC4" s="246"/>
      <c r="AD4" s="246"/>
      <c r="AE4" s="246"/>
      <c r="AF4" s="246"/>
      <c r="AG4" s="246"/>
      <c r="AH4" s="246"/>
      <c r="AI4" s="246"/>
      <c r="AJ4" s="246"/>
      <c r="AK4" s="246"/>
      <c r="AL4" s="246"/>
      <c r="AM4" s="246"/>
      <c r="AN4" s="246"/>
      <c r="AO4" s="246"/>
      <c r="AP4" s="246"/>
    </row>
    <row r="5" spans="1:42" ht="18" customHeight="1" x14ac:dyDescent="0.2">
      <c r="B5" s="1158"/>
      <c r="C5" s="199" t="s">
        <v>321</v>
      </c>
      <c r="D5" s="1166" t="s">
        <v>322</v>
      </c>
      <c r="E5" s="1167"/>
      <c r="F5" s="1158" t="s">
        <v>323</v>
      </c>
      <c r="G5" s="1158"/>
      <c r="H5" s="1158"/>
      <c r="I5" s="1158"/>
      <c r="J5" s="176" t="s">
        <v>324</v>
      </c>
      <c r="K5" s="176" t="s">
        <v>325</v>
      </c>
      <c r="L5" s="176" t="s">
        <v>326</v>
      </c>
      <c r="M5" s="199" t="s">
        <v>327</v>
      </c>
      <c r="N5" s="176" t="s">
        <v>325</v>
      </c>
      <c r="O5" s="1158"/>
      <c r="P5" s="198"/>
      <c r="Q5" s="245"/>
      <c r="R5" s="249"/>
      <c r="S5" s="249"/>
      <c r="T5" s="249"/>
      <c r="U5" s="249"/>
      <c r="V5" s="250"/>
      <c r="W5" s="251"/>
      <c r="X5" s="249"/>
      <c r="Y5" s="251"/>
      <c r="Z5" s="249"/>
      <c r="AA5" s="249"/>
      <c r="AB5" s="249"/>
      <c r="AC5" s="249"/>
      <c r="AD5" s="249"/>
      <c r="AE5" s="249"/>
      <c r="AF5" s="249"/>
      <c r="AG5" s="249"/>
      <c r="AH5" s="249"/>
      <c r="AI5" s="249"/>
      <c r="AJ5" s="249"/>
      <c r="AK5" s="249"/>
      <c r="AL5" s="249"/>
      <c r="AM5" s="249"/>
      <c r="AN5" s="249"/>
      <c r="AO5" s="249"/>
      <c r="AP5" s="249"/>
    </row>
    <row r="6" spans="1:42" ht="18" customHeight="1" x14ac:dyDescent="0.2">
      <c r="B6" s="199" t="s">
        <v>328</v>
      </c>
      <c r="C6" s="290" t="s">
        <v>329</v>
      </c>
      <c r="D6" s="291" t="s">
        <v>330</v>
      </c>
      <c r="E6" s="292" t="s">
        <v>331</v>
      </c>
      <c r="F6" s="292" t="s">
        <v>332</v>
      </c>
      <c r="G6" s="292" t="s">
        <v>333</v>
      </c>
      <c r="H6" s="293" t="s">
        <v>334</v>
      </c>
      <c r="I6" s="292" t="s">
        <v>335</v>
      </c>
      <c r="J6" s="292" t="s">
        <v>336</v>
      </c>
      <c r="K6" s="292" t="s">
        <v>336</v>
      </c>
      <c r="L6" s="292" t="s">
        <v>337</v>
      </c>
      <c r="M6" s="291" t="s">
        <v>338</v>
      </c>
      <c r="N6" s="292" t="s">
        <v>338</v>
      </c>
      <c r="O6" s="294" t="s">
        <v>351</v>
      </c>
      <c r="P6" s="198"/>
      <c r="Q6" s="245"/>
      <c r="R6" s="252"/>
      <c r="S6" s="252"/>
      <c r="T6" s="252"/>
      <c r="U6" s="252"/>
      <c r="V6" s="252"/>
      <c r="W6" s="253"/>
      <c r="X6" s="252"/>
      <c r="Y6" s="253"/>
      <c r="Z6" s="252"/>
      <c r="AA6" s="252"/>
      <c r="AB6" s="252"/>
      <c r="AC6" s="252"/>
      <c r="AD6" s="252"/>
      <c r="AE6" s="252"/>
      <c r="AF6" s="252"/>
      <c r="AG6" s="252"/>
      <c r="AH6" s="252"/>
      <c r="AI6" s="252"/>
      <c r="AJ6" s="252"/>
      <c r="AK6" s="252"/>
      <c r="AL6" s="252"/>
      <c r="AM6" s="252"/>
      <c r="AN6" s="252"/>
      <c r="AO6" s="252"/>
      <c r="AP6" s="252"/>
    </row>
    <row r="7" spans="1:42" ht="18" customHeight="1" x14ac:dyDescent="0.2">
      <c r="B7" s="200">
        <f>Inputs!B9</f>
        <v>0</v>
      </c>
      <c r="C7" s="201"/>
      <c r="D7" s="202"/>
      <c r="E7" s="202"/>
      <c r="F7" s="202"/>
      <c r="G7" s="202"/>
      <c r="H7" s="202"/>
      <c r="I7" s="202"/>
      <c r="J7" s="203" t="e">
        <f t="shared" ref="J7:J21" si="0">((C7/100*C$22*$C$27)+(D7*$D$27)+(E7*$E$27)+(F7*$F$27)+(G7*$G$27)+(H7*$H$27)+(I7*$I$27))</f>
        <v>#DIV/0!</v>
      </c>
      <c r="K7" s="203" t="e">
        <f>J7*30</f>
        <v>#DIV/0!</v>
      </c>
      <c r="L7" s="203" t="e">
        <f>K7*12/1000</f>
        <v>#DIV/0!</v>
      </c>
      <c r="M7" s="203">
        <f>Inputs!E9</f>
        <v>0</v>
      </c>
      <c r="N7" s="177" t="e">
        <f t="shared" ref="N7:N21" si="1">M7*K7</f>
        <v>#DIV/0!</v>
      </c>
      <c r="O7" s="177" t="e">
        <f t="shared" ref="O7:O21" si="2">(C$22)*C7/100</f>
        <v>#DIV/0!</v>
      </c>
      <c r="P7" s="198"/>
      <c r="Q7" s="245"/>
      <c r="R7" s="254"/>
      <c r="S7" s="255"/>
      <c r="T7" s="252"/>
      <c r="U7" s="204"/>
      <c r="V7" s="254"/>
      <c r="W7" s="256"/>
      <c r="X7" s="204"/>
      <c r="Y7" s="256"/>
      <c r="Z7" s="204"/>
      <c r="AA7" s="254"/>
      <c r="AB7" s="204"/>
      <c r="AC7" s="254"/>
      <c r="AD7" s="204"/>
      <c r="AE7" s="254"/>
      <c r="AF7" s="204"/>
      <c r="AG7" s="254"/>
      <c r="AH7" s="204"/>
      <c r="AI7" s="254"/>
      <c r="AJ7" s="204"/>
      <c r="AK7" s="254"/>
      <c r="AL7" s="204"/>
      <c r="AM7" s="254"/>
      <c r="AN7" s="204"/>
      <c r="AO7" s="254"/>
      <c r="AP7" s="204"/>
    </row>
    <row r="8" spans="1:42" ht="18" customHeight="1" x14ac:dyDescent="0.2">
      <c r="B8" s="200">
        <f>Inputs!B10</f>
        <v>0</v>
      </c>
      <c r="C8" s="201"/>
      <c r="D8" s="202"/>
      <c r="E8" s="202"/>
      <c r="F8" s="202"/>
      <c r="G8" s="202"/>
      <c r="H8" s="202"/>
      <c r="I8" s="202"/>
      <c r="J8" s="203" t="e">
        <f t="shared" si="0"/>
        <v>#DIV/0!</v>
      </c>
      <c r="K8" s="203" t="e">
        <f>J8*30</f>
        <v>#DIV/0!</v>
      </c>
      <c r="L8" s="203" t="e">
        <f>K8*12/1000</f>
        <v>#DIV/0!</v>
      </c>
      <c r="M8" s="203">
        <f>Inputs!E10</f>
        <v>0</v>
      </c>
      <c r="N8" s="177" t="e">
        <f t="shared" si="1"/>
        <v>#DIV/0!</v>
      </c>
      <c r="O8" s="177" t="e">
        <f t="shared" si="2"/>
        <v>#DIV/0!</v>
      </c>
      <c r="P8" s="198"/>
      <c r="Q8" s="245"/>
      <c r="R8" s="254"/>
      <c r="S8" s="255"/>
      <c r="T8" s="257"/>
      <c r="U8" s="204"/>
      <c r="V8" s="258"/>
      <c r="W8" s="256"/>
      <c r="X8" s="204"/>
      <c r="Y8" s="256"/>
      <c r="Z8" s="204"/>
      <c r="AA8" s="254"/>
      <c r="AB8" s="204"/>
      <c r="AC8" s="254"/>
      <c r="AD8" s="204"/>
      <c r="AE8" s="254"/>
      <c r="AF8" s="204"/>
      <c r="AG8" s="254"/>
      <c r="AH8" s="204"/>
      <c r="AI8" s="254"/>
      <c r="AJ8" s="204"/>
      <c r="AK8" s="254"/>
      <c r="AL8" s="204"/>
      <c r="AM8" s="254"/>
      <c r="AN8" s="204"/>
      <c r="AO8" s="254"/>
      <c r="AP8" s="204"/>
    </row>
    <row r="9" spans="1:42" ht="18" customHeight="1" x14ac:dyDescent="0.2">
      <c r="B9" s="200">
        <f>Inputs!B11</f>
        <v>0</v>
      </c>
      <c r="C9" s="201"/>
      <c r="D9" s="202"/>
      <c r="E9" s="202"/>
      <c r="F9" s="202"/>
      <c r="G9" s="202"/>
      <c r="H9" s="202"/>
      <c r="I9" s="202"/>
      <c r="J9" s="203" t="e">
        <f t="shared" si="0"/>
        <v>#DIV/0!</v>
      </c>
      <c r="K9" s="203" t="e">
        <f t="shared" ref="K9:K21" si="3">J9*30</f>
        <v>#DIV/0!</v>
      </c>
      <c r="L9" s="203" t="e">
        <f t="shared" ref="L9:L21" si="4">J9*365/1000</f>
        <v>#DIV/0!</v>
      </c>
      <c r="M9" s="203">
        <f>Inputs!E11</f>
        <v>0</v>
      </c>
      <c r="N9" s="177" t="e">
        <f t="shared" si="1"/>
        <v>#DIV/0!</v>
      </c>
      <c r="O9" s="177" t="e">
        <f t="shared" si="2"/>
        <v>#DIV/0!</v>
      </c>
      <c r="P9" s="198"/>
      <c r="Q9" s="205"/>
      <c r="R9" s="246"/>
      <c r="S9" s="255"/>
      <c r="T9" s="252"/>
      <c r="U9" s="204"/>
      <c r="V9" s="258"/>
      <c r="W9" s="248"/>
      <c r="X9" s="204"/>
      <c r="Y9" s="248"/>
      <c r="Z9" s="204"/>
      <c r="AA9" s="246"/>
      <c r="AB9" s="204"/>
      <c r="AC9" s="246"/>
      <c r="AD9" s="204"/>
      <c r="AE9" s="246"/>
      <c r="AF9" s="204"/>
      <c r="AG9" s="246"/>
      <c r="AH9" s="204"/>
      <c r="AI9" s="246"/>
      <c r="AJ9" s="204"/>
      <c r="AK9" s="246"/>
      <c r="AL9" s="204"/>
      <c r="AM9" s="246"/>
      <c r="AN9" s="204"/>
      <c r="AO9" s="246"/>
      <c r="AP9" s="204"/>
    </row>
    <row r="10" spans="1:42" ht="18" customHeight="1" x14ac:dyDescent="0.2">
      <c r="B10" s="200">
        <f>Inputs!B12</f>
        <v>0</v>
      </c>
      <c r="C10" s="201"/>
      <c r="D10" s="202"/>
      <c r="E10" s="202"/>
      <c r="F10" s="202"/>
      <c r="G10" s="202"/>
      <c r="H10" s="202"/>
      <c r="I10" s="202"/>
      <c r="J10" s="203" t="e">
        <f t="shared" si="0"/>
        <v>#DIV/0!</v>
      </c>
      <c r="K10" s="203" t="e">
        <f t="shared" si="3"/>
        <v>#DIV/0!</v>
      </c>
      <c r="L10" s="203" t="e">
        <f t="shared" si="4"/>
        <v>#DIV/0!</v>
      </c>
      <c r="M10" s="203">
        <f>Inputs!E12</f>
        <v>0</v>
      </c>
      <c r="N10" s="177" t="e">
        <f t="shared" si="1"/>
        <v>#DIV/0!</v>
      </c>
      <c r="O10" s="177" t="e">
        <f t="shared" si="2"/>
        <v>#DIV/0!</v>
      </c>
      <c r="P10" s="198"/>
      <c r="Q10" s="205"/>
      <c r="R10" s="249"/>
      <c r="S10" s="255"/>
      <c r="T10" s="252"/>
      <c r="U10" s="204"/>
      <c r="V10" s="258"/>
      <c r="W10" s="251"/>
      <c r="X10" s="204"/>
      <c r="Y10" s="251"/>
      <c r="Z10" s="204"/>
      <c r="AA10" s="249"/>
      <c r="AB10" s="204"/>
      <c r="AC10" s="249"/>
      <c r="AD10" s="204"/>
      <c r="AE10" s="254"/>
      <c r="AF10" s="206"/>
      <c r="AG10" s="254"/>
      <c r="AH10" s="206"/>
      <c r="AI10" s="254"/>
      <c r="AJ10" s="206"/>
      <c r="AK10" s="254"/>
      <c r="AL10" s="206"/>
      <c r="AM10" s="254"/>
      <c r="AN10" s="206"/>
      <c r="AO10" s="254"/>
      <c r="AP10" s="206"/>
    </row>
    <row r="11" spans="1:42" ht="18" customHeight="1" x14ac:dyDescent="0.2">
      <c r="B11" s="200">
        <f>Inputs!B13</f>
        <v>0</v>
      </c>
      <c r="C11" s="201"/>
      <c r="D11" s="202"/>
      <c r="E11" s="202"/>
      <c r="F11" s="202"/>
      <c r="G11" s="202"/>
      <c r="H11" s="202"/>
      <c r="I11" s="202"/>
      <c r="J11" s="203" t="e">
        <f t="shared" si="0"/>
        <v>#DIV/0!</v>
      </c>
      <c r="K11" s="203" t="e">
        <f t="shared" si="3"/>
        <v>#DIV/0!</v>
      </c>
      <c r="L11" s="203" t="e">
        <f t="shared" si="4"/>
        <v>#DIV/0!</v>
      </c>
      <c r="M11" s="203">
        <f>Inputs!E13</f>
        <v>0</v>
      </c>
      <c r="N11" s="177" t="e">
        <f t="shared" si="1"/>
        <v>#DIV/0!</v>
      </c>
      <c r="O11" s="177" t="e">
        <f t="shared" si="2"/>
        <v>#DIV/0!</v>
      </c>
      <c r="P11" s="198"/>
      <c r="Q11" s="205"/>
      <c r="R11" s="258"/>
      <c r="S11" s="255"/>
      <c r="T11" s="252"/>
      <c r="U11" s="204"/>
      <c r="V11" s="258"/>
      <c r="W11" s="259"/>
      <c r="X11" s="204"/>
      <c r="Y11" s="259"/>
      <c r="Z11" s="204"/>
      <c r="AA11" s="258"/>
      <c r="AB11" s="204"/>
      <c r="AC11" s="258"/>
      <c r="AD11" s="204"/>
      <c r="AE11" s="258"/>
      <c r="AF11" s="204"/>
      <c r="AG11" s="258"/>
      <c r="AH11" s="204"/>
      <c r="AI11" s="258"/>
      <c r="AJ11" s="204"/>
      <c r="AK11" s="258"/>
      <c r="AL11" s="204"/>
      <c r="AM11" s="258"/>
      <c r="AN11" s="204"/>
      <c r="AO11" s="258"/>
      <c r="AP11" s="204"/>
    </row>
    <row r="12" spans="1:42" ht="18" customHeight="1" x14ac:dyDescent="0.2">
      <c r="B12" s="200">
        <f>Inputs!B14</f>
        <v>0</v>
      </c>
      <c r="C12" s="201"/>
      <c r="D12" s="202"/>
      <c r="E12" s="202"/>
      <c r="F12" s="202"/>
      <c r="G12" s="202"/>
      <c r="H12" s="202"/>
      <c r="I12" s="202"/>
      <c r="J12" s="203" t="e">
        <f t="shared" si="0"/>
        <v>#DIV/0!</v>
      </c>
      <c r="K12" s="203" t="e">
        <f t="shared" si="3"/>
        <v>#DIV/0!</v>
      </c>
      <c r="L12" s="203" t="e">
        <f t="shared" si="4"/>
        <v>#DIV/0!</v>
      </c>
      <c r="M12" s="203">
        <f>Inputs!E14</f>
        <v>0</v>
      </c>
      <c r="N12" s="177" t="e">
        <f t="shared" si="1"/>
        <v>#DIV/0!</v>
      </c>
      <c r="O12" s="177" t="e">
        <f t="shared" si="2"/>
        <v>#DIV/0!</v>
      </c>
      <c r="P12" s="198"/>
      <c r="Q12" s="205"/>
      <c r="R12" s="254"/>
      <c r="S12" s="255"/>
      <c r="T12" s="252"/>
      <c r="U12" s="204"/>
      <c r="V12" s="254"/>
      <c r="W12" s="256"/>
      <c r="X12" s="254"/>
      <c r="Y12" s="256"/>
      <c r="Z12" s="254"/>
      <c r="AA12" s="254"/>
      <c r="AB12" s="254"/>
      <c r="AC12" s="254"/>
      <c r="AD12" s="254"/>
      <c r="AE12" s="254"/>
      <c r="AF12" s="254"/>
      <c r="AG12" s="254"/>
      <c r="AH12" s="254"/>
      <c r="AI12" s="254"/>
      <c r="AJ12" s="254"/>
      <c r="AK12" s="254"/>
      <c r="AL12" s="254"/>
      <c r="AM12" s="254"/>
      <c r="AN12" s="254"/>
      <c r="AO12" s="254"/>
      <c r="AP12" s="254"/>
    </row>
    <row r="13" spans="1:42" ht="18" customHeight="1" x14ac:dyDescent="0.2">
      <c r="B13" s="200">
        <f>Inputs!B15</f>
        <v>0</v>
      </c>
      <c r="C13" s="201"/>
      <c r="D13" s="202"/>
      <c r="E13" s="202"/>
      <c r="F13" s="202"/>
      <c r="G13" s="202"/>
      <c r="H13" s="202"/>
      <c r="I13" s="202"/>
      <c r="J13" s="203" t="e">
        <f t="shared" si="0"/>
        <v>#DIV/0!</v>
      </c>
      <c r="K13" s="203" t="e">
        <f t="shared" si="3"/>
        <v>#DIV/0!</v>
      </c>
      <c r="L13" s="203" t="e">
        <f t="shared" si="4"/>
        <v>#DIV/0!</v>
      </c>
      <c r="M13" s="203">
        <f>Inputs!E15</f>
        <v>0</v>
      </c>
      <c r="N13" s="177" t="e">
        <f t="shared" si="1"/>
        <v>#DIV/0!</v>
      </c>
      <c r="O13" s="177" t="e">
        <f t="shared" si="2"/>
        <v>#DIV/0!</v>
      </c>
      <c r="P13" s="198"/>
      <c r="Q13" s="205"/>
      <c r="R13" s="254"/>
      <c r="S13" s="255"/>
      <c r="T13" s="252"/>
      <c r="U13" s="204"/>
      <c r="V13" s="254"/>
      <c r="W13" s="256"/>
      <c r="X13" s="204"/>
      <c r="Y13" s="256"/>
      <c r="Z13" s="204"/>
      <c r="AA13" s="254"/>
      <c r="AB13" s="204"/>
      <c r="AC13" s="254"/>
      <c r="AD13" s="204"/>
      <c r="AE13" s="254"/>
      <c r="AF13" s="204"/>
      <c r="AG13" s="254"/>
      <c r="AH13" s="204"/>
      <c r="AI13" s="254"/>
      <c r="AJ13" s="204"/>
      <c r="AK13" s="254"/>
      <c r="AL13" s="204"/>
      <c r="AM13" s="254"/>
      <c r="AN13" s="204"/>
      <c r="AO13" s="254"/>
      <c r="AP13" s="204"/>
    </row>
    <row r="14" spans="1:42" ht="18" customHeight="1" x14ac:dyDescent="0.2">
      <c r="B14" s="200">
        <f>Inputs!B16</f>
        <v>0</v>
      </c>
      <c r="C14" s="201"/>
      <c r="D14" s="202"/>
      <c r="E14" s="202"/>
      <c r="F14" s="202"/>
      <c r="G14" s="202"/>
      <c r="H14" s="202"/>
      <c r="I14" s="202"/>
      <c r="J14" s="203" t="e">
        <f t="shared" si="0"/>
        <v>#DIV/0!</v>
      </c>
      <c r="K14" s="203" t="e">
        <f t="shared" si="3"/>
        <v>#DIV/0!</v>
      </c>
      <c r="L14" s="203" t="e">
        <f t="shared" si="4"/>
        <v>#DIV/0!</v>
      </c>
      <c r="M14" s="203">
        <f>Inputs!E16</f>
        <v>0</v>
      </c>
      <c r="N14" s="177" t="e">
        <f t="shared" si="1"/>
        <v>#DIV/0!</v>
      </c>
      <c r="O14" s="177" t="e">
        <f t="shared" si="2"/>
        <v>#DIV/0!</v>
      </c>
      <c r="P14" s="198"/>
      <c r="Q14" s="205"/>
      <c r="R14" s="260"/>
      <c r="S14" s="255"/>
      <c r="T14" s="261"/>
      <c r="U14" s="204"/>
      <c r="V14" s="260"/>
      <c r="W14" s="259"/>
      <c r="X14" s="260"/>
      <c r="Y14" s="260"/>
      <c r="Z14" s="260"/>
      <c r="AA14" s="260"/>
      <c r="AB14" s="260"/>
      <c r="AC14" s="260"/>
      <c r="AD14" s="260"/>
      <c r="AE14" s="260"/>
      <c r="AF14" s="260"/>
      <c r="AG14" s="260"/>
      <c r="AH14" s="260"/>
      <c r="AI14" s="260"/>
      <c r="AJ14" s="260"/>
      <c r="AK14" s="260"/>
      <c r="AL14" s="260"/>
      <c r="AM14" s="260"/>
      <c r="AN14" s="260"/>
      <c r="AO14" s="260"/>
      <c r="AP14" s="260"/>
    </row>
    <row r="15" spans="1:42" ht="18" customHeight="1" x14ac:dyDescent="0.2">
      <c r="B15" s="200">
        <f>Inputs!B17</f>
        <v>0</v>
      </c>
      <c r="C15" s="201"/>
      <c r="D15" s="202"/>
      <c r="E15" s="202"/>
      <c r="F15" s="202"/>
      <c r="G15" s="202"/>
      <c r="H15" s="202"/>
      <c r="I15" s="202"/>
      <c r="J15" s="203" t="e">
        <f t="shared" si="0"/>
        <v>#DIV/0!</v>
      </c>
      <c r="K15" s="203" t="e">
        <f t="shared" si="3"/>
        <v>#DIV/0!</v>
      </c>
      <c r="L15" s="203" t="e">
        <f t="shared" si="4"/>
        <v>#DIV/0!</v>
      </c>
      <c r="M15" s="203">
        <f>Inputs!E17</f>
        <v>0</v>
      </c>
      <c r="N15" s="177" t="e">
        <f t="shared" si="1"/>
        <v>#DIV/0!</v>
      </c>
      <c r="O15" s="177" t="e">
        <f t="shared" si="2"/>
        <v>#DIV/0!</v>
      </c>
      <c r="P15" s="198"/>
      <c r="Q15" s="205"/>
      <c r="R15" s="260"/>
      <c r="S15" s="255"/>
      <c r="T15" s="261"/>
      <c r="U15" s="262"/>
      <c r="V15" s="263"/>
      <c r="W15" s="259"/>
      <c r="X15" s="262"/>
      <c r="Y15" s="260"/>
      <c r="Z15" s="262"/>
      <c r="AA15" s="260"/>
      <c r="AB15" s="262"/>
      <c r="AC15" s="260"/>
      <c r="AD15" s="262"/>
      <c r="AE15" s="260"/>
      <c r="AF15" s="262"/>
      <c r="AG15" s="260"/>
      <c r="AH15" s="262"/>
      <c r="AI15" s="260"/>
      <c r="AJ15" s="262"/>
      <c r="AK15" s="260"/>
      <c r="AL15" s="262"/>
      <c r="AM15" s="260"/>
      <c r="AN15" s="262"/>
      <c r="AO15" s="260"/>
      <c r="AP15" s="262"/>
    </row>
    <row r="16" spans="1:42" ht="18" customHeight="1" x14ac:dyDescent="0.2">
      <c r="B16" s="200">
        <f>Inputs!B18</f>
        <v>0</v>
      </c>
      <c r="C16" s="201"/>
      <c r="D16" s="202"/>
      <c r="E16" s="202"/>
      <c r="F16" s="202"/>
      <c r="G16" s="202"/>
      <c r="H16" s="202"/>
      <c r="I16" s="202"/>
      <c r="J16" s="203" t="e">
        <f t="shared" si="0"/>
        <v>#DIV/0!</v>
      </c>
      <c r="K16" s="203" t="e">
        <f t="shared" si="3"/>
        <v>#DIV/0!</v>
      </c>
      <c r="L16" s="203" t="e">
        <f t="shared" si="4"/>
        <v>#DIV/0!</v>
      </c>
      <c r="M16" s="203">
        <f>Inputs!E18</f>
        <v>0</v>
      </c>
      <c r="N16" s="177" t="e">
        <f t="shared" si="1"/>
        <v>#DIV/0!</v>
      </c>
      <c r="O16" s="177" t="e">
        <f t="shared" si="2"/>
        <v>#DIV/0!</v>
      </c>
      <c r="P16" s="198"/>
      <c r="Q16" s="205"/>
      <c r="R16" s="264"/>
      <c r="S16" s="255"/>
      <c r="T16" s="265"/>
      <c r="U16" s="266"/>
      <c r="V16" s="264"/>
      <c r="W16" s="267"/>
      <c r="X16" s="266"/>
      <c r="Y16" s="264"/>
      <c r="Z16" s="266"/>
      <c r="AA16" s="264"/>
      <c r="AB16" s="266"/>
      <c r="AC16" s="264"/>
      <c r="AD16" s="266"/>
      <c r="AE16" s="264"/>
      <c r="AF16" s="266"/>
      <c r="AG16" s="264"/>
      <c r="AH16" s="266"/>
      <c r="AI16" s="264"/>
      <c r="AJ16" s="266"/>
      <c r="AK16" s="264"/>
      <c r="AL16" s="266"/>
      <c r="AM16" s="264"/>
      <c r="AN16" s="266"/>
      <c r="AO16" s="264"/>
      <c r="AP16" s="266"/>
    </row>
    <row r="17" spans="2:42" ht="18" customHeight="1" x14ac:dyDescent="0.2">
      <c r="B17" s="200">
        <f>Inputs!B19</f>
        <v>0</v>
      </c>
      <c r="C17" s="202"/>
      <c r="D17" s="202"/>
      <c r="E17" s="202"/>
      <c r="F17" s="202"/>
      <c r="G17" s="202"/>
      <c r="H17" s="202"/>
      <c r="I17" s="202"/>
      <c r="J17" s="203" t="e">
        <f t="shared" si="0"/>
        <v>#DIV/0!</v>
      </c>
      <c r="K17" s="203" t="e">
        <f t="shared" si="3"/>
        <v>#DIV/0!</v>
      </c>
      <c r="L17" s="203" t="e">
        <f t="shared" si="4"/>
        <v>#DIV/0!</v>
      </c>
      <c r="M17" s="203">
        <f>Inputs!E19</f>
        <v>0</v>
      </c>
      <c r="N17" s="177" t="e">
        <f t="shared" si="1"/>
        <v>#DIV/0!</v>
      </c>
      <c r="O17" s="177" t="e">
        <f t="shared" si="2"/>
        <v>#DIV/0!</v>
      </c>
      <c r="P17" s="198"/>
      <c r="Q17" s="205"/>
      <c r="R17" s="263"/>
      <c r="S17" s="262"/>
      <c r="T17" s="263"/>
      <c r="U17" s="262"/>
      <c r="V17" s="263"/>
      <c r="W17" s="268"/>
      <c r="X17" s="262"/>
      <c r="Y17" s="263"/>
      <c r="Z17" s="262"/>
      <c r="AA17" s="263"/>
      <c r="AB17" s="262"/>
      <c r="AC17" s="263"/>
      <c r="AD17" s="262"/>
      <c r="AE17" s="263"/>
      <c r="AF17" s="262"/>
      <c r="AG17" s="263"/>
      <c r="AH17" s="262"/>
      <c r="AI17" s="263"/>
      <c r="AJ17" s="262"/>
      <c r="AK17" s="263"/>
      <c r="AL17" s="262"/>
      <c r="AM17" s="263"/>
      <c r="AN17" s="262"/>
      <c r="AO17" s="263"/>
      <c r="AP17" s="262"/>
    </row>
    <row r="18" spans="2:42" ht="18" customHeight="1" x14ac:dyDescent="0.2">
      <c r="B18" s="200">
        <f>Inputs!B20</f>
        <v>0</v>
      </c>
      <c r="C18" s="202"/>
      <c r="D18" s="202"/>
      <c r="E18" s="202"/>
      <c r="F18" s="202"/>
      <c r="G18" s="202"/>
      <c r="H18" s="202"/>
      <c r="I18" s="202"/>
      <c r="J18" s="203" t="e">
        <f t="shared" si="0"/>
        <v>#DIV/0!</v>
      </c>
      <c r="K18" s="203" t="e">
        <f t="shared" si="3"/>
        <v>#DIV/0!</v>
      </c>
      <c r="L18" s="203" t="e">
        <f t="shared" si="4"/>
        <v>#DIV/0!</v>
      </c>
      <c r="M18" s="203">
        <f>Inputs!E20</f>
        <v>0</v>
      </c>
      <c r="N18" s="177" t="e">
        <f t="shared" si="1"/>
        <v>#DIV/0!</v>
      </c>
      <c r="O18" s="177" t="e">
        <f t="shared" si="2"/>
        <v>#DIV/0!</v>
      </c>
      <c r="P18" s="198"/>
      <c r="Q18" s="205"/>
      <c r="R18" s="263"/>
      <c r="S18" s="262"/>
      <c r="T18" s="263"/>
      <c r="U18" s="262"/>
      <c r="V18" s="263"/>
      <c r="W18" s="268"/>
      <c r="X18" s="262"/>
      <c r="Y18" s="263"/>
      <c r="Z18" s="262"/>
      <c r="AA18" s="263"/>
      <c r="AB18" s="262"/>
      <c r="AC18" s="263"/>
      <c r="AD18" s="262"/>
      <c r="AE18" s="263"/>
      <c r="AF18" s="262"/>
      <c r="AG18" s="263"/>
      <c r="AH18" s="262"/>
      <c r="AI18" s="263"/>
      <c r="AJ18" s="262"/>
      <c r="AK18" s="263"/>
      <c r="AL18" s="262"/>
      <c r="AM18" s="263"/>
      <c r="AN18" s="262"/>
      <c r="AO18" s="263"/>
      <c r="AP18" s="262"/>
    </row>
    <row r="19" spans="2:42" ht="18" customHeight="1" x14ac:dyDescent="0.2">
      <c r="B19" s="200">
        <f>Inputs!B21</f>
        <v>0</v>
      </c>
      <c r="C19" s="202"/>
      <c r="D19" s="202"/>
      <c r="E19" s="202"/>
      <c r="F19" s="202"/>
      <c r="G19" s="202"/>
      <c r="H19" s="202"/>
      <c r="I19" s="202"/>
      <c r="J19" s="203" t="e">
        <f t="shared" si="0"/>
        <v>#DIV/0!</v>
      </c>
      <c r="K19" s="203" t="e">
        <f>J19*30</f>
        <v>#DIV/0!</v>
      </c>
      <c r="L19" s="203" t="e">
        <f t="shared" si="4"/>
        <v>#DIV/0!</v>
      </c>
      <c r="M19" s="203">
        <f>Inputs!E21</f>
        <v>0</v>
      </c>
      <c r="N19" s="177" t="e">
        <f t="shared" si="1"/>
        <v>#DIV/0!</v>
      </c>
      <c r="O19" s="177" t="e">
        <f t="shared" si="2"/>
        <v>#DIV/0!</v>
      </c>
      <c r="P19" s="198"/>
      <c r="Q19" s="205"/>
      <c r="R19" s="263"/>
      <c r="S19" s="262"/>
      <c r="T19" s="263"/>
      <c r="U19" s="262"/>
      <c r="V19" s="263"/>
      <c r="W19" s="268"/>
      <c r="X19" s="262"/>
      <c r="Y19" s="263"/>
      <c r="Z19" s="262"/>
      <c r="AA19" s="263"/>
      <c r="AB19" s="262"/>
      <c r="AC19" s="263"/>
      <c r="AD19" s="262"/>
      <c r="AE19" s="263"/>
      <c r="AF19" s="262"/>
      <c r="AG19" s="263"/>
      <c r="AH19" s="262"/>
      <c r="AI19" s="263"/>
      <c r="AJ19" s="262"/>
      <c r="AK19" s="263"/>
      <c r="AL19" s="262"/>
      <c r="AM19" s="263"/>
      <c r="AN19" s="262"/>
      <c r="AO19" s="263"/>
      <c r="AP19" s="262"/>
    </row>
    <row r="20" spans="2:42" ht="18" customHeight="1" x14ac:dyDescent="0.2">
      <c r="B20" s="200">
        <f>Inputs!B22</f>
        <v>0</v>
      </c>
      <c r="C20" s="202"/>
      <c r="D20" s="202"/>
      <c r="E20" s="202"/>
      <c r="F20" s="202"/>
      <c r="G20" s="202"/>
      <c r="H20" s="202"/>
      <c r="I20" s="202"/>
      <c r="J20" s="203" t="e">
        <f t="shared" si="0"/>
        <v>#DIV/0!</v>
      </c>
      <c r="K20" s="203" t="e">
        <f t="shared" si="3"/>
        <v>#DIV/0!</v>
      </c>
      <c r="L20" s="203" t="e">
        <f t="shared" si="4"/>
        <v>#DIV/0!</v>
      </c>
      <c r="M20" s="203">
        <f>Inputs!E22</f>
        <v>0</v>
      </c>
      <c r="N20" s="177" t="e">
        <f t="shared" si="1"/>
        <v>#DIV/0!</v>
      </c>
      <c r="O20" s="177" t="e">
        <f t="shared" si="2"/>
        <v>#DIV/0!</v>
      </c>
      <c r="P20" s="198"/>
      <c r="Q20" s="205"/>
      <c r="R20" s="263"/>
      <c r="S20" s="262"/>
      <c r="T20" s="263"/>
      <c r="U20" s="262"/>
      <c r="V20" s="263"/>
      <c r="W20" s="268"/>
      <c r="X20" s="262"/>
      <c r="Y20" s="263"/>
      <c r="Z20" s="262"/>
      <c r="AA20" s="263"/>
      <c r="AB20" s="262"/>
      <c r="AC20" s="263"/>
      <c r="AD20" s="262"/>
      <c r="AE20" s="263"/>
      <c r="AF20" s="262"/>
      <c r="AG20" s="263"/>
      <c r="AH20" s="262"/>
      <c r="AI20" s="263"/>
      <c r="AJ20" s="262"/>
      <c r="AK20" s="263"/>
      <c r="AL20" s="262"/>
      <c r="AM20" s="263"/>
      <c r="AN20" s="262"/>
      <c r="AO20" s="263"/>
      <c r="AP20" s="262"/>
    </row>
    <row r="21" spans="2:42" ht="18" customHeight="1" x14ac:dyDescent="0.2">
      <c r="B21" s="207">
        <f>Inputs!B23</f>
        <v>0</v>
      </c>
      <c r="C21" s="208"/>
      <c r="D21" s="208"/>
      <c r="E21" s="208"/>
      <c r="F21" s="208"/>
      <c r="G21" s="208"/>
      <c r="H21" s="208"/>
      <c r="I21" s="208"/>
      <c r="J21" s="209" t="e">
        <f t="shared" si="0"/>
        <v>#DIV/0!</v>
      </c>
      <c r="K21" s="203" t="e">
        <f t="shared" si="3"/>
        <v>#DIV/0!</v>
      </c>
      <c r="L21" s="203" t="e">
        <f t="shared" si="4"/>
        <v>#DIV/0!</v>
      </c>
      <c r="M21" s="203">
        <f>Inputs!E23</f>
        <v>0</v>
      </c>
      <c r="N21" s="177" t="e">
        <f t="shared" si="1"/>
        <v>#DIV/0!</v>
      </c>
      <c r="O21" s="177" t="e">
        <f t="shared" si="2"/>
        <v>#DIV/0!</v>
      </c>
      <c r="P21" s="198"/>
      <c r="Q21" s="205"/>
      <c r="R21" s="263"/>
      <c r="S21" s="262"/>
      <c r="T21" s="263"/>
      <c r="U21" s="262"/>
      <c r="V21" s="263"/>
      <c r="W21" s="268"/>
      <c r="X21" s="262"/>
      <c r="Y21" s="263"/>
      <c r="Z21" s="262"/>
      <c r="AA21" s="263"/>
      <c r="AB21" s="262"/>
      <c r="AC21" s="263"/>
      <c r="AD21" s="262"/>
      <c r="AE21" s="263"/>
      <c r="AF21" s="262"/>
      <c r="AG21" s="263"/>
      <c r="AH21" s="262"/>
      <c r="AI21" s="263"/>
      <c r="AJ21" s="262"/>
      <c r="AK21" s="263"/>
      <c r="AL21" s="262"/>
      <c r="AM21" s="263"/>
      <c r="AN21" s="262"/>
      <c r="AO21" s="263"/>
      <c r="AP21" s="262"/>
    </row>
    <row r="22" spans="2:42" ht="18" customHeight="1" x14ac:dyDescent="0.2">
      <c r="B22" s="210" t="s">
        <v>339</v>
      </c>
      <c r="C22" s="182" t="e">
        <f>(O29+(0.3*C31))/C23</f>
        <v>#DIV/0!</v>
      </c>
      <c r="D22" s="211">
        <f t="shared" ref="D22:I22" si="5">SUM(D6:D21)</f>
        <v>0</v>
      </c>
      <c r="E22" s="211">
        <f t="shared" si="5"/>
        <v>0</v>
      </c>
      <c r="F22" s="211">
        <f t="shared" si="5"/>
        <v>0</v>
      </c>
      <c r="G22" s="211">
        <f t="shared" si="5"/>
        <v>0</v>
      </c>
      <c r="H22" s="211">
        <f t="shared" si="5"/>
        <v>0</v>
      </c>
      <c r="I22" s="211">
        <f t="shared" si="5"/>
        <v>0</v>
      </c>
      <c r="J22" s="211" t="e">
        <f>SUM(J7:J21)</f>
        <v>#DIV/0!</v>
      </c>
      <c r="K22" s="212"/>
      <c r="L22" s="212"/>
      <c r="M22" s="213"/>
      <c r="N22" s="189"/>
      <c r="O22" s="182" t="e">
        <f>SUM(O7:O21)</f>
        <v>#DIV/0!</v>
      </c>
      <c r="P22" s="198"/>
      <c r="Q22" s="205"/>
      <c r="R22" s="263"/>
      <c r="S22" s="262"/>
      <c r="T22" s="263"/>
      <c r="U22" s="262"/>
      <c r="V22" s="263"/>
      <c r="W22" s="268"/>
      <c r="X22" s="262"/>
      <c r="Y22" s="263"/>
      <c r="Z22" s="262"/>
      <c r="AA22" s="263"/>
      <c r="AB22" s="262"/>
      <c r="AC22" s="263"/>
      <c r="AD22" s="262"/>
      <c r="AE22" s="263"/>
      <c r="AF22" s="262"/>
      <c r="AG22" s="263"/>
      <c r="AH22" s="262"/>
      <c r="AI22" s="263"/>
      <c r="AJ22" s="262"/>
      <c r="AK22" s="263"/>
      <c r="AL22" s="262"/>
      <c r="AM22" s="263"/>
      <c r="AN22" s="262"/>
      <c r="AO22" s="263"/>
      <c r="AP22" s="262"/>
    </row>
    <row r="23" spans="2:42" ht="18" customHeight="1" x14ac:dyDescent="0.2">
      <c r="B23" s="214" t="s">
        <v>340</v>
      </c>
      <c r="C23" s="215"/>
      <c r="D23" s="216"/>
      <c r="E23" s="216"/>
      <c r="F23" s="216"/>
      <c r="G23" s="216"/>
      <c r="H23" s="216"/>
      <c r="I23" s="216"/>
      <c r="J23" s="217"/>
      <c r="K23" s="218"/>
      <c r="L23" s="219"/>
      <c r="M23" s="220"/>
      <c r="N23" s="221"/>
      <c r="O23" s="205"/>
      <c r="P23" s="205"/>
      <c r="Q23" s="205"/>
      <c r="R23" s="263"/>
      <c r="S23" s="262"/>
      <c r="T23" s="263"/>
      <c r="U23" s="262"/>
      <c r="V23" s="263"/>
      <c r="W23" s="268"/>
      <c r="X23" s="262"/>
      <c r="Y23" s="263"/>
      <c r="Z23" s="262"/>
      <c r="AA23" s="263"/>
      <c r="AB23" s="262"/>
      <c r="AC23" s="263"/>
      <c r="AD23" s="262"/>
      <c r="AE23" s="263"/>
      <c r="AF23" s="262"/>
      <c r="AG23" s="263"/>
      <c r="AH23" s="262"/>
      <c r="AI23" s="263"/>
      <c r="AJ23" s="262"/>
      <c r="AK23" s="263"/>
      <c r="AL23" s="262"/>
      <c r="AM23" s="263"/>
      <c r="AN23" s="262"/>
      <c r="AO23" s="263"/>
      <c r="AP23" s="262"/>
    </row>
    <row r="24" spans="2:42" ht="18" customHeight="1" x14ac:dyDescent="0.2">
      <c r="B24" s="214" t="s">
        <v>341</v>
      </c>
      <c r="C24" s="222">
        <f>SUM(C7:C21)</f>
        <v>0</v>
      </c>
      <c r="D24" s="223"/>
      <c r="E24" s="193"/>
      <c r="F24" s="193"/>
      <c r="G24" s="193"/>
      <c r="H24" s="193"/>
      <c r="I24" s="193"/>
      <c r="J24" s="224"/>
      <c r="K24" s="195"/>
      <c r="L24" s="195"/>
      <c r="M24" s="220"/>
      <c r="N24" s="221"/>
      <c r="O24" s="205"/>
      <c r="P24" s="205"/>
      <c r="Q24" s="205"/>
      <c r="R24" s="263"/>
      <c r="S24" s="262"/>
      <c r="T24" s="263"/>
      <c r="U24" s="262"/>
      <c r="V24" s="263"/>
      <c r="W24" s="268"/>
      <c r="X24" s="262"/>
      <c r="Y24" s="263"/>
      <c r="Z24" s="262"/>
      <c r="AA24" s="263"/>
      <c r="AB24" s="262"/>
      <c r="AC24" s="263"/>
      <c r="AD24" s="262"/>
      <c r="AE24" s="263"/>
      <c r="AF24" s="262"/>
      <c r="AG24" s="263"/>
      <c r="AH24" s="262"/>
      <c r="AI24" s="263"/>
      <c r="AJ24" s="262"/>
      <c r="AK24" s="263"/>
      <c r="AL24" s="262"/>
      <c r="AM24" s="263"/>
      <c r="AN24" s="262"/>
      <c r="AO24" s="263"/>
      <c r="AP24" s="262"/>
    </row>
    <row r="25" spans="2:42" ht="18" customHeight="1" x14ac:dyDescent="0.2">
      <c r="B25" s="225" t="s">
        <v>342</v>
      </c>
      <c r="C25" s="226" t="e">
        <f>(C7/100)*C22*$M$7+(C8/100)*C22*$M$8+(C9/100)*C22*$M$9+(C10/100)*C22*$M$10+(C11/100)*C22*$M$11+(C12/100)*C22*$M$12+(C13/100)*C22*$M$13+(C14/100)*C22*$M$14+(C15/100)*C22*$M$15+(C16/100)*C22*$M$16+(C17/100)*C22*$M$17+(C18/100)*C22*$M$18+(C19/100)*C22*$M$19+(C20/100)*C22*$M$20+(C21/100)*C22*$M$21</f>
        <v>#DIV/0!</v>
      </c>
      <c r="D25" s="226">
        <f t="shared" ref="D25:I25" si="6">D7*$M$7+D8*$M$8+D9*$M$9+D10*$M$10+D11*$M$11+D12*$M$12+D13*$M$13+D14*$M$14+D15*$M$15+D16*$M$16+D17*$M$17+D18*$M$18+D19*$M$19+D20*$M$20+D21*$M$21</f>
        <v>0</v>
      </c>
      <c r="E25" s="226">
        <f t="shared" si="6"/>
        <v>0</v>
      </c>
      <c r="F25" s="226">
        <f>F7*$M$7+F8*$M$8+F9*$M$9+F10*$M$10+F11*$M$11+F12*$M$12+F13*$M$13+F14*$M$14+F15*$M$15+F16*$M$16+F17*$M$17+F18*$M$18+F19*$M$19+F20*$M$20+F21*$M$21</f>
        <v>0</v>
      </c>
      <c r="G25" s="226">
        <f t="shared" si="6"/>
        <v>0</v>
      </c>
      <c r="H25" s="226">
        <f t="shared" si="6"/>
        <v>0</v>
      </c>
      <c r="I25" s="226">
        <f t="shared" si="6"/>
        <v>0</v>
      </c>
      <c r="J25" s="224"/>
      <c r="K25" s="195"/>
      <c r="L25" s="195"/>
      <c r="M25" s="227"/>
      <c r="N25" s="228"/>
      <c r="O25" s="205"/>
      <c r="P25" s="205"/>
      <c r="Q25" s="205"/>
      <c r="R25" s="263"/>
      <c r="S25" s="262"/>
      <c r="T25" s="263"/>
      <c r="U25" s="262"/>
      <c r="V25" s="263"/>
      <c r="W25" s="268"/>
      <c r="X25" s="262"/>
      <c r="Y25" s="263"/>
      <c r="Z25" s="262"/>
      <c r="AA25" s="263"/>
      <c r="AB25" s="262"/>
      <c r="AC25" s="263"/>
      <c r="AD25" s="262"/>
      <c r="AE25" s="263"/>
      <c r="AF25" s="262"/>
      <c r="AG25" s="263"/>
      <c r="AH25" s="262"/>
      <c r="AI25" s="263"/>
      <c r="AJ25" s="262"/>
      <c r="AK25" s="263"/>
      <c r="AL25" s="262"/>
      <c r="AM25" s="263"/>
      <c r="AN25" s="262"/>
      <c r="AO25" s="263"/>
      <c r="AP25" s="262"/>
    </row>
    <row r="26" spans="2:42" ht="18" customHeight="1" x14ac:dyDescent="0.2">
      <c r="B26" s="205"/>
      <c r="C26" s="223"/>
      <c r="D26" s="223"/>
      <c r="E26" s="193"/>
      <c r="F26" s="193"/>
      <c r="G26" s="193"/>
      <c r="H26" s="193"/>
      <c r="I26" s="193"/>
      <c r="J26" s="224"/>
      <c r="K26" s="195"/>
      <c r="L26" s="195"/>
      <c r="M26" s="220"/>
      <c r="N26" s="221"/>
      <c r="O26" s="205"/>
      <c r="P26" s="205"/>
      <c r="Q26" s="205"/>
      <c r="R26" s="263"/>
      <c r="S26" s="262"/>
      <c r="T26" s="263"/>
      <c r="U26" s="262"/>
      <c r="V26" s="263"/>
      <c r="W26" s="268"/>
      <c r="X26" s="262"/>
      <c r="Y26" s="263"/>
      <c r="Z26" s="262"/>
      <c r="AA26" s="263"/>
      <c r="AB26" s="262"/>
      <c r="AC26" s="263"/>
      <c r="AD26" s="262"/>
      <c r="AE26" s="263"/>
      <c r="AF26" s="262"/>
      <c r="AG26" s="263"/>
      <c r="AH26" s="262"/>
      <c r="AI26" s="263"/>
      <c r="AJ26" s="262"/>
      <c r="AK26" s="263"/>
      <c r="AL26" s="262"/>
      <c r="AM26" s="263"/>
      <c r="AN26" s="262"/>
      <c r="AO26" s="263"/>
      <c r="AP26" s="262"/>
    </row>
    <row r="27" spans="2:42" ht="18" customHeight="1" x14ac:dyDescent="0.2">
      <c r="B27" s="225" t="s">
        <v>343</v>
      </c>
      <c r="C27" s="229">
        <f>AVERAGE('Ev. Rebanho'!E30:G30)</f>
        <v>0</v>
      </c>
      <c r="D27" s="229">
        <f>(((SUM('Ev. Rebanho'!E31:G31))-(SUM('Ev. Rebanho'!E30:G30)))/3)/2</f>
        <v>0</v>
      </c>
      <c r="E27" s="229">
        <f>D27+((SUM('Ev. Rebanho'!E24:G24)/3))</f>
        <v>0</v>
      </c>
      <c r="F27" s="229" t="e">
        <f>(((SUM('Ev. Rebanho'!E36:G36)/3)/((SUM('Ev. Rebanho'!E16:G16))/3))*3)</f>
        <v>#DIV/0!</v>
      </c>
      <c r="G27" s="229" t="e">
        <f>(F27/3)*4</f>
        <v>#DIV/0!</v>
      </c>
      <c r="H27" s="229" t="e">
        <f>(F27/3)*8</f>
        <v>#DIV/0!</v>
      </c>
      <c r="I27" s="229" t="e">
        <f>(F27/3)*(((SUM('Ev. Rebanho'!E16:G16)/3)-16))</f>
        <v>#DIV/0!</v>
      </c>
      <c r="J27" s="224"/>
      <c r="K27" s="198"/>
      <c r="L27" s="198"/>
      <c r="M27" s="198"/>
      <c r="N27" s="198"/>
      <c r="O27" s="386"/>
      <c r="P27" s="386"/>
      <c r="Q27" s="198"/>
      <c r="U27" s="266"/>
      <c r="V27" s="264"/>
      <c r="W27" s="268"/>
      <c r="X27" s="266"/>
      <c r="Y27" s="263"/>
      <c r="Z27" s="266"/>
      <c r="AA27" s="263"/>
      <c r="AB27" s="266"/>
      <c r="AC27" s="263"/>
      <c r="AD27" s="266"/>
      <c r="AE27" s="263"/>
      <c r="AF27" s="266"/>
      <c r="AG27" s="263"/>
      <c r="AH27" s="266"/>
      <c r="AI27" s="263"/>
      <c r="AJ27" s="266"/>
      <c r="AK27" s="263"/>
      <c r="AL27" s="266"/>
      <c r="AM27" s="263"/>
      <c r="AN27" s="266"/>
      <c r="AO27" s="263"/>
      <c r="AP27" s="266"/>
    </row>
    <row r="28" spans="2:42" ht="18" customHeight="1" x14ac:dyDescent="0.2">
      <c r="J28" s="224"/>
      <c r="K28" s="198"/>
      <c r="L28" s="198"/>
      <c r="M28" s="198"/>
      <c r="N28" s="198"/>
      <c r="O28" s="386"/>
      <c r="P28" s="386"/>
      <c r="Q28" s="198"/>
      <c r="U28" s="266"/>
      <c r="V28" s="264"/>
      <c r="W28" s="268"/>
      <c r="X28" s="266"/>
      <c r="Y28" s="263"/>
      <c r="Z28" s="266"/>
      <c r="AA28" s="263"/>
      <c r="AB28" s="266"/>
      <c r="AC28" s="263"/>
      <c r="AD28" s="266"/>
      <c r="AE28" s="263"/>
      <c r="AF28" s="266"/>
      <c r="AG28" s="263"/>
      <c r="AH28" s="266"/>
      <c r="AI28" s="263"/>
      <c r="AJ28" s="266"/>
      <c r="AK28" s="263"/>
      <c r="AL28" s="266"/>
      <c r="AM28" s="263"/>
      <c r="AN28" s="266"/>
      <c r="AO28" s="263"/>
      <c r="AP28" s="266"/>
    </row>
    <row r="29" spans="2:42" ht="18" customHeight="1" x14ac:dyDescent="0.2">
      <c r="B29" s="1163" t="s">
        <v>352</v>
      </c>
      <c r="C29" s="1164"/>
      <c r="D29" s="1165"/>
      <c r="J29" s="224"/>
      <c r="K29" s="198"/>
      <c r="L29" s="198"/>
      <c r="M29" s="198"/>
      <c r="N29" s="198"/>
      <c r="O29" s="387">
        <f>POWER('Input Zootecnico atual'!C12,0.75)*0.0968</f>
        <v>0</v>
      </c>
      <c r="P29" s="386"/>
      <c r="Q29" s="198"/>
      <c r="U29" s="266"/>
      <c r="V29" s="264"/>
      <c r="W29" s="268"/>
      <c r="X29" s="266"/>
      <c r="Y29" s="263"/>
      <c r="Z29" s="266"/>
      <c r="AA29" s="263"/>
      <c r="AB29" s="266"/>
      <c r="AC29" s="263"/>
      <c r="AD29" s="266"/>
      <c r="AE29" s="263"/>
      <c r="AF29" s="266"/>
      <c r="AG29" s="263"/>
      <c r="AH29" s="266"/>
      <c r="AI29" s="263"/>
      <c r="AJ29" s="266"/>
      <c r="AK29" s="263"/>
      <c r="AL29" s="266"/>
      <c r="AM29" s="263"/>
      <c r="AN29" s="266"/>
      <c r="AO29" s="263"/>
      <c r="AP29" s="266"/>
    </row>
    <row r="30" spans="2:42" ht="18" customHeight="1" x14ac:dyDescent="0.2">
      <c r="B30" s="176" t="s">
        <v>35</v>
      </c>
      <c r="C30" s="231" t="s">
        <v>36</v>
      </c>
      <c r="D30" s="230" t="s">
        <v>353</v>
      </c>
      <c r="E30" s="220"/>
      <c r="F30" s="198"/>
      <c r="G30" s="220"/>
      <c r="H30" s="220"/>
      <c r="I30" s="220"/>
      <c r="J30" s="224"/>
      <c r="K30" s="198"/>
      <c r="L30" s="198"/>
      <c r="M30" s="198"/>
      <c r="N30" s="198"/>
      <c r="O30" s="386"/>
      <c r="P30" s="386"/>
      <c r="Q30" s="198"/>
      <c r="U30" s="262"/>
      <c r="V30" s="263"/>
      <c r="W30" s="268"/>
      <c r="X30" s="262"/>
      <c r="Y30" s="263"/>
      <c r="Z30" s="262"/>
      <c r="AA30" s="263"/>
      <c r="AB30" s="262"/>
      <c r="AC30" s="263"/>
      <c r="AD30" s="262"/>
      <c r="AE30" s="263"/>
      <c r="AF30" s="262"/>
      <c r="AG30" s="263"/>
      <c r="AH30" s="262"/>
      <c r="AI30" s="263"/>
      <c r="AJ30" s="262"/>
      <c r="AK30" s="263"/>
      <c r="AL30" s="262"/>
      <c r="AM30" s="263"/>
      <c r="AN30" s="262"/>
      <c r="AO30" s="263"/>
      <c r="AP30" s="262"/>
    </row>
    <row r="31" spans="2:42" ht="18" customHeight="1" x14ac:dyDescent="0.2">
      <c r="B31" s="232" t="s">
        <v>368</v>
      </c>
      <c r="C31" s="203" t="e">
        <f>AVERAGE('Ev. Rebanho'!E33:G33)</f>
        <v>#DIV/0!</v>
      </c>
      <c r="D31" s="179" t="s">
        <v>354</v>
      </c>
      <c r="E31" s="198"/>
      <c r="F31" s="198"/>
      <c r="G31" s="198"/>
      <c r="H31" s="198"/>
      <c r="I31" s="198"/>
      <c r="J31" s="198"/>
      <c r="K31" s="198"/>
      <c r="L31" s="198"/>
      <c r="M31" s="198"/>
      <c r="N31" s="198"/>
      <c r="O31" s="205"/>
      <c r="P31" s="205"/>
      <c r="Q31" s="269"/>
      <c r="R31" s="254"/>
      <c r="S31" s="254"/>
      <c r="T31" s="254"/>
      <c r="U31" s="254"/>
      <c r="V31" s="246"/>
      <c r="W31" s="256"/>
      <c r="X31" s="254"/>
      <c r="Y31" s="256"/>
      <c r="Z31" s="254"/>
      <c r="AA31" s="254"/>
      <c r="AB31" s="254"/>
      <c r="AC31" s="254"/>
      <c r="AD31" s="254"/>
      <c r="AE31" s="254"/>
      <c r="AF31" s="254"/>
      <c r="AG31" s="254"/>
      <c r="AH31" s="254"/>
      <c r="AI31" s="254"/>
      <c r="AJ31" s="254"/>
      <c r="AK31" s="254"/>
      <c r="AL31" s="254"/>
      <c r="AM31" s="254"/>
      <c r="AN31" s="254"/>
      <c r="AO31" s="254"/>
      <c r="AP31" s="254"/>
    </row>
    <row r="32" spans="2:42" ht="18" customHeight="1" x14ac:dyDescent="0.2">
      <c r="B32" s="232" t="s">
        <v>367</v>
      </c>
      <c r="C32" s="203" t="e">
        <f>C31*$C$39*C27</f>
        <v>#DIV/0!</v>
      </c>
      <c r="D32" s="179" t="s">
        <v>355</v>
      </c>
      <c r="E32" s="198"/>
      <c r="F32" s="198"/>
      <c r="G32" s="198"/>
      <c r="H32" s="195"/>
      <c r="I32" s="198"/>
      <c r="J32" s="198"/>
      <c r="K32" s="198"/>
      <c r="L32" s="198"/>
      <c r="M32" s="198"/>
      <c r="N32" s="198"/>
      <c r="O32" s="205"/>
      <c r="P32" s="221"/>
      <c r="Q32" s="245"/>
      <c r="R32" s="270"/>
      <c r="S32" s="262"/>
      <c r="T32" s="270"/>
      <c r="U32" s="262"/>
      <c r="V32" s="260"/>
      <c r="W32" s="251"/>
      <c r="X32" s="262"/>
      <c r="Y32" s="270"/>
      <c r="Z32" s="262"/>
      <c r="AA32" s="270"/>
      <c r="AB32" s="262"/>
      <c r="AC32" s="270"/>
      <c r="AD32" s="262"/>
      <c r="AE32" s="270"/>
      <c r="AF32" s="262"/>
      <c r="AG32" s="270"/>
      <c r="AH32" s="262"/>
      <c r="AI32" s="270"/>
      <c r="AJ32" s="262"/>
      <c r="AK32" s="270"/>
      <c r="AL32" s="262"/>
      <c r="AM32" s="270"/>
      <c r="AN32" s="262"/>
      <c r="AO32" s="270"/>
      <c r="AP32" s="262"/>
    </row>
    <row r="33" spans="1:138" ht="18" customHeight="1" x14ac:dyDescent="0.2">
      <c r="B33" s="232" t="s">
        <v>369</v>
      </c>
      <c r="C33" s="203" t="e">
        <f>C32-(C27*C25)</f>
        <v>#DIV/0!</v>
      </c>
      <c r="D33" s="179" t="s">
        <v>355</v>
      </c>
      <c r="E33" s="198"/>
      <c r="F33" s="198"/>
      <c r="G33" s="198"/>
      <c r="H33" s="198"/>
      <c r="I33" s="198"/>
      <c r="J33" s="198"/>
      <c r="K33" s="195"/>
      <c r="L33" s="195"/>
      <c r="M33" s="195"/>
      <c r="N33" s="195"/>
      <c r="O33" s="205"/>
      <c r="P33" s="221"/>
      <c r="Q33" s="245"/>
      <c r="R33" s="270"/>
      <c r="S33" s="262"/>
      <c r="T33" s="270"/>
      <c r="U33" s="262"/>
      <c r="V33" s="259"/>
      <c r="W33" s="251"/>
      <c r="X33" s="262"/>
      <c r="Y33" s="270"/>
      <c r="Z33" s="262"/>
      <c r="AA33" s="270"/>
      <c r="AB33" s="262"/>
      <c r="AC33" s="270"/>
      <c r="AD33" s="262"/>
      <c r="AE33" s="270"/>
      <c r="AF33" s="262"/>
      <c r="AG33" s="270"/>
      <c r="AH33" s="262"/>
      <c r="AI33" s="270"/>
      <c r="AJ33" s="262"/>
      <c r="AK33" s="270"/>
      <c r="AL33" s="262"/>
      <c r="AM33" s="270"/>
      <c r="AN33" s="262"/>
      <c r="AO33" s="270"/>
      <c r="AP33" s="262"/>
    </row>
    <row r="34" spans="1:138" ht="18" customHeight="1" x14ac:dyDescent="0.2">
      <c r="B34" s="232" t="s">
        <v>347</v>
      </c>
      <c r="C34" s="203" t="e">
        <f>(((C31/1.033)*0.985)*$C$39)-C25</f>
        <v>#DIV/0!</v>
      </c>
      <c r="D34" s="179" t="s">
        <v>356</v>
      </c>
      <c r="E34" s="198"/>
      <c r="F34" s="198"/>
      <c r="G34" s="198"/>
      <c r="H34" s="233"/>
      <c r="I34" s="198"/>
      <c r="J34" s="198"/>
      <c r="K34" s="195"/>
      <c r="L34" s="195"/>
      <c r="M34" s="195"/>
      <c r="N34" s="195"/>
      <c r="O34" s="205"/>
      <c r="P34" s="205"/>
      <c r="Q34" s="205"/>
      <c r="R34" s="254"/>
      <c r="S34" s="271"/>
      <c r="T34" s="254"/>
      <c r="U34" s="271"/>
      <c r="V34" s="246"/>
      <c r="W34" s="256"/>
      <c r="X34" s="271"/>
      <c r="Y34" s="256"/>
      <c r="Z34" s="271"/>
      <c r="AA34" s="254"/>
      <c r="AB34" s="271"/>
      <c r="AC34" s="254"/>
      <c r="AD34" s="271"/>
      <c r="AE34" s="254"/>
      <c r="AF34" s="271"/>
      <c r="AG34" s="254"/>
      <c r="AH34" s="271"/>
      <c r="AI34" s="254"/>
      <c r="AJ34" s="271"/>
      <c r="AK34" s="254"/>
      <c r="AL34" s="271"/>
      <c r="AM34" s="254"/>
      <c r="AN34" s="271"/>
      <c r="AO34" s="254"/>
      <c r="AP34" s="271"/>
    </row>
    <row r="35" spans="1:138" ht="18" customHeight="1" x14ac:dyDescent="0.2">
      <c r="B35" s="232" t="s">
        <v>370</v>
      </c>
      <c r="C35" s="203" t="e">
        <f>C25*100/C31</f>
        <v>#DIV/0!</v>
      </c>
      <c r="D35" s="179" t="s">
        <v>18</v>
      </c>
      <c r="E35" s="198"/>
      <c r="F35" s="198"/>
      <c r="G35" s="198"/>
      <c r="H35" s="198"/>
      <c r="I35" s="198"/>
      <c r="J35" s="198"/>
      <c r="K35" s="220"/>
      <c r="L35" s="234" t="s">
        <v>345</v>
      </c>
      <c r="M35" s="198"/>
      <c r="N35" s="198"/>
      <c r="O35" s="195"/>
      <c r="P35" s="195"/>
      <c r="Q35" s="195"/>
      <c r="R35" s="272"/>
      <c r="S35" s="272"/>
      <c r="T35" s="272"/>
      <c r="U35" s="272"/>
      <c r="V35" s="272"/>
      <c r="W35" s="272"/>
      <c r="X35" s="272"/>
      <c r="Y35" s="272"/>
      <c r="Z35" s="272"/>
      <c r="AA35" s="272"/>
      <c r="AB35" s="272"/>
      <c r="AC35" s="272"/>
      <c r="AD35" s="272"/>
      <c r="AE35" s="272"/>
      <c r="AF35" s="272"/>
      <c r="AG35" s="272"/>
      <c r="AH35" s="272"/>
      <c r="AI35" s="272"/>
      <c r="AJ35" s="272"/>
      <c r="AK35" s="272"/>
      <c r="AL35" s="272"/>
      <c r="AM35" s="272"/>
      <c r="AN35" s="272"/>
      <c r="AO35" s="272"/>
      <c r="AP35" s="272"/>
    </row>
    <row r="36" spans="1:138" ht="18" customHeight="1" x14ac:dyDescent="0.2">
      <c r="B36" s="232" t="s">
        <v>371</v>
      </c>
      <c r="C36" s="203" t="e">
        <f>(C25-((D25+E25)/2))/C31</f>
        <v>#DIV/0!</v>
      </c>
      <c r="D36" s="179" t="s">
        <v>41</v>
      </c>
      <c r="E36" s="198"/>
      <c r="F36" s="198"/>
      <c r="G36" s="198"/>
      <c r="H36" s="235"/>
      <c r="I36" s="198"/>
      <c r="J36" s="198"/>
      <c r="K36" s="198"/>
      <c r="L36" s="234" t="s">
        <v>346</v>
      </c>
      <c r="M36" s="198"/>
      <c r="N36" s="198"/>
      <c r="O36" s="195"/>
      <c r="P36" s="195"/>
      <c r="Q36" s="195"/>
      <c r="R36" s="273"/>
      <c r="S36" s="274"/>
      <c r="T36" s="273"/>
      <c r="U36" s="274"/>
      <c r="V36" s="275"/>
      <c r="W36" s="276"/>
      <c r="X36" s="274"/>
      <c r="Y36" s="276"/>
      <c r="Z36" s="274"/>
      <c r="AA36" s="273"/>
      <c r="AB36" s="274"/>
      <c r="AC36" s="273"/>
      <c r="AD36" s="274"/>
      <c r="AE36" s="273"/>
      <c r="AF36" s="274"/>
      <c r="AG36" s="273"/>
      <c r="AH36" s="274"/>
      <c r="AI36" s="273"/>
      <c r="AJ36" s="274"/>
      <c r="AK36" s="273"/>
      <c r="AL36" s="274"/>
      <c r="AM36" s="273"/>
      <c r="AN36" s="274"/>
      <c r="AO36" s="273"/>
      <c r="AP36" s="274"/>
    </row>
    <row r="37" spans="1:138" ht="18" customHeight="1" x14ac:dyDescent="0.2">
      <c r="B37" s="232" t="s">
        <v>344</v>
      </c>
      <c r="C37" s="236" t="e">
        <f>(F27+G27+H27+I27)/(C27+D27+E27+F27+G27+H27+I27)*100</f>
        <v>#DIV/0!</v>
      </c>
      <c r="D37" s="179" t="s">
        <v>174</v>
      </c>
      <c r="E37" s="198"/>
      <c r="F37" s="198"/>
      <c r="G37" s="198"/>
      <c r="H37" s="220"/>
      <c r="I37" s="198"/>
      <c r="J37" s="198"/>
      <c r="K37" s="223"/>
      <c r="L37" s="220"/>
      <c r="M37" s="198"/>
      <c r="N37" s="198"/>
      <c r="O37" s="277"/>
      <c r="P37" s="277"/>
      <c r="Q37" s="278"/>
      <c r="R37" s="279"/>
      <c r="S37" s="280"/>
      <c r="T37" s="281"/>
      <c r="U37" s="280"/>
      <c r="V37" s="274"/>
      <c r="W37" s="282"/>
      <c r="X37" s="280"/>
      <c r="Y37" s="281"/>
      <c r="Z37" s="280"/>
      <c r="AA37" s="281"/>
      <c r="AB37" s="280"/>
      <c r="AC37" s="281"/>
      <c r="AD37" s="280"/>
      <c r="AE37" s="281"/>
      <c r="AF37" s="280"/>
      <c r="AG37" s="281"/>
      <c r="AH37" s="280"/>
      <c r="AI37" s="281"/>
      <c r="AJ37" s="280"/>
      <c r="AK37" s="281"/>
      <c r="AL37" s="280"/>
      <c r="AM37" s="281"/>
      <c r="AN37" s="280"/>
      <c r="AO37" s="281"/>
      <c r="AP37" s="280"/>
      <c r="AQ37" s="237"/>
      <c r="AR37" s="237"/>
      <c r="AS37" s="237"/>
      <c r="AT37" s="237"/>
      <c r="AU37" s="237"/>
      <c r="AV37" s="237"/>
      <c r="AW37" s="237"/>
      <c r="AX37" s="237"/>
      <c r="AY37" s="237"/>
      <c r="AZ37" s="237"/>
      <c r="BA37" s="237"/>
      <c r="BB37" s="237"/>
      <c r="BC37" s="237"/>
      <c r="BD37" s="237"/>
      <c r="BE37" s="237"/>
      <c r="BF37" s="237"/>
      <c r="BG37" s="237"/>
      <c r="BH37" s="237"/>
      <c r="BI37" s="237"/>
      <c r="BJ37" s="237"/>
      <c r="BK37" s="237"/>
      <c r="BL37" s="237"/>
      <c r="BM37" s="237"/>
      <c r="BN37" s="237"/>
      <c r="BO37" s="237"/>
      <c r="BP37" s="237"/>
      <c r="BQ37" s="237"/>
      <c r="BR37" s="237"/>
      <c r="BS37" s="237"/>
      <c r="BT37" s="237"/>
      <c r="BU37" s="237"/>
      <c r="BV37" s="237"/>
      <c r="BW37" s="237"/>
      <c r="BX37" s="237"/>
      <c r="BY37" s="237"/>
      <c r="BZ37" s="237"/>
      <c r="CA37" s="237"/>
      <c r="CB37" s="237"/>
      <c r="CC37" s="237"/>
      <c r="CD37" s="237"/>
      <c r="CE37" s="237"/>
      <c r="CF37" s="237"/>
      <c r="CG37" s="237"/>
      <c r="CH37" s="237"/>
      <c r="CI37" s="237"/>
      <c r="CJ37" s="237"/>
      <c r="CK37" s="237"/>
      <c r="CL37" s="237"/>
      <c r="CM37" s="237"/>
      <c r="CN37" s="237"/>
      <c r="CO37" s="237"/>
      <c r="CP37" s="237"/>
      <c r="CQ37" s="237"/>
      <c r="CR37" s="237"/>
      <c r="CS37" s="237"/>
      <c r="CT37" s="237"/>
      <c r="CU37" s="237"/>
      <c r="CV37" s="237"/>
      <c r="CW37" s="237"/>
      <c r="CX37" s="237"/>
      <c r="CY37" s="237"/>
      <c r="CZ37" s="237"/>
      <c r="DA37" s="237"/>
      <c r="DB37" s="237"/>
      <c r="DC37" s="237"/>
      <c r="DD37" s="237"/>
      <c r="DE37" s="237"/>
      <c r="DF37" s="237"/>
      <c r="DG37" s="237"/>
      <c r="DH37" s="237"/>
      <c r="DI37" s="237"/>
      <c r="DJ37" s="237"/>
      <c r="DK37" s="237"/>
      <c r="DL37" s="237"/>
      <c r="DM37" s="237"/>
      <c r="DN37" s="237"/>
      <c r="DO37" s="237"/>
      <c r="DP37" s="237"/>
      <c r="DQ37" s="237"/>
      <c r="DR37" s="237"/>
      <c r="DS37" s="237"/>
      <c r="DT37" s="237"/>
      <c r="DU37" s="237"/>
      <c r="DV37" s="237"/>
      <c r="DW37" s="237"/>
      <c r="DX37" s="237"/>
      <c r="DY37" s="237"/>
      <c r="DZ37" s="237"/>
      <c r="EA37" s="237"/>
      <c r="EB37" s="237"/>
      <c r="EC37" s="237"/>
      <c r="ED37" s="237"/>
      <c r="EE37" s="237"/>
      <c r="EF37" s="237"/>
      <c r="EG37" s="237"/>
      <c r="EH37" s="237"/>
    </row>
    <row r="38" spans="1:138" ht="18" customHeight="1" x14ac:dyDescent="0.2">
      <c r="A38" s="198"/>
      <c r="B38" s="232" t="s">
        <v>372</v>
      </c>
      <c r="C38" s="203">
        <f>Inputs!E8</f>
        <v>0</v>
      </c>
      <c r="D38" s="179" t="s">
        <v>41</v>
      </c>
      <c r="E38" s="238"/>
      <c r="F38" s="198"/>
      <c r="G38" s="195"/>
      <c r="H38" s="198"/>
      <c r="I38" s="198"/>
      <c r="J38" s="198"/>
      <c r="K38" s="198"/>
      <c r="L38" s="195"/>
      <c r="M38" s="198"/>
      <c r="N38" s="198"/>
      <c r="O38" s="194"/>
      <c r="P38" s="194"/>
      <c r="Q38" s="194"/>
      <c r="R38" s="283"/>
      <c r="S38" s="281"/>
      <c r="T38" s="239"/>
      <c r="U38" s="281"/>
      <c r="V38" s="274"/>
      <c r="W38" s="240"/>
      <c r="X38" s="281"/>
      <c r="Y38" s="239"/>
      <c r="Z38" s="281"/>
      <c r="AA38" s="239"/>
      <c r="AB38" s="281"/>
      <c r="AC38" s="239"/>
      <c r="AD38" s="281"/>
      <c r="AE38" s="239"/>
      <c r="AF38" s="281"/>
      <c r="AG38" s="239"/>
      <c r="AH38" s="281"/>
      <c r="AI38" s="239"/>
      <c r="AJ38" s="281"/>
      <c r="AK38" s="239"/>
      <c r="AL38" s="281"/>
      <c r="AM38" s="239"/>
      <c r="AN38" s="281"/>
      <c r="AO38" s="239"/>
      <c r="AP38" s="281"/>
    </row>
    <row r="39" spans="1:138" ht="18" customHeight="1" x14ac:dyDescent="0.2">
      <c r="A39" s="198"/>
      <c r="B39" s="178" t="s">
        <v>274</v>
      </c>
      <c r="C39" s="177">
        <f>C38/1.032</f>
        <v>0</v>
      </c>
      <c r="D39" s="179" t="s">
        <v>357</v>
      </c>
      <c r="E39" s="241"/>
      <c r="F39" s="198"/>
      <c r="G39" s="241"/>
      <c r="H39" s="198"/>
      <c r="I39" s="198"/>
      <c r="J39" s="198"/>
      <c r="K39" s="198"/>
      <c r="L39" s="195"/>
      <c r="M39" s="198"/>
      <c r="N39" s="198"/>
      <c r="O39" s="194"/>
      <c r="P39" s="194"/>
      <c r="Q39" s="194"/>
      <c r="R39" s="239"/>
      <c r="S39" s="281"/>
      <c r="T39" s="239"/>
      <c r="U39" s="281"/>
      <c r="V39" s="274"/>
      <c r="W39" s="240"/>
      <c r="X39" s="281"/>
      <c r="Y39" s="239"/>
      <c r="Z39" s="281"/>
      <c r="AA39" s="239"/>
      <c r="AB39" s="281"/>
      <c r="AC39" s="239"/>
      <c r="AD39" s="281"/>
      <c r="AE39" s="239"/>
      <c r="AF39" s="281"/>
      <c r="AG39" s="239"/>
      <c r="AH39" s="281"/>
      <c r="AI39" s="239"/>
      <c r="AJ39" s="281"/>
      <c r="AK39" s="239"/>
      <c r="AL39" s="281"/>
      <c r="AM39" s="239"/>
      <c r="AN39" s="281"/>
      <c r="AO39" s="239"/>
      <c r="AP39" s="281"/>
    </row>
    <row r="40" spans="1:138" ht="18" customHeight="1" x14ac:dyDescent="0.2">
      <c r="A40" s="198"/>
      <c r="B40" s="232" t="s">
        <v>373</v>
      </c>
      <c r="C40" s="203" t="e">
        <f>C31*C27</f>
        <v>#DIV/0!</v>
      </c>
      <c r="D40" s="179" t="s">
        <v>354</v>
      </c>
      <c r="E40" s="242"/>
      <c r="F40" s="198"/>
      <c r="G40" s="242"/>
      <c r="H40" s="198"/>
      <c r="I40" s="198"/>
      <c r="J40" s="198"/>
      <c r="K40" s="198"/>
      <c r="L40" s="198"/>
      <c r="M40" s="198"/>
      <c r="N40" s="198"/>
      <c r="O40" s="194"/>
      <c r="P40" s="194"/>
      <c r="Q40" s="194"/>
      <c r="R40" s="239"/>
      <c r="S40" s="281"/>
      <c r="T40" s="239"/>
      <c r="U40" s="281"/>
      <c r="V40" s="274"/>
      <c r="W40" s="240"/>
      <c r="X40" s="281"/>
      <c r="Y40" s="239"/>
      <c r="Z40" s="281"/>
      <c r="AA40" s="239"/>
      <c r="AB40" s="281"/>
      <c r="AC40" s="239"/>
      <c r="AD40" s="281"/>
      <c r="AE40" s="239"/>
      <c r="AF40" s="281"/>
      <c r="AG40" s="239"/>
      <c r="AH40" s="281"/>
      <c r="AI40" s="239"/>
      <c r="AJ40" s="281"/>
      <c r="AK40" s="239"/>
      <c r="AL40" s="281"/>
      <c r="AM40" s="239"/>
      <c r="AN40" s="281"/>
      <c r="AO40" s="239"/>
      <c r="AP40" s="281"/>
    </row>
    <row r="41" spans="1:138" ht="18" customHeight="1" x14ac:dyDescent="0.2">
      <c r="A41" s="198"/>
      <c r="B41" s="232" t="s">
        <v>374</v>
      </c>
      <c r="C41" s="203" t="e">
        <f>(SUM(N7:N21))</f>
        <v>#DIV/0!</v>
      </c>
      <c r="D41" s="179" t="s">
        <v>18</v>
      </c>
      <c r="E41" s="242"/>
      <c r="F41" s="198"/>
      <c r="G41" s="242"/>
      <c r="H41" s="205"/>
      <c r="I41" s="198"/>
      <c r="J41" s="198"/>
      <c r="K41" s="198"/>
      <c r="L41" s="198"/>
      <c r="M41" s="198"/>
      <c r="N41" s="198"/>
      <c r="O41" s="194"/>
      <c r="P41" s="194"/>
      <c r="Q41" s="194"/>
      <c r="R41" s="239"/>
      <c r="S41" s="281"/>
      <c r="T41" s="239"/>
      <c r="U41" s="281"/>
      <c r="V41" s="274"/>
      <c r="W41" s="240"/>
      <c r="X41" s="281"/>
      <c r="Y41" s="239"/>
      <c r="Z41" s="281"/>
      <c r="AA41" s="239"/>
      <c r="AB41" s="281"/>
      <c r="AC41" s="239"/>
      <c r="AD41" s="281"/>
      <c r="AE41" s="239"/>
      <c r="AF41" s="281"/>
      <c r="AG41" s="239"/>
      <c r="AH41" s="281"/>
      <c r="AI41" s="239"/>
      <c r="AJ41" s="281"/>
      <c r="AK41" s="239"/>
      <c r="AL41" s="281"/>
      <c r="AM41" s="239"/>
      <c r="AN41" s="281"/>
      <c r="AO41" s="239"/>
      <c r="AP41" s="281"/>
    </row>
    <row r="42" spans="1:138" ht="18" customHeight="1" x14ac:dyDescent="0.2">
      <c r="B42" s="1161" t="s">
        <v>259</v>
      </c>
      <c r="C42" s="1162"/>
      <c r="D42" s="1162"/>
      <c r="H42" s="242"/>
      <c r="I42" s="242"/>
      <c r="J42" s="194"/>
      <c r="K42" s="195"/>
      <c r="L42" s="195"/>
      <c r="M42" s="195"/>
      <c r="N42" s="196"/>
      <c r="O42" s="238"/>
      <c r="P42" s="238"/>
      <c r="Q42" s="195"/>
      <c r="R42" s="275"/>
      <c r="S42" s="273"/>
      <c r="T42" s="275"/>
      <c r="U42" s="273"/>
      <c r="V42" s="275"/>
      <c r="W42" s="284"/>
      <c r="X42" s="273"/>
      <c r="Y42" s="284"/>
      <c r="Z42" s="273"/>
      <c r="AA42" s="275"/>
      <c r="AB42" s="273"/>
      <c r="AC42" s="275"/>
      <c r="AD42" s="273"/>
      <c r="AE42" s="275"/>
      <c r="AF42" s="273"/>
      <c r="AG42" s="275"/>
      <c r="AH42" s="273"/>
      <c r="AI42" s="275"/>
      <c r="AJ42" s="273"/>
      <c r="AK42" s="275"/>
      <c r="AL42" s="273"/>
      <c r="AM42" s="275"/>
      <c r="AN42" s="273"/>
      <c r="AO42" s="275"/>
      <c r="AP42" s="273"/>
    </row>
    <row r="43" spans="1:138" ht="18" customHeight="1" x14ac:dyDescent="0.2">
      <c r="B43" s="232" t="s">
        <v>375</v>
      </c>
      <c r="C43" s="640" t="e">
        <f>F27+G27+H27+I27+E27/3</f>
        <v>#DIV/0!</v>
      </c>
      <c r="D43" s="179" t="s">
        <v>38</v>
      </c>
      <c r="F43" s="198"/>
      <c r="H43" s="242"/>
      <c r="I43" s="242"/>
      <c r="J43" s="194"/>
      <c r="K43" s="195"/>
      <c r="L43" s="195"/>
      <c r="M43" s="195"/>
      <c r="N43" s="196"/>
      <c r="O43" s="195"/>
      <c r="P43" s="195"/>
      <c r="Q43" s="195"/>
      <c r="R43" s="272"/>
      <c r="S43" s="272"/>
      <c r="T43" s="272"/>
      <c r="U43" s="272"/>
      <c r="V43" s="285"/>
      <c r="W43" s="272"/>
      <c r="X43" s="272"/>
      <c r="Y43" s="272"/>
      <c r="Z43" s="272"/>
      <c r="AA43" s="272"/>
      <c r="AB43" s="272"/>
      <c r="AC43" s="272"/>
      <c r="AD43" s="272"/>
      <c r="AE43" s="272"/>
      <c r="AF43" s="272"/>
      <c r="AG43" s="272"/>
      <c r="AH43" s="272"/>
      <c r="AI43" s="272"/>
      <c r="AJ43" s="272"/>
      <c r="AK43" s="272"/>
      <c r="AL43" s="272"/>
      <c r="AM43" s="272"/>
      <c r="AN43" s="272"/>
      <c r="AO43" s="272"/>
      <c r="AP43" s="272"/>
    </row>
    <row r="44" spans="1:138" ht="18" customHeight="1" x14ac:dyDescent="0.2">
      <c r="B44" s="232" t="s">
        <v>376</v>
      </c>
      <c r="C44" s="203" t="e">
        <f>((F$25*F$27)+(G$25*G$27)+(H$25*H$27)+(I$25*I$27)+(E$25*E$27/3))/C$43</f>
        <v>#DIV/0!</v>
      </c>
      <c r="D44" s="179" t="s">
        <v>18</v>
      </c>
      <c r="F44" s="198"/>
      <c r="H44" s="194"/>
      <c r="I44" s="194"/>
      <c r="J44" s="224"/>
      <c r="K44" s="195"/>
      <c r="L44" s="195"/>
      <c r="M44" s="195"/>
      <c r="N44" s="196"/>
      <c r="O44" s="195"/>
      <c r="P44" s="195"/>
      <c r="Q44" s="195"/>
      <c r="R44" s="272"/>
      <c r="S44" s="272"/>
      <c r="T44" s="272"/>
      <c r="U44" s="272"/>
      <c r="V44" s="272"/>
      <c r="W44" s="272"/>
      <c r="X44" s="272"/>
      <c r="Y44" s="272"/>
      <c r="Z44" s="272"/>
      <c r="AA44" s="272"/>
      <c r="AB44" s="272"/>
      <c r="AC44" s="272"/>
      <c r="AD44" s="272"/>
      <c r="AE44" s="272"/>
      <c r="AF44" s="272"/>
      <c r="AG44" s="272"/>
      <c r="AH44" s="272"/>
      <c r="AI44" s="272"/>
      <c r="AJ44" s="272"/>
      <c r="AK44" s="272"/>
      <c r="AL44" s="272"/>
      <c r="AM44" s="272"/>
      <c r="AN44" s="272"/>
      <c r="AO44" s="272"/>
      <c r="AP44" s="272"/>
    </row>
    <row r="45" spans="1:138" ht="18" customHeight="1" x14ac:dyDescent="0.2">
      <c r="B45" s="232" t="s">
        <v>377</v>
      </c>
      <c r="C45" s="203" t="e">
        <f>(C44*(AVERAGE('Ev. Rebanho'!E16:G16)*30.3))</f>
        <v>#DIV/0!</v>
      </c>
      <c r="D45" s="179" t="s">
        <v>18</v>
      </c>
      <c r="F45" s="198"/>
      <c r="H45" s="194"/>
      <c r="I45" s="194"/>
      <c r="J45" s="224"/>
      <c r="K45" s="195"/>
      <c r="L45" s="195"/>
      <c r="M45" s="195"/>
      <c r="N45" s="196"/>
      <c r="O45" s="195"/>
      <c r="P45" s="195"/>
      <c r="Q45" s="195"/>
      <c r="R45" s="286"/>
      <c r="S45" s="274"/>
      <c r="T45" s="286"/>
      <c r="U45" s="274"/>
      <c r="V45" s="286"/>
      <c r="W45" s="287"/>
      <c r="X45" s="274"/>
      <c r="Y45" s="287"/>
      <c r="Z45" s="274"/>
      <c r="AA45" s="286"/>
      <c r="AB45" s="274"/>
      <c r="AC45" s="286"/>
      <c r="AD45" s="274"/>
      <c r="AE45" s="286"/>
      <c r="AF45" s="274"/>
      <c r="AG45" s="286"/>
      <c r="AH45" s="274"/>
      <c r="AI45" s="286"/>
      <c r="AJ45" s="274"/>
      <c r="AK45" s="286"/>
      <c r="AL45" s="274"/>
      <c r="AM45" s="286"/>
      <c r="AN45" s="274"/>
      <c r="AO45" s="286"/>
      <c r="AP45" s="274"/>
    </row>
    <row r="46" spans="1:138" ht="18" customHeight="1" x14ac:dyDescent="0.2">
      <c r="B46" s="232" t="s">
        <v>348</v>
      </c>
      <c r="C46" s="639" t="e">
        <f>((C44*C43)/(C40*C39))*100</f>
        <v>#DIV/0!</v>
      </c>
      <c r="D46" s="179" t="s">
        <v>174</v>
      </c>
      <c r="F46" s="198"/>
      <c r="H46" s="234"/>
      <c r="I46" s="234"/>
      <c r="J46" s="288"/>
      <c r="K46" s="220"/>
      <c r="L46" s="220"/>
      <c r="M46" s="220"/>
      <c r="N46" s="289"/>
      <c r="O46" s="205"/>
      <c r="P46" s="205"/>
      <c r="Q46" s="205"/>
      <c r="R46" s="243"/>
      <c r="S46" s="243"/>
      <c r="W46" s="243"/>
      <c r="X46" s="243"/>
      <c r="AA46" s="243"/>
      <c r="AB46" s="243"/>
    </row>
    <row r="47" spans="1:138" ht="18" customHeight="1" x14ac:dyDescent="0.2">
      <c r="B47" s="244" t="s">
        <v>379</v>
      </c>
      <c r="C47" s="638">
        <v>0.1</v>
      </c>
      <c r="D47" s="179" t="s">
        <v>174</v>
      </c>
      <c r="F47" s="198"/>
    </row>
    <row r="48" spans="1:138" ht="18" customHeight="1" x14ac:dyDescent="0.2">
      <c r="B48" s="244" t="s">
        <v>378</v>
      </c>
      <c r="C48" s="203" t="e">
        <f>(((F$25*F$27)+(G$25*G$27)+(H$25*H$27)+(I$25*I$27)+(E$25*E$27/3)))*30.3</f>
        <v>#DIV/0!</v>
      </c>
      <c r="D48" s="179" t="s">
        <v>18</v>
      </c>
      <c r="F48" s="198"/>
    </row>
    <row r="49" spans="2:6" ht="18" customHeight="1" x14ac:dyDescent="0.2">
      <c r="B49" s="244" t="s">
        <v>380</v>
      </c>
      <c r="C49" s="203" t="e">
        <f>((C40*C39)*C47)*30.3</f>
        <v>#DIV/0!</v>
      </c>
      <c r="D49" s="177" t="s">
        <v>18</v>
      </c>
      <c r="F49" s="198"/>
    </row>
  </sheetData>
  <sheetProtection password="8826" sheet="1" objects="1" scenarios="1"/>
  <mergeCells count="9">
    <mergeCell ref="B42:D42"/>
    <mergeCell ref="B29:D29"/>
    <mergeCell ref="B4:B5"/>
    <mergeCell ref="O4:O5"/>
    <mergeCell ref="D5:E5"/>
    <mergeCell ref="F5:I5"/>
    <mergeCell ref="J4:L4"/>
    <mergeCell ref="M4:N4"/>
    <mergeCell ref="C4:I4"/>
  </mergeCells>
  <phoneticPr fontId="59" type="noConversion"/>
  <pageMargins left="0.511811024" right="0.511811024" top="0.78740157499999996" bottom="0.78740157499999996" header="0.31496062000000002" footer="0.31496062000000002"/>
  <pageSetup paperSize="9" orientation="portrait" horizontalDpi="4294967292" verticalDpi="4294967292"/>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enableFormatConditionsCalculation="0">
    <tabColor theme="8" tint="0.499984740745262"/>
  </sheetPr>
  <dimension ref="A1:EH49"/>
  <sheetViews>
    <sheetView zoomScale="80" zoomScaleNormal="80" zoomScalePageLayoutView="80" workbookViewId="0">
      <selection activeCell="I34" sqref="I34"/>
    </sheetView>
  </sheetViews>
  <sheetFormatPr baseColWidth="10" defaultColWidth="12.5" defaultRowHeight="18" customHeight="1" x14ac:dyDescent="0.2"/>
  <cols>
    <col min="1" max="1" width="2.1640625" style="197" customWidth="1"/>
    <col min="2" max="2" width="37.1640625" style="197" customWidth="1"/>
    <col min="3" max="15" width="17.1640625" style="197" customWidth="1"/>
    <col min="16" max="16" width="13.33203125" style="197" customWidth="1"/>
    <col min="17" max="17" width="10.5" style="197" bestFit="1" customWidth="1"/>
    <col min="18" max="18" width="10.33203125" style="198" customWidth="1"/>
    <col min="19" max="19" width="8.5" style="198" customWidth="1"/>
    <col min="20" max="20" width="18" style="198" customWidth="1"/>
    <col min="21" max="21" width="7.33203125" style="198" customWidth="1"/>
    <col min="22" max="22" width="0.5" style="198" customWidth="1"/>
    <col min="23" max="42" width="8.33203125" style="198" customWidth="1"/>
    <col min="43" max="84" width="10.5" style="198" customWidth="1"/>
    <col min="85" max="16384" width="12.5" style="198"/>
  </cols>
  <sheetData>
    <row r="1" spans="1:42" ht="18" customHeight="1" x14ac:dyDescent="0.2">
      <c r="A1" s="598"/>
    </row>
    <row r="4" spans="1:42" ht="18" customHeight="1" x14ac:dyDescent="0.2">
      <c r="B4" s="1158" t="s">
        <v>35</v>
      </c>
      <c r="C4" s="1158" t="s">
        <v>36</v>
      </c>
      <c r="D4" s="1158"/>
      <c r="E4" s="1158"/>
      <c r="F4" s="1158"/>
      <c r="G4" s="1158"/>
      <c r="H4" s="1158"/>
      <c r="I4" s="1158"/>
      <c r="J4" s="1158" t="s">
        <v>349</v>
      </c>
      <c r="K4" s="1158"/>
      <c r="L4" s="1158"/>
      <c r="M4" s="1168" t="s">
        <v>8</v>
      </c>
      <c r="N4" s="1168"/>
      <c r="O4" s="1158" t="s">
        <v>350</v>
      </c>
      <c r="P4" s="245"/>
      <c r="Q4" s="245"/>
      <c r="R4" s="246"/>
      <c r="S4" s="246"/>
      <c r="T4" s="246"/>
      <c r="U4" s="246"/>
      <c r="V4" s="247"/>
      <c r="W4" s="248"/>
      <c r="X4" s="246"/>
      <c r="Y4" s="248"/>
      <c r="Z4" s="246"/>
      <c r="AA4" s="246"/>
      <c r="AB4" s="246"/>
      <c r="AC4" s="246"/>
      <c r="AD4" s="246"/>
      <c r="AE4" s="246"/>
      <c r="AF4" s="246"/>
      <c r="AG4" s="246"/>
      <c r="AH4" s="246"/>
      <c r="AI4" s="246"/>
      <c r="AJ4" s="246"/>
      <c r="AK4" s="246"/>
      <c r="AL4" s="246"/>
      <c r="AM4" s="246"/>
      <c r="AN4" s="246"/>
      <c r="AO4" s="246"/>
      <c r="AP4" s="246"/>
    </row>
    <row r="5" spans="1:42" ht="18" customHeight="1" x14ac:dyDescent="0.2">
      <c r="B5" s="1158"/>
      <c r="C5" s="199" t="s">
        <v>321</v>
      </c>
      <c r="D5" s="1166" t="s">
        <v>322</v>
      </c>
      <c r="E5" s="1167"/>
      <c r="F5" s="1158" t="s">
        <v>323</v>
      </c>
      <c r="G5" s="1158"/>
      <c r="H5" s="1158"/>
      <c r="I5" s="1158"/>
      <c r="J5" s="176" t="s">
        <v>324</v>
      </c>
      <c r="K5" s="176" t="s">
        <v>325</v>
      </c>
      <c r="L5" s="176" t="s">
        <v>326</v>
      </c>
      <c r="M5" s="199" t="s">
        <v>327</v>
      </c>
      <c r="N5" s="176" t="s">
        <v>325</v>
      </c>
      <c r="O5" s="1158"/>
      <c r="P5" s="198"/>
      <c r="Q5" s="245"/>
      <c r="R5" s="249"/>
      <c r="S5" s="249"/>
      <c r="T5" s="249"/>
      <c r="U5" s="249"/>
      <c r="V5" s="250"/>
      <c r="W5" s="251"/>
      <c r="X5" s="249"/>
      <c r="Y5" s="251"/>
      <c r="Z5" s="249"/>
      <c r="AA5" s="249"/>
      <c r="AB5" s="249"/>
      <c r="AC5" s="249"/>
      <c r="AD5" s="249"/>
      <c r="AE5" s="249"/>
      <c r="AF5" s="249"/>
      <c r="AG5" s="249"/>
      <c r="AH5" s="249"/>
      <c r="AI5" s="249"/>
      <c r="AJ5" s="249"/>
      <c r="AK5" s="249"/>
      <c r="AL5" s="249"/>
      <c r="AM5" s="249"/>
      <c r="AN5" s="249"/>
      <c r="AO5" s="249"/>
      <c r="AP5" s="249"/>
    </row>
    <row r="6" spans="1:42" ht="18" customHeight="1" x14ac:dyDescent="0.2">
      <c r="B6" s="199" t="s">
        <v>328</v>
      </c>
      <c r="C6" s="290" t="s">
        <v>329</v>
      </c>
      <c r="D6" s="291" t="s">
        <v>330</v>
      </c>
      <c r="E6" s="292" t="s">
        <v>331</v>
      </c>
      <c r="F6" s="292" t="s">
        <v>332</v>
      </c>
      <c r="G6" s="292" t="s">
        <v>333</v>
      </c>
      <c r="H6" s="293" t="s">
        <v>334</v>
      </c>
      <c r="I6" s="292" t="s">
        <v>335</v>
      </c>
      <c r="J6" s="292" t="s">
        <v>336</v>
      </c>
      <c r="K6" s="292" t="s">
        <v>336</v>
      </c>
      <c r="L6" s="292" t="s">
        <v>337</v>
      </c>
      <c r="M6" s="291" t="s">
        <v>338</v>
      </c>
      <c r="N6" s="292" t="s">
        <v>338</v>
      </c>
      <c r="O6" s="294" t="s">
        <v>351</v>
      </c>
      <c r="P6" s="198"/>
      <c r="Q6" s="245"/>
      <c r="R6" s="252"/>
      <c r="S6" s="252"/>
      <c r="T6" s="252"/>
      <c r="U6" s="252"/>
      <c r="V6" s="252"/>
      <c r="W6" s="253"/>
      <c r="X6" s="252"/>
      <c r="Y6" s="253"/>
      <c r="Z6" s="252"/>
      <c r="AA6" s="252"/>
      <c r="AB6" s="252"/>
      <c r="AC6" s="252"/>
      <c r="AD6" s="252"/>
      <c r="AE6" s="252"/>
      <c r="AF6" s="252"/>
      <c r="AG6" s="252"/>
      <c r="AH6" s="252"/>
      <c r="AI6" s="252"/>
      <c r="AJ6" s="252"/>
      <c r="AK6" s="252"/>
      <c r="AL6" s="252"/>
      <c r="AM6" s="252"/>
      <c r="AN6" s="252"/>
      <c r="AO6" s="252"/>
      <c r="AP6" s="252"/>
    </row>
    <row r="7" spans="1:42" ht="18" customHeight="1" x14ac:dyDescent="0.2">
      <c r="B7" s="200">
        <f>Inputs!B9</f>
        <v>0</v>
      </c>
      <c r="C7" s="201"/>
      <c r="D7" s="202"/>
      <c r="E7" s="202"/>
      <c r="F7" s="202"/>
      <c r="G7" s="202"/>
      <c r="H7" s="202"/>
      <c r="I7" s="202"/>
      <c r="J7" s="203" t="e">
        <f t="shared" ref="J7:J21" si="0">((C7/100*C$22*$C$27)+(D7*$D$27)+(E7*$E$27)+(F7*$F$27)+(G7*$G$27)+(H7*$H$27)+(I7*$I$27))</f>
        <v>#DIV/0!</v>
      </c>
      <c r="K7" s="203" t="e">
        <f>J7*30</f>
        <v>#DIV/0!</v>
      </c>
      <c r="L7" s="203" t="e">
        <f>K7*12/1000</f>
        <v>#DIV/0!</v>
      </c>
      <c r="M7" s="203">
        <f>Inputs!F9</f>
        <v>0</v>
      </c>
      <c r="N7" s="177" t="e">
        <f t="shared" ref="N7:N21" si="1">M7*K7</f>
        <v>#DIV/0!</v>
      </c>
      <c r="O7" s="177" t="e">
        <f t="shared" ref="O7:O21" si="2">(C$22)*C7/100</f>
        <v>#DIV/0!</v>
      </c>
      <c r="P7" s="198"/>
      <c r="Q7" s="245"/>
      <c r="R7" s="254"/>
      <c r="S7" s="255"/>
      <c r="T7" s="252"/>
      <c r="U7" s="204"/>
      <c r="V7" s="254"/>
      <c r="W7" s="256"/>
      <c r="X7" s="204"/>
      <c r="Y7" s="256"/>
      <c r="Z7" s="204"/>
      <c r="AA7" s="254"/>
      <c r="AB7" s="204"/>
      <c r="AC7" s="254"/>
      <c r="AD7" s="204"/>
      <c r="AE7" s="254"/>
      <c r="AF7" s="204"/>
      <c r="AG7" s="254"/>
      <c r="AH7" s="204"/>
      <c r="AI7" s="254"/>
      <c r="AJ7" s="204"/>
      <c r="AK7" s="254"/>
      <c r="AL7" s="204"/>
      <c r="AM7" s="254"/>
      <c r="AN7" s="204"/>
      <c r="AO7" s="254"/>
      <c r="AP7" s="204"/>
    </row>
    <row r="8" spans="1:42" ht="18" customHeight="1" x14ac:dyDescent="0.2">
      <c r="B8" s="200">
        <f>Inputs!B10</f>
        <v>0</v>
      </c>
      <c r="C8" s="201"/>
      <c r="D8" s="202"/>
      <c r="E8" s="202"/>
      <c r="F8" s="202"/>
      <c r="G8" s="202"/>
      <c r="H8" s="202"/>
      <c r="I8" s="202"/>
      <c r="J8" s="203" t="e">
        <f t="shared" si="0"/>
        <v>#DIV/0!</v>
      </c>
      <c r="K8" s="203" t="e">
        <f>J8*30</f>
        <v>#DIV/0!</v>
      </c>
      <c r="L8" s="203" t="e">
        <f>K8*12/1000</f>
        <v>#DIV/0!</v>
      </c>
      <c r="M8" s="203">
        <f>Inputs!F10</f>
        <v>0</v>
      </c>
      <c r="N8" s="177" t="e">
        <f t="shared" si="1"/>
        <v>#DIV/0!</v>
      </c>
      <c r="O8" s="177" t="e">
        <f t="shared" si="2"/>
        <v>#DIV/0!</v>
      </c>
      <c r="P8" s="198"/>
      <c r="Q8" s="245"/>
      <c r="R8" s="254"/>
      <c r="S8" s="255"/>
      <c r="T8" s="257"/>
      <c r="U8" s="204"/>
      <c r="V8" s="258"/>
      <c r="W8" s="256"/>
      <c r="X8" s="204"/>
      <c r="Y8" s="256"/>
      <c r="Z8" s="204"/>
      <c r="AA8" s="254"/>
      <c r="AB8" s="204"/>
      <c r="AC8" s="254"/>
      <c r="AD8" s="204"/>
      <c r="AE8" s="254"/>
      <c r="AF8" s="204"/>
      <c r="AG8" s="254"/>
      <c r="AH8" s="204"/>
      <c r="AI8" s="254"/>
      <c r="AJ8" s="204"/>
      <c r="AK8" s="254"/>
      <c r="AL8" s="204"/>
      <c r="AM8" s="254"/>
      <c r="AN8" s="204"/>
      <c r="AO8" s="254"/>
      <c r="AP8" s="204"/>
    </row>
    <row r="9" spans="1:42" ht="18" customHeight="1" x14ac:dyDescent="0.2">
      <c r="B9" s="200">
        <f>Inputs!B11</f>
        <v>0</v>
      </c>
      <c r="C9" s="201"/>
      <c r="D9" s="202"/>
      <c r="E9" s="202"/>
      <c r="F9" s="202"/>
      <c r="G9" s="202"/>
      <c r="H9" s="202"/>
      <c r="I9" s="202"/>
      <c r="J9" s="203" t="e">
        <f t="shared" si="0"/>
        <v>#DIV/0!</v>
      </c>
      <c r="K9" s="203" t="e">
        <f t="shared" ref="K9:K21" si="3">J9*30</f>
        <v>#DIV/0!</v>
      </c>
      <c r="L9" s="203" t="e">
        <f t="shared" ref="L9:L21" si="4">J9*365/1000</f>
        <v>#DIV/0!</v>
      </c>
      <c r="M9" s="203">
        <f>Inputs!F11</f>
        <v>0</v>
      </c>
      <c r="N9" s="177" t="e">
        <f t="shared" si="1"/>
        <v>#DIV/0!</v>
      </c>
      <c r="O9" s="177" t="e">
        <f t="shared" si="2"/>
        <v>#DIV/0!</v>
      </c>
      <c r="P9" s="198"/>
      <c r="Q9" s="205"/>
      <c r="R9" s="246"/>
      <c r="S9" s="255"/>
      <c r="T9" s="252"/>
      <c r="U9" s="204"/>
      <c r="V9" s="258"/>
      <c r="W9" s="248"/>
      <c r="X9" s="204"/>
      <c r="Y9" s="248"/>
      <c r="Z9" s="204"/>
      <c r="AA9" s="246"/>
      <c r="AB9" s="204"/>
      <c r="AC9" s="246"/>
      <c r="AD9" s="204"/>
      <c r="AE9" s="246"/>
      <c r="AF9" s="204"/>
      <c r="AG9" s="246"/>
      <c r="AH9" s="204"/>
      <c r="AI9" s="246"/>
      <c r="AJ9" s="204"/>
      <c r="AK9" s="246"/>
      <c r="AL9" s="204"/>
      <c r="AM9" s="246"/>
      <c r="AN9" s="204"/>
      <c r="AO9" s="246"/>
      <c r="AP9" s="204"/>
    </row>
    <row r="10" spans="1:42" ht="18" customHeight="1" x14ac:dyDescent="0.2">
      <c r="B10" s="200">
        <f>Inputs!B12</f>
        <v>0</v>
      </c>
      <c r="C10" s="201"/>
      <c r="D10" s="202"/>
      <c r="E10" s="202"/>
      <c r="F10" s="202"/>
      <c r="G10" s="202"/>
      <c r="H10" s="202"/>
      <c r="I10" s="202"/>
      <c r="J10" s="203" t="e">
        <f t="shared" si="0"/>
        <v>#DIV/0!</v>
      </c>
      <c r="K10" s="203" t="e">
        <f t="shared" si="3"/>
        <v>#DIV/0!</v>
      </c>
      <c r="L10" s="203" t="e">
        <f t="shared" si="4"/>
        <v>#DIV/0!</v>
      </c>
      <c r="M10" s="203">
        <f>Inputs!F12</f>
        <v>0</v>
      </c>
      <c r="N10" s="177" t="e">
        <f t="shared" si="1"/>
        <v>#DIV/0!</v>
      </c>
      <c r="O10" s="177" t="e">
        <f t="shared" si="2"/>
        <v>#DIV/0!</v>
      </c>
      <c r="P10" s="198"/>
      <c r="Q10" s="205"/>
      <c r="R10" s="249"/>
      <c r="S10" s="255"/>
      <c r="T10" s="252"/>
      <c r="U10" s="204"/>
      <c r="V10" s="258"/>
      <c r="W10" s="251"/>
      <c r="X10" s="204"/>
      <c r="Y10" s="251"/>
      <c r="Z10" s="204"/>
      <c r="AA10" s="249"/>
      <c r="AB10" s="204"/>
      <c r="AC10" s="249"/>
      <c r="AD10" s="204"/>
      <c r="AE10" s="254"/>
      <c r="AF10" s="206"/>
      <c r="AG10" s="254"/>
      <c r="AH10" s="206"/>
      <c r="AI10" s="254"/>
      <c r="AJ10" s="206"/>
      <c r="AK10" s="254"/>
      <c r="AL10" s="206"/>
      <c r="AM10" s="254"/>
      <c r="AN10" s="206"/>
      <c r="AO10" s="254"/>
      <c r="AP10" s="206"/>
    </row>
    <row r="11" spans="1:42" ht="18" customHeight="1" x14ac:dyDescent="0.2">
      <c r="B11" s="200">
        <f>Inputs!B13</f>
        <v>0</v>
      </c>
      <c r="C11" s="201"/>
      <c r="D11" s="202"/>
      <c r="E11" s="202"/>
      <c r="F11" s="202"/>
      <c r="G11" s="202"/>
      <c r="H11" s="202"/>
      <c r="I11" s="202"/>
      <c r="J11" s="203" t="e">
        <f t="shared" si="0"/>
        <v>#DIV/0!</v>
      </c>
      <c r="K11" s="203" t="e">
        <f t="shared" si="3"/>
        <v>#DIV/0!</v>
      </c>
      <c r="L11" s="203" t="e">
        <f t="shared" si="4"/>
        <v>#DIV/0!</v>
      </c>
      <c r="M11" s="203">
        <f>Inputs!F13</f>
        <v>0</v>
      </c>
      <c r="N11" s="177" t="e">
        <f t="shared" si="1"/>
        <v>#DIV/0!</v>
      </c>
      <c r="O11" s="177" t="e">
        <f t="shared" si="2"/>
        <v>#DIV/0!</v>
      </c>
      <c r="P11" s="198"/>
      <c r="Q11" s="205"/>
      <c r="R11" s="258"/>
      <c r="S11" s="255"/>
      <c r="T11" s="252"/>
      <c r="U11" s="204"/>
      <c r="V11" s="258"/>
      <c r="W11" s="259"/>
      <c r="X11" s="204"/>
      <c r="Y11" s="259"/>
      <c r="Z11" s="204"/>
      <c r="AA11" s="258"/>
      <c r="AB11" s="204"/>
      <c r="AC11" s="258"/>
      <c r="AD11" s="204"/>
      <c r="AE11" s="258"/>
      <c r="AF11" s="204"/>
      <c r="AG11" s="258"/>
      <c r="AH11" s="204"/>
      <c r="AI11" s="258"/>
      <c r="AJ11" s="204"/>
      <c r="AK11" s="258"/>
      <c r="AL11" s="204"/>
      <c r="AM11" s="258"/>
      <c r="AN11" s="204"/>
      <c r="AO11" s="258"/>
      <c r="AP11" s="204"/>
    </row>
    <row r="12" spans="1:42" ht="18" customHeight="1" x14ac:dyDescent="0.2">
      <c r="B12" s="200">
        <f>Inputs!B14</f>
        <v>0</v>
      </c>
      <c r="C12" s="201"/>
      <c r="D12" s="202"/>
      <c r="E12" s="202"/>
      <c r="F12" s="202"/>
      <c r="G12" s="202"/>
      <c r="H12" s="202"/>
      <c r="I12" s="202"/>
      <c r="J12" s="203" t="e">
        <f t="shared" si="0"/>
        <v>#DIV/0!</v>
      </c>
      <c r="K12" s="203" t="e">
        <f t="shared" si="3"/>
        <v>#DIV/0!</v>
      </c>
      <c r="L12" s="203" t="e">
        <f t="shared" si="4"/>
        <v>#DIV/0!</v>
      </c>
      <c r="M12" s="203">
        <f>Inputs!F14</f>
        <v>0</v>
      </c>
      <c r="N12" s="177" t="e">
        <f t="shared" si="1"/>
        <v>#DIV/0!</v>
      </c>
      <c r="O12" s="177" t="e">
        <f t="shared" si="2"/>
        <v>#DIV/0!</v>
      </c>
      <c r="P12" s="198"/>
      <c r="Q12" s="205"/>
      <c r="R12" s="254"/>
      <c r="S12" s="255"/>
      <c r="T12" s="252"/>
      <c r="U12" s="204"/>
      <c r="V12" s="254"/>
      <c r="W12" s="256"/>
      <c r="X12" s="254"/>
      <c r="Y12" s="256"/>
      <c r="Z12" s="254"/>
      <c r="AA12" s="254"/>
      <c r="AB12" s="254"/>
      <c r="AC12" s="254"/>
      <c r="AD12" s="254"/>
      <c r="AE12" s="254"/>
      <c r="AF12" s="254"/>
      <c r="AG12" s="254"/>
      <c r="AH12" s="254"/>
      <c r="AI12" s="254"/>
      <c r="AJ12" s="254"/>
      <c r="AK12" s="254"/>
      <c r="AL12" s="254"/>
      <c r="AM12" s="254"/>
      <c r="AN12" s="254"/>
      <c r="AO12" s="254"/>
      <c r="AP12" s="254"/>
    </row>
    <row r="13" spans="1:42" ht="18" customHeight="1" x14ac:dyDescent="0.2">
      <c r="B13" s="200">
        <f>Inputs!B15</f>
        <v>0</v>
      </c>
      <c r="C13" s="201"/>
      <c r="D13" s="202"/>
      <c r="E13" s="202"/>
      <c r="F13" s="202"/>
      <c r="G13" s="202"/>
      <c r="H13" s="202"/>
      <c r="I13" s="202"/>
      <c r="J13" s="203" t="e">
        <f t="shared" si="0"/>
        <v>#DIV/0!</v>
      </c>
      <c r="K13" s="203" t="e">
        <f t="shared" si="3"/>
        <v>#DIV/0!</v>
      </c>
      <c r="L13" s="203" t="e">
        <f t="shared" si="4"/>
        <v>#DIV/0!</v>
      </c>
      <c r="M13" s="203">
        <f>Inputs!F15</f>
        <v>0</v>
      </c>
      <c r="N13" s="177" t="e">
        <f t="shared" si="1"/>
        <v>#DIV/0!</v>
      </c>
      <c r="O13" s="177" t="e">
        <f t="shared" si="2"/>
        <v>#DIV/0!</v>
      </c>
      <c r="P13" s="198"/>
      <c r="Q13" s="205"/>
      <c r="R13" s="254"/>
      <c r="S13" s="255"/>
      <c r="T13" s="252"/>
      <c r="U13" s="204"/>
      <c r="V13" s="254"/>
      <c r="W13" s="256"/>
      <c r="X13" s="204"/>
      <c r="Y13" s="256"/>
      <c r="Z13" s="204"/>
      <c r="AA13" s="254"/>
      <c r="AB13" s="204"/>
      <c r="AC13" s="254"/>
      <c r="AD13" s="204"/>
      <c r="AE13" s="254"/>
      <c r="AF13" s="204"/>
      <c r="AG13" s="254"/>
      <c r="AH13" s="204"/>
      <c r="AI13" s="254"/>
      <c r="AJ13" s="204"/>
      <c r="AK13" s="254"/>
      <c r="AL13" s="204"/>
      <c r="AM13" s="254"/>
      <c r="AN13" s="204"/>
      <c r="AO13" s="254"/>
      <c r="AP13" s="204"/>
    </row>
    <row r="14" spans="1:42" ht="18" customHeight="1" x14ac:dyDescent="0.2">
      <c r="B14" s="200">
        <f>Inputs!B16</f>
        <v>0</v>
      </c>
      <c r="C14" s="201"/>
      <c r="D14" s="202"/>
      <c r="E14" s="202"/>
      <c r="F14" s="202"/>
      <c r="G14" s="202"/>
      <c r="H14" s="202"/>
      <c r="I14" s="202"/>
      <c r="J14" s="203" t="e">
        <f t="shared" si="0"/>
        <v>#DIV/0!</v>
      </c>
      <c r="K14" s="203" t="e">
        <f t="shared" si="3"/>
        <v>#DIV/0!</v>
      </c>
      <c r="L14" s="203" t="e">
        <f t="shared" si="4"/>
        <v>#DIV/0!</v>
      </c>
      <c r="M14" s="203">
        <f>Inputs!F16</f>
        <v>0</v>
      </c>
      <c r="N14" s="177" t="e">
        <f t="shared" si="1"/>
        <v>#DIV/0!</v>
      </c>
      <c r="O14" s="177" t="e">
        <f t="shared" si="2"/>
        <v>#DIV/0!</v>
      </c>
      <c r="P14" s="198"/>
      <c r="Q14" s="205"/>
      <c r="R14" s="260"/>
      <c r="S14" s="255"/>
      <c r="T14" s="261"/>
      <c r="U14" s="204"/>
      <c r="V14" s="260"/>
      <c r="W14" s="259"/>
      <c r="X14" s="260"/>
      <c r="Y14" s="260"/>
      <c r="Z14" s="260"/>
      <c r="AA14" s="260"/>
      <c r="AB14" s="260"/>
      <c r="AC14" s="260"/>
      <c r="AD14" s="260"/>
      <c r="AE14" s="260"/>
      <c r="AF14" s="260"/>
      <c r="AG14" s="260"/>
      <c r="AH14" s="260"/>
      <c r="AI14" s="260"/>
      <c r="AJ14" s="260"/>
      <c r="AK14" s="260"/>
      <c r="AL14" s="260"/>
      <c r="AM14" s="260"/>
      <c r="AN14" s="260"/>
      <c r="AO14" s="260"/>
      <c r="AP14" s="260"/>
    </row>
    <row r="15" spans="1:42" ht="18" customHeight="1" x14ac:dyDescent="0.2">
      <c r="B15" s="200">
        <f>Inputs!B17</f>
        <v>0</v>
      </c>
      <c r="C15" s="201"/>
      <c r="D15" s="202"/>
      <c r="E15" s="202"/>
      <c r="F15" s="202"/>
      <c r="G15" s="202"/>
      <c r="H15" s="202"/>
      <c r="I15" s="202"/>
      <c r="J15" s="203" t="e">
        <f t="shared" si="0"/>
        <v>#DIV/0!</v>
      </c>
      <c r="K15" s="203" t="e">
        <f t="shared" si="3"/>
        <v>#DIV/0!</v>
      </c>
      <c r="L15" s="203" t="e">
        <f t="shared" si="4"/>
        <v>#DIV/0!</v>
      </c>
      <c r="M15" s="203">
        <f>Inputs!F17</f>
        <v>0</v>
      </c>
      <c r="N15" s="177" t="e">
        <f t="shared" si="1"/>
        <v>#DIV/0!</v>
      </c>
      <c r="O15" s="177" t="e">
        <f t="shared" si="2"/>
        <v>#DIV/0!</v>
      </c>
      <c r="P15" s="198"/>
      <c r="Q15" s="205"/>
      <c r="R15" s="260"/>
      <c r="S15" s="255"/>
      <c r="T15" s="261"/>
      <c r="U15" s="262"/>
      <c r="V15" s="263"/>
      <c r="W15" s="259"/>
      <c r="X15" s="262"/>
      <c r="Y15" s="260"/>
      <c r="Z15" s="262"/>
      <c r="AA15" s="260"/>
      <c r="AB15" s="262"/>
      <c r="AC15" s="260"/>
      <c r="AD15" s="262"/>
      <c r="AE15" s="260"/>
      <c r="AF15" s="262"/>
      <c r="AG15" s="260"/>
      <c r="AH15" s="262"/>
      <c r="AI15" s="260"/>
      <c r="AJ15" s="262"/>
      <c r="AK15" s="260"/>
      <c r="AL15" s="262"/>
      <c r="AM15" s="260"/>
      <c r="AN15" s="262"/>
      <c r="AO15" s="260"/>
      <c r="AP15" s="262"/>
    </row>
    <row r="16" spans="1:42" ht="18" customHeight="1" x14ac:dyDescent="0.2">
      <c r="B16" s="200">
        <f>Inputs!B18</f>
        <v>0</v>
      </c>
      <c r="C16" s="201"/>
      <c r="D16" s="202"/>
      <c r="E16" s="202"/>
      <c r="F16" s="202"/>
      <c r="G16" s="202"/>
      <c r="H16" s="202"/>
      <c r="I16" s="202"/>
      <c r="J16" s="203" t="e">
        <f t="shared" si="0"/>
        <v>#DIV/0!</v>
      </c>
      <c r="K16" s="203" t="e">
        <f t="shared" si="3"/>
        <v>#DIV/0!</v>
      </c>
      <c r="L16" s="203" t="e">
        <f t="shared" si="4"/>
        <v>#DIV/0!</v>
      </c>
      <c r="M16" s="203">
        <f>Inputs!F18</f>
        <v>0</v>
      </c>
      <c r="N16" s="177" t="e">
        <f t="shared" si="1"/>
        <v>#DIV/0!</v>
      </c>
      <c r="O16" s="177" t="e">
        <f t="shared" si="2"/>
        <v>#DIV/0!</v>
      </c>
      <c r="P16" s="198"/>
      <c r="Q16" s="205"/>
      <c r="R16" s="264"/>
      <c r="S16" s="255"/>
      <c r="T16" s="265"/>
      <c r="U16" s="266"/>
      <c r="V16" s="264"/>
      <c r="W16" s="267"/>
      <c r="X16" s="266"/>
      <c r="Y16" s="264"/>
      <c r="Z16" s="266"/>
      <c r="AA16" s="264"/>
      <c r="AB16" s="266"/>
      <c r="AC16" s="264"/>
      <c r="AD16" s="266"/>
      <c r="AE16" s="264"/>
      <c r="AF16" s="266"/>
      <c r="AG16" s="264"/>
      <c r="AH16" s="266"/>
      <c r="AI16" s="264"/>
      <c r="AJ16" s="266"/>
      <c r="AK16" s="264"/>
      <c r="AL16" s="266"/>
      <c r="AM16" s="264"/>
      <c r="AN16" s="266"/>
      <c r="AO16" s="264"/>
      <c r="AP16" s="266"/>
    </row>
    <row r="17" spans="2:42" ht="18" customHeight="1" x14ac:dyDescent="0.2">
      <c r="B17" s="200">
        <f>Inputs!B19</f>
        <v>0</v>
      </c>
      <c r="C17" s="202"/>
      <c r="D17" s="202"/>
      <c r="E17" s="202"/>
      <c r="F17" s="202"/>
      <c r="G17" s="202"/>
      <c r="H17" s="202"/>
      <c r="I17" s="202"/>
      <c r="J17" s="203" t="e">
        <f t="shared" si="0"/>
        <v>#DIV/0!</v>
      </c>
      <c r="K17" s="203" t="e">
        <f t="shared" si="3"/>
        <v>#DIV/0!</v>
      </c>
      <c r="L17" s="203" t="e">
        <f t="shared" si="4"/>
        <v>#DIV/0!</v>
      </c>
      <c r="M17" s="203">
        <f>Inputs!F19</f>
        <v>0</v>
      </c>
      <c r="N17" s="177" t="e">
        <f t="shared" si="1"/>
        <v>#DIV/0!</v>
      </c>
      <c r="O17" s="177" t="e">
        <f t="shared" si="2"/>
        <v>#DIV/0!</v>
      </c>
      <c r="P17" s="198"/>
      <c r="Q17" s="205"/>
      <c r="R17" s="263"/>
      <c r="S17" s="262"/>
      <c r="T17" s="263"/>
      <c r="U17" s="262"/>
      <c r="V17" s="263"/>
      <c r="W17" s="268"/>
      <c r="X17" s="262"/>
      <c r="Y17" s="263"/>
      <c r="Z17" s="262"/>
      <c r="AA17" s="263"/>
      <c r="AB17" s="262"/>
      <c r="AC17" s="263"/>
      <c r="AD17" s="262"/>
      <c r="AE17" s="263"/>
      <c r="AF17" s="262"/>
      <c r="AG17" s="263"/>
      <c r="AH17" s="262"/>
      <c r="AI17" s="263"/>
      <c r="AJ17" s="262"/>
      <c r="AK17" s="263"/>
      <c r="AL17" s="262"/>
      <c r="AM17" s="263"/>
      <c r="AN17" s="262"/>
      <c r="AO17" s="263"/>
      <c r="AP17" s="262"/>
    </row>
    <row r="18" spans="2:42" ht="18" customHeight="1" x14ac:dyDescent="0.2">
      <c r="B18" s="200">
        <f>Inputs!B20</f>
        <v>0</v>
      </c>
      <c r="C18" s="202"/>
      <c r="D18" s="202"/>
      <c r="E18" s="202"/>
      <c r="F18" s="202"/>
      <c r="G18" s="202"/>
      <c r="H18" s="202"/>
      <c r="I18" s="202"/>
      <c r="J18" s="203" t="e">
        <f t="shared" si="0"/>
        <v>#DIV/0!</v>
      </c>
      <c r="K18" s="203" t="e">
        <f t="shared" si="3"/>
        <v>#DIV/0!</v>
      </c>
      <c r="L18" s="203" t="e">
        <f t="shared" si="4"/>
        <v>#DIV/0!</v>
      </c>
      <c r="M18" s="203">
        <f>Inputs!F20</f>
        <v>0</v>
      </c>
      <c r="N18" s="177" t="e">
        <f t="shared" si="1"/>
        <v>#DIV/0!</v>
      </c>
      <c r="O18" s="177" t="e">
        <f t="shared" si="2"/>
        <v>#DIV/0!</v>
      </c>
      <c r="P18" s="198"/>
      <c r="Q18" s="205"/>
      <c r="R18" s="263"/>
      <c r="S18" s="262"/>
      <c r="T18" s="263"/>
      <c r="U18" s="262"/>
      <c r="V18" s="263"/>
      <c r="W18" s="268"/>
      <c r="X18" s="262"/>
      <c r="Y18" s="263"/>
      <c r="Z18" s="262"/>
      <c r="AA18" s="263"/>
      <c r="AB18" s="262"/>
      <c r="AC18" s="263"/>
      <c r="AD18" s="262"/>
      <c r="AE18" s="263"/>
      <c r="AF18" s="262"/>
      <c r="AG18" s="263"/>
      <c r="AH18" s="262"/>
      <c r="AI18" s="263"/>
      <c r="AJ18" s="262"/>
      <c r="AK18" s="263"/>
      <c r="AL18" s="262"/>
      <c r="AM18" s="263"/>
      <c r="AN18" s="262"/>
      <c r="AO18" s="263"/>
      <c r="AP18" s="262"/>
    </row>
    <row r="19" spans="2:42" ht="18" customHeight="1" x14ac:dyDescent="0.2">
      <c r="B19" s="200">
        <f>Inputs!B21</f>
        <v>0</v>
      </c>
      <c r="C19" s="202"/>
      <c r="D19" s="202"/>
      <c r="E19" s="202"/>
      <c r="F19" s="202"/>
      <c r="G19" s="202"/>
      <c r="H19" s="202"/>
      <c r="I19" s="202"/>
      <c r="J19" s="203" t="e">
        <f t="shared" si="0"/>
        <v>#DIV/0!</v>
      </c>
      <c r="K19" s="203" t="e">
        <f>J19*30</f>
        <v>#DIV/0!</v>
      </c>
      <c r="L19" s="203" t="e">
        <f t="shared" si="4"/>
        <v>#DIV/0!</v>
      </c>
      <c r="M19" s="203">
        <f>Inputs!F21</f>
        <v>0</v>
      </c>
      <c r="N19" s="177" t="e">
        <f t="shared" si="1"/>
        <v>#DIV/0!</v>
      </c>
      <c r="O19" s="177" t="e">
        <f t="shared" si="2"/>
        <v>#DIV/0!</v>
      </c>
      <c r="P19" s="198"/>
      <c r="Q19" s="205"/>
      <c r="R19" s="263"/>
      <c r="S19" s="262"/>
      <c r="T19" s="263"/>
      <c r="U19" s="262"/>
      <c r="V19" s="263"/>
      <c r="W19" s="268"/>
      <c r="X19" s="262"/>
      <c r="Y19" s="263"/>
      <c r="Z19" s="262"/>
      <c r="AA19" s="263"/>
      <c r="AB19" s="262"/>
      <c r="AC19" s="263"/>
      <c r="AD19" s="262"/>
      <c r="AE19" s="263"/>
      <c r="AF19" s="262"/>
      <c r="AG19" s="263"/>
      <c r="AH19" s="262"/>
      <c r="AI19" s="263"/>
      <c r="AJ19" s="262"/>
      <c r="AK19" s="263"/>
      <c r="AL19" s="262"/>
      <c r="AM19" s="263"/>
      <c r="AN19" s="262"/>
      <c r="AO19" s="263"/>
      <c r="AP19" s="262"/>
    </row>
    <row r="20" spans="2:42" ht="18" customHeight="1" x14ac:dyDescent="0.2">
      <c r="B20" s="200">
        <f>Inputs!B22</f>
        <v>0</v>
      </c>
      <c r="C20" s="202"/>
      <c r="D20" s="202"/>
      <c r="E20" s="202"/>
      <c r="F20" s="202"/>
      <c r="G20" s="202"/>
      <c r="H20" s="202"/>
      <c r="I20" s="202"/>
      <c r="J20" s="203" t="e">
        <f t="shared" si="0"/>
        <v>#DIV/0!</v>
      </c>
      <c r="K20" s="203" t="e">
        <f t="shared" si="3"/>
        <v>#DIV/0!</v>
      </c>
      <c r="L20" s="203" t="e">
        <f t="shared" si="4"/>
        <v>#DIV/0!</v>
      </c>
      <c r="M20" s="203">
        <f>Inputs!F22</f>
        <v>0</v>
      </c>
      <c r="N20" s="177" t="e">
        <f t="shared" si="1"/>
        <v>#DIV/0!</v>
      </c>
      <c r="O20" s="177" t="e">
        <f t="shared" si="2"/>
        <v>#DIV/0!</v>
      </c>
      <c r="P20" s="198"/>
      <c r="Q20" s="205"/>
      <c r="R20" s="263"/>
      <c r="S20" s="262"/>
      <c r="T20" s="263"/>
      <c r="U20" s="262"/>
      <c r="V20" s="263"/>
      <c r="W20" s="268"/>
      <c r="X20" s="262"/>
      <c r="Y20" s="263"/>
      <c r="Z20" s="262"/>
      <c r="AA20" s="263"/>
      <c r="AB20" s="262"/>
      <c r="AC20" s="263"/>
      <c r="AD20" s="262"/>
      <c r="AE20" s="263"/>
      <c r="AF20" s="262"/>
      <c r="AG20" s="263"/>
      <c r="AH20" s="262"/>
      <c r="AI20" s="263"/>
      <c r="AJ20" s="262"/>
      <c r="AK20" s="263"/>
      <c r="AL20" s="262"/>
      <c r="AM20" s="263"/>
      <c r="AN20" s="262"/>
      <c r="AO20" s="263"/>
      <c r="AP20" s="262"/>
    </row>
    <row r="21" spans="2:42" ht="18" customHeight="1" x14ac:dyDescent="0.2">
      <c r="B21" s="207">
        <f>Inputs!B23</f>
        <v>0</v>
      </c>
      <c r="C21" s="208"/>
      <c r="D21" s="208"/>
      <c r="E21" s="208"/>
      <c r="F21" s="208"/>
      <c r="G21" s="208"/>
      <c r="H21" s="208"/>
      <c r="I21" s="208"/>
      <c r="J21" s="209" t="e">
        <f t="shared" si="0"/>
        <v>#DIV/0!</v>
      </c>
      <c r="K21" s="203" t="e">
        <f t="shared" si="3"/>
        <v>#DIV/0!</v>
      </c>
      <c r="L21" s="203" t="e">
        <f t="shared" si="4"/>
        <v>#DIV/0!</v>
      </c>
      <c r="M21" s="203">
        <f>Inputs!F23</f>
        <v>0</v>
      </c>
      <c r="N21" s="177" t="e">
        <f t="shared" si="1"/>
        <v>#DIV/0!</v>
      </c>
      <c r="O21" s="177" t="e">
        <f t="shared" si="2"/>
        <v>#DIV/0!</v>
      </c>
      <c r="P21" s="198"/>
      <c r="Q21" s="205"/>
      <c r="R21" s="263"/>
      <c r="S21" s="262"/>
      <c r="T21" s="263"/>
      <c r="U21" s="262"/>
      <c r="V21" s="263"/>
      <c r="W21" s="268"/>
      <c r="X21" s="262"/>
      <c r="Y21" s="263"/>
      <c r="Z21" s="262"/>
      <c r="AA21" s="263"/>
      <c r="AB21" s="262"/>
      <c r="AC21" s="263"/>
      <c r="AD21" s="262"/>
      <c r="AE21" s="263"/>
      <c r="AF21" s="262"/>
      <c r="AG21" s="263"/>
      <c r="AH21" s="262"/>
      <c r="AI21" s="263"/>
      <c r="AJ21" s="262"/>
      <c r="AK21" s="263"/>
      <c r="AL21" s="262"/>
      <c r="AM21" s="263"/>
      <c r="AN21" s="262"/>
      <c r="AO21" s="263"/>
      <c r="AP21" s="262"/>
    </row>
    <row r="22" spans="2:42" ht="18" customHeight="1" x14ac:dyDescent="0.2">
      <c r="B22" s="210" t="s">
        <v>339</v>
      </c>
      <c r="C22" s="182" t="e">
        <f>(O29+(0.3*C31))/C23</f>
        <v>#DIV/0!</v>
      </c>
      <c r="D22" s="211">
        <f t="shared" ref="D22:I22" si="5">SUM(D6:D21)</f>
        <v>0</v>
      </c>
      <c r="E22" s="211">
        <f t="shared" si="5"/>
        <v>0</v>
      </c>
      <c r="F22" s="211">
        <f t="shared" si="5"/>
        <v>0</v>
      </c>
      <c r="G22" s="211">
        <f t="shared" si="5"/>
        <v>0</v>
      </c>
      <c r="H22" s="211">
        <f t="shared" si="5"/>
        <v>0</v>
      </c>
      <c r="I22" s="211">
        <f t="shared" si="5"/>
        <v>0</v>
      </c>
      <c r="J22" s="211" t="e">
        <f>SUM(J7:J21)</f>
        <v>#DIV/0!</v>
      </c>
      <c r="K22" s="212"/>
      <c r="L22" s="212"/>
      <c r="M22" s="213"/>
      <c r="N22" s="189"/>
      <c r="O22" s="182" t="e">
        <f>SUM(O7:O21)</f>
        <v>#DIV/0!</v>
      </c>
      <c r="P22" s="198"/>
      <c r="Q22" s="205"/>
      <c r="R22" s="263"/>
      <c r="S22" s="262"/>
      <c r="T22" s="263"/>
      <c r="U22" s="262"/>
      <c r="V22" s="263"/>
      <c r="W22" s="268"/>
      <c r="X22" s="262"/>
      <c r="Y22" s="263"/>
      <c r="Z22" s="262"/>
      <c r="AA22" s="263"/>
      <c r="AB22" s="262"/>
      <c r="AC22" s="263"/>
      <c r="AD22" s="262"/>
      <c r="AE22" s="263"/>
      <c r="AF22" s="262"/>
      <c r="AG22" s="263"/>
      <c r="AH22" s="262"/>
      <c r="AI22" s="263"/>
      <c r="AJ22" s="262"/>
      <c r="AK22" s="263"/>
      <c r="AL22" s="262"/>
      <c r="AM22" s="263"/>
      <c r="AN22" s="262"/>
      <c r="AO22" s="263"/>
      <c r="AP22" s="262"/>
    </row>
    <row r="23" spans="2:42" ht="18" customHeight="1" x14ac:dyDescent="0.2">
      <c r="B23" s="214" t="s">
        <v>340</v>
      </c>
      <c r="C23" s="215"/>
      <c r="D23" s="216"/>
      <c r="E23" s="216"/>
      <c r="F23" s="216"/>
      <c r="G23" s="216"/>
      <c r="H23" s="216"/>
      <c r="I23" s="216"/>
      <c r="J23" s="217"/>
      <c r="K23" s="218"/>
      <c r="L23" s="219"/>
      <c r="M23" s="220"/>
      <c r="N23" s="221"/>
      <c r="O23" s="205"/>
      <c r="P23" s="205"/>
      <c r="Q23" s="205"/>
      <c r="R23" s="263"/>
      <c r="S23" s="262"/>
      <c r="T23" s="263"/>
      <c r="U23" s="262"/>
      <c r="V23" s="263"/>
      <c r="W23" s="268"/>
      <c r="X23" s="262"/>
      <c r="Y23" s="263"/>
      <c r="Z23" s="262"/>
      <c r="AA23" s="263"/>
      <c r="AB23" s="262"/>
      <c r="AC23" s="263"/>
      <c r="AD23" s="262"/>
      <c r="AE23" s="263"/>
      <c r="AF23" s="262"/>
      <c r="AG23" s="263"/>
      <c r="AH23" s="262"/>
      <c r="AI23" s="263"/>
      <c r="AJ23" s="262"/>
      <c r="AK23" s="263"/>
      <c r="AL23" s="262"/>
      <c r="AM23" s="263"/>
      <c r="AN23" s="262"/>
      <c r="AO23" s="263"/>
      <c r="AP23" s="262"/>
    </row>
    <row r="24" spans="2:42" ht="18" customHeight="1" x14ac:dyDescent="0.2">
      <c r="B24" s="214" t="s">
        <v>341</v>
      </c>
      <c r="C24" s="222">
        <f>SUM(C7:C21)</f>
        <v>0</v>
      </c>
      <c r="D24" s="223"/>
      <c r="E24" s="193"/>
      <c r="F24" s="193"/>
      <c r="G24" s="193"/>
      <c r="H24" s="193"/>
      <c r="I24" s="193"/>
      <c r="J24" s="224"/>
      <c r="K24" s="195"/>
      <c r="L24" s="195"/>
      <c r="M24" s="220"/>
      <c r="N24" s="221"/>
      <c r="O24" s="205"/>
      <c r="P24" s="205"/>
      <c r="Q24" s="205"/>
      <c r="R24" s="263"/>
      <c r="S24" s="262"/>
      <c r="T24" s="263"/>
      <c r="U24" s="262"/>
      <c r="V24" s="263"/>
      <c r="W24" s="268"/>
      <c r="X24" s="262"/>
      <c r="Y24" s="263"/>
      <c r="Z24" s="262"/>
      <c r="AA24" s="263"/>
      <c r="AB24" s="262"/>
      <c r="AC24" s="263"/>
      <c r="AD24" s="262"/>
      <c r="AE24" s="263"/>
      <c r="AF24" s="262"/>
      <c r="AG24" s="263"/>
      <c r="AH24" s="262"/>
      <c r="AI24" s="263"/>
      <c r="AJ24" s="262"/>
      <c r="AK24" s="263"/>
      <c r="AL24" s="262"/>
      <c r="AM24" s="263"/>
      <c r="AN24" s="262"/>
      <c r="AO24" s="263"/>
      <c r="AP24" s="262"/>
    </row>
    <row r="25" spans="2:42" ht="18" customHeight="1" x14ac:dyDescent="0.2">
      <c r="B25" s="225" t="s">
        <v>342</v>
      </c>
      <c r="C25" s="226" t="e">
        <f>(C7/100)*C22*$M$7+(C8/100)*C22*$M$8+(C9/100)*C22*$M$9+(C10/100)*C22*$M$10+(C11/100)*C22*$M$11+(C12/100)*C22*$M$12+(C13/100)*C22*$M$13+(C14/100)*C22*$M$14+(C15/100)*C22*$M$15+(C16/100)*C22*$M$16+(C17/100)*C22*$M$17+(C18/100)*C22*$M$18+(C19/100)*C22*$M$19+(C20/100)*C22*$M$20+(C21/100)*C22*$M$21</f>
        <v>#DIV/0!</v>
      </c>
      <c r="D25" s="226">
        <f t="shared" ref="D25:I25" si="6">D7*$M$7+D8*$M$8+D9*$M$9+D10*$M$10+D11*$M$11+D12*$M$12+D13*$M$13+D14*$M$14+D15*$M$15+D16*$M$16+D17*$M$17+D18*$M$18+D19*$M$19+D20*$M$20+D21*$M$21</f>
        <v>0</v>
      </c>
      <c r="E25" s="226">
        <f t="shared" si="6"/>
        <v>0</v>
      </c>
      <c r="F25" s="226">
        <f>F7*$M$7+F8*$M$8+F9*$M$9+F10*$M$10+F11*$M$11+F12*$M$12+F13*$M$13+F14*$M$14+F15*$M$15+F16*$M$16+F17*$M$17+F18*$M$18+F19*$M$19+F20*$M$20+F21*$M$21</f>
        <v>0</v>
      </c>
      <c r="G25" s="226">
        <f t="shared" si="6"/>
        <v>0</v>
      </c>
      <c r="H25" s="226">
        <f t="shared" si="6"/>
        <v>0</v>
      </c>
      <c r="I25" s="226">
        <f t="shared" si="6"/>
        <v>0</v>
      </c>
      <c r="J25" s="224"/>
      <c r="K25" s="195"/>
      <c r="L25" s="195"/>
      <c r="M25" s="227"/>
      <c r="N25" s="228"/>
      <c r="O25" s="205"/>
      <c r="P25" s="205"/>
      <c r="Q25" s="205"/>
      <c r="R25" s="263"/>
      <c r="S25" s="262"/>
      <c r="T25" s="263"/>
      <c r="U25" s="262"/>
      <c r="V25" s="263"/>
      <c r="W25" s="268"/>
      <c r="X25" s="262"/>
      <c r="Y25" s="263"/>
      <c r="Z25" s="262"/>
      <c r="AA25" s="263"/>
      <c r="AB25" s="262"/>
      <c r="AC25" s="263"/>
      <c r="AD25" s="262"/>
      <c r="AE25" s="263"/>
      <c r="AF25" s="262"/>
      <c r="AG25" s="263"/>
      <c r="AH25" s="262"/>
      <c r="AI25" s="263"/>
      <c r="AJ25" s="262"/>
      <c r="AK25" s="263"/>
      <c r="AL25" s="262"/>
      <c r="AM25" s="263"/>
      <c r="AN25" s="262"/>
      <c r="AO25" s="263"/>
      <c r="AP25" s="262"/>
    </row>
    <row r="26" spans="2:42" ht="18" customHeight="1" x14ac:dyDescent="0.2">
      <c r="B26" s="205"/>
      <c r="C26" s="223"/>
      <c r="D26" s="223"/>
      <c r="E26" s="193"/>
      <c r="F26" s="193"/>
      <c r="G26" s="193"/>
      <c r="H26" s="193"/>
      <c r="I26" s="193"/>
      <c r="J26" s="224"/>
      <c r="K26" s="195"/>
      <c r="L26" s="195"/>
      <c r="M26" s="220"/>
      <c r="N26" s="221"/>
      <c r="O26" s="205"/>
      <c r="P26" s="205"/>
      <c r="Q26" s="205"/>
      <c r="R26" s="263"/>
      <c r="S26" s="262"/>
      <c r="T26" s="263"/>
      <c r="U26" s="262"/>
      <c r="V26" s="263"/>
      <c r="W26" s="268"/>
      <c r="X26" s="262"/>
      <c r="Y26" s="263"/>
      <c r="Z26" s="262"/>
      <c r="AA26" s="263"/>
      <c r="AB26" s="262"/>
      <c r="AC26" s="263"/>
      <c r="AD26" s="262"/>
      <c r="AE26" s="263"/>
      <c r="AF26" s="262"/>
      <c r="AG26" s="263"/>
      <c r="AH26" s="262"/>
      <c r="AI26" s="263"/>
      <c r="AJ26" s="262"/>
      <c r="AK26" s="263"/>
      <c r="AL26" s="262"/>
      <c r="AM26" s="263"/>
      <c r="AN26" s="262"/>
      <c r="AO26" s="263"/>
      <c r="AP26" s="262"/>
    </row>
    <row r="27" spans="2:42" ht="18" customHeight="1" x14ac:dyDescent="0.2">
      <c r="B27" s="225" t="s">
        <v>343</v>
      </c>
      <c r="C27" s="229">
        <f>AVERAGE('Ev. Rebanho'!H30:J30)</f>
        <v>0</v>
      </c>
      <c r="D27" s="229">
        <f>(((SUM('Ev. Rebanho'!H31:J31))-(SUM('Ev. Rebanho'!H30:J30)))/3)/2</f>
        <v>0</v>
      </c>
      <c r="E27" s="229">
        <f>D27+((SUM('Ev. Rebanho'!H24:J24)/3))</f>
        <v>0</v>
      </c>
      <c r="F27" s="229" t="e">
        <f>(((SUM('Ev. Rebanho'!H36:J36)/3)/((SUM('Ev. Rebanho'!H16:J16))/3))*3)</f>
        <v>#DIV/0!</v>
      </c>
      <c r="G27" s="229" t="e">
        <f>(F27/3)*4</f>
        <v>#DIV/0!</v>
      </c>
      <c r="H27" s="229" t="e">
        <f>(F27/3)*8</f>
        <v>#DIV/0!</v>
      </c>
      <c r="I27" s="229" t="e">
        <f>(F27/3)*(((SUM('Ev. Rebanho'!H16:J16)/3)-16))</f>
        <v>#DIV/0!</v>
      </c>
      <c r="J27" s="224"/>
      <c r="K27" s="198"/>
      <c r="L27" s="198"/>
      <c r="M27" s="198"/>
      <c r="N27" s="198"/>
      <c r="O27" s="205"/>
      <c r="P27" s="205"/>
      <c r="Q27" s="198"/>
      <c r="U27" s="266"/>
      <c r="V27" s="264"/>
      <c r="W27" s="268"/>
      <c r="X27" s="266"/>
      <c r="Y27" s="263"/>
      <c r="Z27" s="266"/>
      <c r="AA27" s="263"/>
      <c r="AB27" s="266"/>
      <c r="AC27" s="263"/>
      <c r="AD27" s="266"/>
      <c r="AE27" s="263"/>
      <c r="AF27" s="266"/>
      <c r="AG27" s="263"/>
      <c r="AH27" s="266"/>
      <c r="AI27" s="263"/>
      <c r="AJ27" s="266"/>
      <c r="AK27" s="263"/>
      <c r="AL27" s="266"/>
      <c r="AM27" s="263"/>
      <c r="AN27" s="266"/>
      <c r="AO27" s="263"/>
      <c r="AP27" s="266"/>
    </row>
    <row r="28" spans="2:42" ht="18" customHeight="1" x14ac:dyDescent="0.2">
      <c r="J28" s="224"/>
      <c r="K28" s="198"/>
      <c r="L28" s="198"/>
      <c r="M28" s="198"/>
      <c r="N28" s="387"/>
      <c r="O28" s="386"/>
      <c r="P28" s="386"/>
      <c r="Q28" s="198"/>
      <c r="U28" s="266"/>
      <c r="V28" s="264"/>
      <c r="W28" s="268"/>
      <c r="X28" s="266"/>
      <c r="Y28" s="263"/>
      <c r="Z28" s="266"/>
      <c r="AA28" s="263"/>
      <c r="AB28" s="266"/>
      <c r="AC28" s="263"/>
      <c r="AD28" s="266"/>
      <c r="AE28" s="263"/>
      <c r="AF28" s="266"/>
      <c r="AG28" s="263"/>
      <c r="AH28" s="266"/>
      <c r="AI28" s="263"/>
      <c r="AJ28" s="266"/>
      <c r="AK28" s="263"/>
      <c r="AL28" s="266"/>
      <c r="AM28" s="263"/>
      <c r="AN28" s="266"/>
      <c r="AO28" s="263"/>
      <c r="AP28" s="266"/>
    </row>
    <row r="29" spans="2:42" ht="18" customHeight="1" x14ac:dyDescent="0.2">
      <c r="B29" s="1158" t="s">
        <v>352</v>
      </c>
      <c r="C29" s="1158"/>
      <c r="D29" s="1158"/>
      <c r="J29" s="224"/>
      <c r="K29" s="198"/>
      <c r="L29" s="198"/>
      <c r="M29" s="198"/>
      <c r="N29" s="387"/>
      <c r="O29" s="387">
        <f>POWER('Input Zootecnico atual'!C12,0.75)*0.0968</f>
        <v>0</v>
      </c>
      <c r="P29" s="386"/>
      <c r="Q29" s="198"/>
      <c r="U29" s="266"/>
      <c r="V29" s="264"/>
      <c r="W29" s="268"/>
      <c r="X29" s="266"/>
      <c r="Y29" s="263"/>
      <c r="Z29" s="266"/>
      <c r="AA29" s="263"/>
      <c r="AB29" s="266"/>
      <c r="AC29" s="263"/>
      <c r="AD29" s="266"/>
      <c r="AE29" s="263"/>
      <c r="AF29" s="266"/>
      <c r="AG29" s="263"/>
      <c r="AH29" s="266"/>
      <c r="AI29" s="263"/>
      <c r="AJ29" s="266"/>
      <c r="AK29" s="263"/>
      <c r="AL29" s="266"/>
      <c r="AM29" s="263"/>
      <c r="AN29" s="266"/>
      <c r="AO29" s="263"/>
      <c r="AP29" s="266"/>
    </row>
    <row r="30" spans="2:42" ht="18" customHeight="1" x14ac:dyDescent="0.2">
      <c r="B30" s="176" t="s">
        <v>35</v>
      </c>
      <c r="C30" s="231" t="s">
        <v>36</v>
      </c>
      <c r="D30" s="230" t="s">
        <v>353</v>
      </c>
      <c r="E30" s="220"/>
      <c r="F30" s="198"/>
      <c r="G30" s="220"/>
      <c r="H30" s="220"/>
      <c r="I30" s="220"/>
      <c r="J30" s="224"/>
      <c r="K30" s="198"/>
      <c r="L30" s="198"/>
      <c r="M30" s="198"/>
      <c r="N30" s="387"/>
      <c r="O30" s="386"/>
      <c r="P30" s="386"/>
      <c r="Q30" s="198"/>
      <c r="U30" s="262"/>
      <c r="V30" s="263"/>
      <c r="W30" s="268"/>
      <c r="X30" s="262"/>
      <c r="Y30" s="263"/>
      <c r="Z30" s="262"/>
      <c r="AA30" s="263"/>
      <c r="AB30" s="262"/>
      <c r="AC30" s="263"/>
      <c r="AD30" s="262"/>
      <c r="AE30" s="263"/>
      <c r="AF30" s="262"/>
      <c r="AG30" s="263"/>
      <c r="AH30" s="262"/>
      <c r="AI30" s="263"/>
      <c r="AJ30" s="262"/>
      <c r="AK30" s="263"/>
      <c r="AL30" s="262"/>
      <c r="AM30" s="263"/>
      <c r="AN30" s="262"/>
      <c r="AO30" s="263"/>
      <c r="AP30" s="262"/>
    </row>
    <row r="31" spans="2:42" ht="18" customHeight="1" x14ac:dyDescent="0.2">
      <c r="B31" s="232" t="s">
        <v>368</v>
      </c>
      <c r="C31" s="203" t="e">
        <f>AVERAGE('Ev. Rebanho'!H33:J33)</f>
        <v>#DIV/0!</v>
      </c>
      <c r="D31" s="179" t="s">
        <v>354</v>
      </c>
      <c r="E31" s="198"/>
      <c r="F31" s="198"/>
      <c r="G31" s="198"/>
      <c r="H31" s="198"/>
      <c r="I31" s="198"/>
      <c r="J31" s="198"/>
      <c r="K31" s="198"/>
      <c r="L31" s="198"/>
      <c r="M31" s="198"/>
      <c r="N31" s="198"/>
      <c r="O31" s="205"/>
      <c r="P31" s="205"/>
      <c r="Q31" s="269"/>
      <c r="R31" s="254"/>
      <c r="S31" s="254"/>
      <c r="T31" s="254"/>
      <c r="U31" s="254"/>
      <c r="V31" s="246"/>
      <c r="W31" s="256"/>
      <c r="X31" s="254"/>
      <c r="Y31" s="256"/>
      <c r="Z31" s="254"/>
      <c r="AA31" s="254"/>
      <c r="AB31" s="254"/>
      <c r="AC31" s="254"/>
      <c r="AD31" s="254"/>
      <c r="AE31" s="254"/>
      <c r="AF31" s="254"/>
      <c r="AG31" s="254"/>
      <c r="AH31" s="254"/>
      <c r="AI31" s="254"/>
      <c r="AJ31" s="254"/>
      <c r="AK31" s="254"/>
      <c r="AL31" s="254"/>
      <c r="AM31" s="254"/>
      <c r="AN31" s="254"/>
      <c r="AO31" s="254"/>
      <c r="AP31" s="254"/>
    </row>
    <row r="32" spans="2:42" ht="18" customHeight="1" x14ac:dyDescent="0.2">
      <c r="B32" s="232" t="s">
        <v>367</v>
      </c>
      <c r="C32" s="203" t="e">
        <f>C31*$C$39*C27</f>
        <v>#DIV/0!</v>
      </c>
      <c r="D32" s="179" t="s">
        <v>355</v>
      </c>
      <c r="E32" s="198"/>
      <c r="F32" s="198"/>
      <c r="G32" s="198"/>
      <c r="H32" s="195"/>
      <c r="I32" s="198"/>
      <c r="J32" s="198"/>
      <c r="K32" s="198"/>
      <c r="L32" s="198"/>
      <c r="M32" s="198"/>
      <c r="N32" s="198"/>
      <c r="O32" s="205"/>
      <c r="P32" s="221"/>
      <c r="Q32" s="245"/>
      <c r="R32" s="270"/>
      <c r="S32" s="262"/>
      <c r="T32" s="270"/>
      <c r="U32" s="262"/>
      <c r="V32" s="260"/>
      <c r="W32" s="251"/>
      <c r="X32" s="262"/>
      <c r="Y32" s="270"/>
      <c r="Z32" s="262"/>
      <c r="AA32" s="270"/>
      <c r="AB32" s="262"/>
      <c r="AC32" s="270"/>
      <c r="AD32" s="262"/>
      <c r="AE32" s="270"/>
      <c r="AF32" s="262"/>
      <c r="AG32" s="270"/>
      <c r="AH32" s="262"/>
      <c r="AI32" s="270"/>
      <c r="AJ32" s="262"/>
      <c r="AK32" s="270"/>
      <c r="AL32" s="262"/>
      <c r="AM32" s="270"/>
      <c r="AN32" s="262"/>
      <c r="AO32" s="270"/>
      <c r="AP32" s="262"/>
    </row>
    <row r="33" spans="1:138" ht="18" customHeight="1" x14ac:dyDescent="0.2">
      <c r="B33" s="232" t="s">
        <v>369</v>
      </c>
      <c r="C33" s="203" t="e">
        <f>C32-(C27*C25)</f>
        <v>#DIV/0!</v>
      </c>
      <c r="D33" s="179" t="s">
        <v>355</v>
      </c>
      <c r="E33" s="198"/>
      <c r="F33" s="198"/>
      <c r="G33" s="198"/>
      <c r="H33" s="198"/>
      <c r="I33" s="198"/>
      <c r="J33" s="198"/>
      <c r="K33" s="195"/>
      <c r="L33" s="195"/>
      <c r="M33" s="195"/>
      <c r="N33" s="195"/>
      <c r="O33" s="205"/>
      <c r="P33" s="221"/>
      <c r="Q33" s="245"/>
      <c r="R33" s="270"/>
      <c r="S33" s="262"/>
      <c r="T33" s="270"/>
      <c r="U33" s="262"/>
      <c r="V33" s="259"/>
      <c r="W33" s="251"/>
      <c r="X33" s="262"/>
      <c r="Y33" s="270"/>
      <c r="Z33" s="262"/>
      <c r="AA33" s="270"/>
      <c r="AB33" s="262"/>
      <c r="AC33" s="270"/>
      <c r="AD33" s="262"/>
      <c r="AE33" s="270"/>
      <c r="AF33" s="262"/>
      <c r="AG33" s="270"/>
      <c r="AH33" s="262"/>
      <c r="AI33" s="270"/>
      <c r="AJ33" s="262"/>
      <c r="AK33" s="270"/>
      <c r="AL33" s="262"/>
      <c r="AM33" s="270"/>
      <c r="AN33" s="262"/>
      <c r="AO33" s="270"/>
      <c r="AP33" s="262"/>
    </row>
    <row r="34" spans="1:138" ht="18" customHeight="1" x14ac:dyDescent="0.2">
      <c r="B34" s="232" t="s">
        <v>347</v>
      </c>
      <c r="C34" s="203" t="e">
        <f>(((C31/1.033)*0.985)*$C$39)-C25</f>
        <v>#DIV/0!</v>
      </c>
      <c r="D34" s="179" t="s">
        <v>356</v>
      </c>
      <c r="E34" s="198"/>
      <c r="F34" s="198"/>
      <c r="G34" s="198"/>
      <c r="H34" s="233"/>
      <c r="I34" s="198"/>
      <c r="J34" s="198"/>
      <c r="K34" s="195"/>
      <c r="L34" s="195"/>
      <c r="M34" s="195"/>
      <c r="N34" s="195"/>
      <c r="O34" s="205"/>
      <c r="P34" s="205"/>
      <c r="Q34" s="205"/>
      <c r="R34" s="254"/>
      <c r="S34" s="271"/>
      <c r="T34" s="254"/>
      <c r="U34" s="271"/>
      <c r="V34" s="246"/>
      <c r="W34" s="256"/>
      <c r="X34" s="271"/>
      <c r="Y34" s="256"/>
      <c r="Z34" s="271"/>
      <c r="AA34" s="254"/>
      <c r="AB34" s="271"/>
      <c r="AC34" s="254"/>
      <c r="AD34" s="271"/>
      <c r="AE34" s="254"/>
      <c r="AF34" s="271"/>
      <c r="AG34" s="254"/>
      <c r="AH34" s="271"/>
      <c r="AI34" s="254"/>
      <c r="AJ34" s="271"/>
      <c r="AK34" s="254"/>
      <c r="AL34" s="271"/>
      <c r="AM34" s="254"/>
      <c r="AN34" s="271"/>
      <c r="AO34" s="254"/>
      <c r="AP34" s="271"/>
    </row>
    <row r="35" spans="1:138" ht="18" customHeight="1" x14ac:dyDescent="0.2">
      <c r="B35" s="232" t="s">
        <v>370</v>
      </c>
      <c r="C35" s="203" t="e">
        <f>C25*100/C31</f>
        <v>#DIV/0!</v>
      </c>
      <c r="D35" s="179" t="s">
        <v>18</v>
      </c>
      <c r="E35" s="198"/>
      <c r="F35" s="198"/>
      <c r="G35" s="198"/>
      <c r="H35" s="198"/>
      <c r="I35" s="198"/>
      <c r="J35" s="198"/>
      <c r="K35" s="220"/>
      <c r="L35" s="234" t="s">
        <v>345</v>
      </c>
      <c r="M35" s="198"/>
      <c r="N35" s="198"/>
      <c r="O35" s="195"/>
      <c r="P35" s="195"/>
      <c r="Q35" s="195"/>
      <c r="R35" s="272"/>
      <c r="S35" s="272"/>
      <c r="T35" s="272"/>
      <c r="U35" s="272"/>
      <c r="V35" s="272"/>
      <c r="W35" s="272"/>
      <c r="X35" s="272"/>
      <c r="Y35" s="272"/>
      <c r="Z35" s="272"/>
      <c r="AA35" s="272"/>
      <c r="AB35" s="272"/>
      <c r="AC35" s="272"/>
      <c r="AD35" s="272"/>
      <c r="AE35" s="272"/>
      <c r="AF35" s="272"/>
      <c r="AG35" s="272"/>
      <c r="AH35" s="272"/>
      <c r="AI35" s="272"/>
      <c r="AJ35" s="272"/>
      <c r="AK35" s="272"/>
      <c r="AL35" s="272"/>
      <c r="AM35" s="272"/>
      <c r="AN35" s="272"/>
      <c r="AO35" s="272"/>
      <c r="AP35" s="272"/>
    </row>
    <row r="36" spans="1:138" ht="18" customHeight="1" x14ac:dyDescent="0.2">
      <c r="B36" s="232" t="s">
        <v>371</v>
      </c>
      <c r="C36" s="203" t="e">
        <f>(C25-((D25+E25)/2))/C31</f>
        <v>#DIV/0!</v>
      </c>
      <c r="D36" s="179" t="s">
        <v>41</v>
      </c>
      <c r="E36" s="198"/>
      <c r="F36" s="198"/>
      <c r="G36" s="198"/>
      <c r="H36" s="235"/>
      <c r="I36" s="198"/>
      <c r="J36" s="198"/>
      <c r="K36" s="198"/>
      <c r="L36" s="234" t="s">
        <v>346</v>
      </c>
      <c r="M36" s="198"/>
      <c r="N36" s="198"/>
      <c r="O36" s="195"/>
      <c r="P36" s="195"/>
      <c r="Q36" s="195"/>
      <c r="R36" s="273"/>
      <c r="S36" s="274"/>
      <c r="T36" s="273"/>
      <c r="U36" s="274"/>
      <c r="V36" s="275"/>
      <c r="W36" s="276"/>
      <c r="X36" s="274"/>
      <c r="Y36" s="276"/>
      <c r="Z36" s="274"/>
      <c r="AA36" s="273"/>
      <c r="AB36" s="274"/>
      <c r="AC36" s="273"/>
      <c r="AD36" s="274"/>
      <c r="AE36" s="273"/>
      <c r="AF36" s="274"/>
      <c r="AG36" s="273"/>
      <c r="AH36" s="274"/>
      <c r="AI36" s="273"/>
      <c r="AJ36" s="274"/>
      <c r="AK36" s="273"/>
      <c r="AL36" s="274"/>
      <c r="AM36" s="273"/>
      <c r="AN36" s="274"/>
      <c r="AO36" s="273"/>
      <c r="AP36" s="274"/>
    </row>
    <row r="37" spans="1:138" ht="18" customHeight="1" x14ac:dyDescent="0.2">
      <c r="B37" s="232" t="s">
        <v>344</v>
      </c>
      <c r="C37" s="236" t="e">
        <f>(F27+G27+H27+I27)/(C27+D27+E27+F27+G27+H27+I27)</f>
        <v>#DIV/0!</v>
      </c>
      <c r="D37" s="179" t="s">
        <v>174</v>
      </c>
      <c r="E37" s="198"/>
      <c r="F37" s="198"/>
      <c r="G37" s="198"/>
      <c r="H37" s="220"/>
      <c r="I37" s="198"/>
      <c r="J37" s="198"/>
      <c r="K37" s="223"/>
      <c r="L37" s="220"/>
      <c r="M37" s="198"/>
      <c r="N37" s="198"/>
      <c r="O37" s="277"/>
      <c r="P37" s="277"/>
      <c r="Q37" s="278"/>
      <c r="R37" s="279"/>
      <c r="S37" s="280"/>
      <c r="T37" s="281"/>
      <c r="U37" s="280"/>
      <c r="V37" s="274"/>
      <c r="W37" s="282"/>
      <c r="X37" s="280"/>
      <c r="Y37" s="281"/>
      <c r="Z37" s="280"/>
      <c r="AA37" s="281"/>
      <c r="AB37" s="280"/>
      <c r="AC37" s="281"/>
      <c r="AD37" s="280"/>
      <c r="AE37" s="281"/>
      <c r="AF37" s="280"/>
      <c r="AG37" s="281"/>
      <c r="AH37" s="280"/>
      <c r="AI37" s="281"/>
      <c r="AJ37" s="280"/>
      <c r="AK37" s="281"/>
      <c r="AL37" s="280"/>
      <c r="AM37" s="281"/>
      <c r="AN37" s="280"/>
      <c r="AO37" s="281"/>
      <c r="AP37" s="280"/>
      <c r="AQ37" s="237"/>
      <c r="AR37" s="237"/>
      <c r="AS37" s="237"/>
      <c r="AT37" s="237"/>
      <c r="AU37" s="237"/>
      <c r="AV37" s="237"/>
      <c r="AW37" s="237"/>
      <c r="AX37" s="237"/>
      <c r="AY37" s="237"/>
      <c r="AZ37" s="237"/>
      <c r="BA37" s="237"/>
      <c r="BB37" s="237"/>
      <c r="BC37" s="237"/>
      <c r="BD37" s="237"/>
      <c r="BE37" s="237"/>
      <c r="BF37" s="237"/>
      <c r="BG37" s="237"/>
      <c r="BH37" s="237"/>
      <c r="BI37" s="237"/>
      <c r="BJ37" s="237"/>
      <c r="BK37" s="237"/>
      <c r="BL37" s="237"/>
      <c r="BM37" s="237"/>
      <c r="BN37" s="237"/>
      <c r="BO37" s="237"/>
      <c r="BP37" s="237"/>
      <c r="BQ37" s="237"/>
      <c r="BR37" s="237"/>
      <c r="BS37" s="237"/>
      <c r="BT37" s="237"/>
      <c r="BU37" s="237"/>
      <c r="BV37" s="237"/>
      <c r="BW37" s="237"/>
      <c r="BX37" s="237"/>
      <c r="BY37" s="237"/>
      <c r="BZ37" s="237"/>
      <c r="CA37" s="237"/>
      <c r="CB37" s="237"/>
      <c r="CC37" s="237"/>
      <c r="CD37" s="237"/>
      <c r="CE37" s="237"/>
      <c r="CF37" s="237"/>
      <c r="CG37" s="237"/>
      <c r="CH37" s="237"/>
      <c r="CI37" s="237"/>
      <c r="CJ37" s="237"/>
      <c r="CK37" s="237"/>
      <c r="CL37" s="237"/>
      <c r="CM37" s="237"/>
      <c r="CN37" s="237"/>
      <c r="CO37" s="237"/>
      <c r="CP37" s="237"/>
      <c r="CQ37" s="237"/>
      <c r="CR37" s="237"/>
      <c r="CS37" s="237"/>
      <c r="CT37" s="237"/>
      <c r="CU37" s="237"/>
      <c r="CV37" s="237"/>
      <c r="CW37" s="237"/>
      <c r="CX37" s="237"/>
      <c r="CY37" s="237"/>
      <c r="CZ37" s="237"/>
      <c r="DA37" s="237"/>
      <c r="DB37" s="237"/>
      <c r="DC37" s="237"/>
      <c r="DD37" s="237"/>
      <c r="DE37" s="237"/>
      <c r="DF37" s="237"/>
      <c r="DG37" s="237"/>
      <c r="DH37" s="237"/>
      <c r="DI37" s="237"/>
      <c r="DJ37" s="237"/>
      <c r="DK37" s="237"/>
      <c r="DL37" s="237"/>
      <c r="DM37" s="237"/>
      <c r="DN37" s="237"/>
      <c r="DO37" s="237"/>
      <c r="DP37" s="237"/>
      <c r="DQ37" s="237"/>
      <c r="DR37" s="237"/>
      <c r="DS37" s="237"/>
      <c r="DT37" s="237"/>
      <c r="DU37" s="237"/>
      <c r="DV37" s="237"/>
      <c r="DW37" s="237"/>
      <c r="DX37" s="237"/>
      <c r="DY37" s="237"/>
      <c r="DZ37" s="237"/>
      <c r="EA37" s="237"/>
      <c r="EB37" s="237"/>
      <c r="EC37" s="237"/>
      <c r="ED37" s="237"/>
      <c r="EE37" s="237"/>
      <c r="EF37" s="237"/>
      <c r="EG37" s="237"/>
      <c r="EH37" s="237"/>
    </row>
    <row r="38" spans="1:138" ht="18" customHeight="1" x14ac:dyDescent="0.2">
      <c r="A38" s="198"/>
      <c r="B38" s="232" t="s">
        <v>372</v>
      </c>
      <c r="C38" s="203">
        <f>Inputs!F8</f>
        <v>0</v>
      </c>
      <c r="D38" s="179" t="s">
        <v>41</v>
      </c>
      <c r="E38" s="238"/>
      <c r="F38" s="198"/>
      <c r="G38" s="195"/>
      <c r="H38" s="198"/>
      <c r="I38" s="198"/>
      <c r="J38" s="198"/>
      <c r="K38" s="198"/>
      <c r="L38" s="195"/>
      <c r="M38" s="198"/>
      <c r="N38" s="198"/>
      <c r="O38" s="194"/>
      <c r="P38" s="194"/>
      <c r="Q38" s="194"/>
      <c r="R38" s="283"/>
      <c r="S38" s="281"/>
      <c r="T38" s="239"/>
      <c r="U38" s="281"/>
      <c r="V38" s="274"/>
      <c r="W38" s="240"/>
      <c r="X38" s="281"/>
      <c r="Y38" s="239"/>
      <c r="Z38" s="281"/>
      <c r="AA38" s="239"/>
      <c r="AB38" s="281"/>
      <c r="AC38" s="239"/>
      <c r="AD38" s="281"/>
      <c r="AE38" s="239"/>
      <c r="AF38" s="281"/>
      <c r="AG38" s="239"/>
      <c r="AH38" s="281"/>
      <c r="AI38" s="239"/>
      <c r="AJ38" s="281"/>
      <c r="AK38" s="239"/>
      <c r="AL38" s="281"/>
      <c r="AM38" s="239"/>
      <c r="AN38" s="281"/>
      <c r="AO38" s="239"/>
      <c r="AP38" s="281"/>
    </row>
    <row r="39" spans="1:138" ht="18" customHeight="1" x14ac:dyDescent="0.2">
      <c r="A39" s="198"/>
      <c r="B39" s="178" t="s">
        <v>274</v>
      </c>
      <c r="C39" s="177">
        <f>C38/1.032</f>
        <v>0</v>
      </c>
      <c r="D39" s="179" t="s">
        <v>357</v>
      </c>
      <c r="E39" s="241"/>
      <c r="F39" s="198"/>
      <c r="G39" s="241"/>
      <c r="H39" s="198"/>
      <c r="I39" s="198"/>
      <c r="J39" s="198"/>
      <c r="K39" s="198"/>
      <c r="L39" s="195"/>
      <c r="M39" s="198"/>
      <c r="N39" s="198"/>
      <c r="O39" s="194"/>
      <c r="P39" s="194"/>
      <c r="Q39" s="194"/>
      <c r="R39" s="239"/>
      <c r="S39" s="281"/>
      <c r="T39" s="239"/>
      <c r="U39" s="281"/>
      <c r="V39" s="274"/>
      <c r="W39" s="240"/>
      <c r="X39" s="281"/>
      <c r="Y39" s="239"/>
      <c r="Z39" s="281"/>
      <c r="AA39" s="239"/>
      <c r="AB39" s="281"/>
      <c r="AC39" s="239"/>
      <c r="AD39" s="281"/>
      <c r="AE39" s="239"/>
      <c r="AF39" s="281"/>
      <c r="AG39" s="239"/>
      <c r="AH39" s="281"/>
      <c r="AI39" s="239"/>
      <c r="AJ39" s="281"/>
      <c r="AK39" s="239"/>
      <c r="AL39" s="281"/>
      <c r="AM39" s="239"/>
      <c r="AN39" s="281"/>
      <c r="AO39" s="239"/>
      <c r="AP39" s="281"/>
    </row>
    <row r="40" spans="1:138" ht="18" customHeight="1" x14ac:dyDescent="0.2">
      <c r="A40" s="198"/>
      <c r="B40" s="232" t="s">
        <v>373</v>
      </c>
      <c r="C40" s="203" t="e">
        <f>C31*C27</f>
        <v>#DIV/0!</v>
      </c>
      <c r="D40" s="179" t="s">
        <v>354</v>
      </c>
      <c r="E40" s="242"/>
      <c r="F40" s="198"/>
      <c r="G40" s="242"/>
      <c r="H40" s="198"/>
      <c r="I40" s="198"/>
      <c r="J40" s="198"/>
      <c r="K40" s="198"/>
      <c r="L40" s="198"/>
      <c r="M40" s="198"/>
      <c r="N40" s="198"/>
      <c r="O40" s="194"/>
      <c r="P40" s="194"/>
      <c r="Q40" s="194"/>
      <c r="R40" s="239"/>
      <c r="S40" s="281"/>
      <c r="T40" s="239"/>
      <c r="U40" s="281"/>
      <c r="V40" s="274"/>
      <c r="W40" s="240"/>
      <c r="X40" s="281"/>
      <c r="Y40" s="239"/>
      <c r="Z40" s="281"/>
      <c r="AA40" s="239"/>
      <c r="AB40" s="281"/>
      <c r="AC40" s="239"/>
      <c r="AD40" s="281"/>
      <c r="AE40" s="239"/>
      <c r="AF40" s="281"/>
      <c r="AG40" s="239"/>
      <c r="AH40" s="281"/>
      <c r="AI40" s="239"/>
      <c r="AJ40" s="281"/>
      <c r="AK40" s="239"/>
      <c r="AL40" s="281"/>
      <c r="AM40" s="239"/>
      <c r="AN40" s="281"/>
      <c r="AO40" s="239"/>
      <c r="AP40" s="281"/>
    </row>
    <row r="41" spans="1:138" ht="18" customHeight="1" x14ac:dyDescent="0.2">
      <c r="A41" s="198"/>
      <c r="B41" s="232" t="s">
        <v>374</v>
      </c>
      <c r="C41" s="203" t="e">
        <f>(SUM(N7:N21))</f>
        <v>#DIV/0!</v>
      </c>
      <c r="D41" s="179" t="s">
        <v>18</v>
      </c>
      <c r="E41" s="242"/>
      <c r="F41" s="198"/>
      <c r="G41" s="242"/>
      <c r="H41" s="205"/>
      <c r="I41" s="198"/>
      <c r="J41" s="198"/>
      <c r="K41" s="198"/>
      <c r="L41" s="198"/>
      <c r="M41" s="198"/>
      <c r="N41" s="198"/>
      <c r="O41" s="194"/>
      <c r="P41" s="194"/>
      <c r="Q41" s="194"/>
      <c r="R41" s="239"/>
      <c r="S41" s="281"/>
      <c r="T41" s="239"/>
      <c r="U41" s="281"/>
      <c r="V41" s="274"/>
      <c r="W41" s="240"/>
      <c r="X41" s="281"/>
      <c r="Y41" s="239"/>
      <c r="Z41" s="281"/>
      <c r="AA41" s="239"/>
      <c r="AB41" s="281"/>
      <c r="AC41" s="239"/>
      <c r="AD41" s="281"/>
      <c r="AE41" s="239"/>
      <c r="AF41" s="281"/>
      <c r="AG41" s="239"/>
      <c r="AH41" s="281"/>
      <c r="AI41" s="239"/>
      <c r="AJ41" s="281"/>
      <c r="AK41" s="239"/>
      <c r="AL41" s="281"/>
      <c r="AM41" s="239"/>
      <c r="AN41" s="281"/>
      <c r="AO41" s="239"/>
      <c r="AP41" s="281"/>
    </row>
    <row r="42" spans="1:138" ht="18" customHeight="1" x14ac:dyDescent="0.2">
      <c r="B42" s="1161" t="s">
        <v>323</v>
      </c>
      <c r="C42" s="1162"/>
      <c r="D42" s="1162"/>
      <c r="H42" s="242"/>
      <c r="I42" s="242"/>
      <c r="J42" s="194"/>
      <c r="K42" s="195"/>
      <c r="L42" s="195"/>
      <c r="M42" s="195"/>
      <c r="N42" s="196"/>
      <c r="O42" s="238"/>
      <c r="P42" s="238"/>
      <c r="Q42" s="195"/>
      <c r="R42" s="275"/>
      <c r="S42" s="273"/>
      <c r="T42" s="275"/>
      <c r="U42" s="273"/>
      <c r="V42" s="275"/>
      <c r="W42" s="284"/>
      <c r="X42" s="273"/>
      <c r="Y42" s="284"/>
      <c r="Z42" s="273"/>
      <c r="AA42" s="275"/>
      <c r="AB42" s="273"/>
      <c r="AC42" s="275"/>
      <c r="AD42" s="273"/>
      <c r="AE42" s="275"/>
      <c r="AF42" s="273"/>
      <c r="AG42" s="275"/>
      <c r="AH42" s="273"/>
      <c r="AI42" s="275"/>
      <c r="AJ42" s="273"/>
      <c r="AK42" s="275"/>
      <c r="AL42" s="273"/>
      <c r="AM42" s="275"/>
      <c r="AN42" s="273"/>
      <c r="AO42" s="275"/>
      <c r="AP42" s="273"/>
    </row>
    <row r="43" spans="1:138" ht="18" customHeight="1" x14ac:dyDescent="0.2">
      <c r="B43" s="232" t="s">
        <v>375</v>
      </c>
      <c r="C43" s="203" t="e">
        <f>F27+G27+H27+I27+E27/3</f>
        <v>#DIV/0!</v>
      </c>
      <c r="D43" s="179" t="s">
        <v>38</v>
      </c>
      <c r="F43" s="198"/>
      <c r="H43" s="242"/>
      <c r="I43" s="242"/>
      <c r="J43" s="194"/>
      <c r="K43" s="195"/>
      <c r="L43" s="195"/>
      <c r="M43" s="195"/>
      <c r="N43" s="196"/>
      <c r="O43" s="195"/>
      <c r="P43" s="195"/>
      <c r="Q43" s="195"/>
      <c r="R43" s="272"/>
      <c r="S43" s="272"/>
      <c r="T43" s="272"/>
      <c r="U43" s="272"/>
      <c r="V43" s="285"/>
      <c r="W43" s="272"/>
      <c r="X43" s="272"/>
      <c r="Y43" s="272"/>
      <c r="Z43" s="272"/>
      <c r="AA43" s="272"/>
      <c r="AB43" s="272"/>
      <c r="AC43" s="272"/>
      <c r="AD43" s="272"/>
      <c r="AE43" s="272"/>
      <c r="AF43" s="272"/>
      <c r="AG43" s="272"/>
      <c r="AH43" s="272"/>
      <c r="AI43" s="272"/>
      <c r="AJ43" s="272"/>
      <c r="AK43" s="272"/>
      <c r="AL43" s="272"/>
      <c r="AM43" s="272"/>
      <c r="AN43" s="272"/>
      <c r="AO43" s="272"/>
      <c r="AP43" s="272"/>
    </row>
    <row r="44" spans="1:138" ht="18" customHeight="1" x14ac:dyDescent="0.2">
      <c r="B44" s="232" t="s">
        <v>376</v>
      </c>
      <c r="C44" s="203" t="e">
        <f>((F$25*F$27)+(G$25*G$27)+(H$25*H$27)+(I$25*I$27)+(E$25*E$27/3))/C$43</f>
        <v>#DIV/0!</v>
      </c>
      <c r="D44" s="179" t="s">
        <v>18</v>
      </c>
      <c r="F44" s="198"/>
      <c r="H44" s="194"/>
      <c r="I44" s="194"/>
      <c r="J44" s="224"/>
      <c r="K44" s="195"/>
      <c r="L44" s="195"/>
      <c r="M44" s="195"/>
      <c r="N44" s="196"/>
      <c r="O44" s="195"/>
      <c r="P44" s="195"/>
      <c r="Q44" s="195"/>
      <c r="R44" s="272"/>
      <c r="S44" s="272"/>
      <c r="T44" s="272"/>
      <c r="U44" s="272"/>
      <c r="V44" s="272"/>
      <c r="W44" s="272"/>
      <c r="X44" s="272"/>
      <c r="Y44" s="272"/>
      <c r="Z44" s="272"/>
      <c r="AA44" s="272"/>
      <c r="AB44" s="272"/>
      <c r="AC44" s="272"/>
      <c r="AD44" s="272"/>
      <c r="AE44" s="272"/>
      <c r="AF44" s="272"/>
      <c r="AG44" s="272"/>
      <c r="AH44" s="272"/>
      <c r="AI44" s="272"/>
      <c r="AJ44" s="272"/>
      <c r="AK44" s="272"/>
      <c r="AL44" s="272"/>
      <c r="AM44" s="272"/>
      <c r="AN44" s="272"/>
      <c r="AO44" s="272"/>
      <c r="AP44" s="272"/>
    </row>
    <row r="45" spans="1:138" ht="18" customHeight="1" x14ac:dyDescent="0.2">
      <c r="B45" s="232" t="s">
        <v>377</v>
      </c>
      <c r="C45" s="203" t="e">
        <f>(C44*(AVERAGE('Ev. Rebanho'!H16:J16)*30.3))</f>
        <v>#DIV/0!</v>
      </c>
      <c r="D45" s="179" t="s">
        <v>18</v>
      </c>
      <c r="F45" s="198"/>
      <c r="H45" s="194"/>
      <c r="I45" s="194"/>
      <c r="J45" s="224"/>
      <c r="K45" s="195"/>
      <c r="L45" s="195"/>
      <c r="M45" s="195"/>
      <c r="N45" s="196"/>
      <c r="O45" s="195"/>
      <c r="P45" s="195"/>
      <c r="Q45" s="195"/>
      <c r="R45" s="286"/>
      <c r="S45" s="274"/>
      <c r="T45" s="286"/>
      <c r="U45" s="274"/>
      <c r="V45" s="286"/>
      <c r="W45" s="287"/>
      <c r="X45" s="274"/>
      <c r="Y45" s="287"/>
      <c r="Z45" s="274"/>
      <c r="AA45" s="286"/>
      <c r="AB45" s="274"/>
      <c r="AC45" s="286"/>
      <c r="AD45" s="274"/>
      <c r="AE45" s="286"/>
      <c r="AF45" s="274"/>
      <c r="AG45" s="286"/>
      <c r="AH45" s="274"/>
      <c r="AI45" s="286"/>
      <c r="AJ45" s="274"/>
      <c r="AK45" s="286"/>
      <c r="AL45" s="274"/>
      <c r="AM45" s="286"/>
      <c r="AN45" s="274"/>
      <c r="AO45" s="286"/>
      <c r="AP45" s="274"/>
    </row>
    <row r="46" spans="1:138" ht="18" customHeight="1" x14ac:dyDescent="0.2">
      <c r="B46" s="232" t="s">
        <v>348</v>
      </c>
      <c r="C46" s="203" t="e">
        <f>((C44*C43)/(C40*C39))</f>
        <v>#DIV/0!</v>
      </c>
      <c r="D46" s="179" t="s">
        <v>174</v>
      </c>
      <c r="F46" s="198"/>
      <c r="H46" s="234"/>
      <c r="I46" s="234"/>
      <c r="J46" s="288"/>
      <c r="K46" s="220"/>
      <c r="L46" s="220"/>
      <c r="M46" s="220"/>
      <c r="N46" s="289"/>
      <c r="O46" s="205"/>
      <c r="P46" s="205"/>
      <c r="Q46" s="205"/>
      <c r="R46" s="243"/>
      <c r="S46" s="243"/>
      <c r="W46" s="243"/>
      <c r="X46" s="243"/>
      <c r="AA46" s="243"/>
      <c r="AB46" s="243"/>
    </row>
    <row r="47" spans="1:138" ht="18" customHeight="1" x14ac:dyDescent="0.2">
      <c r="B47" s="244" t="s">
        <v>379</v>
      </c>
      <c r="C47" s="203">
        <v>0.1</v>
      </c>
      <c r="D47" s="179" t="s">
        <v>174</v>
      </c>
      <c r="F47" s="198"/>
    </row>
    <row r="48" spans="1:138" ht="18" customHeight="1" x14ac:dyDescent="0.2">
      <c r="B48" s="244" t="s">
        <v>378</v>
      </c>
      <c r="C48" s="203" t="e">
        <f>(((F$25*F$27)+(G$25*G$27)+(H$25*H$27)+(I$25*I$27)+(E$25*E$27/3)))*30.3</f>
        <v>#DIV/0!</v>
      </c>
      <c r="D48" s="179" t="s">
        <v>18</v>
      </c>
      <c r="F48" s="198"/>
    </row>
    <row r="49" spans="2:6" ht="18" customHeight="1" x14ac:dyDescent="0.2">
      <c r="B49" s="244" t="s">
        <v>380</v>
      </c>
      <c r="C49" s="203" t="e">
        <f>((C40*C39)*C47)*30.3</f>
        <v>#DIV/0!</v>
      </c>
      <c r="D49" s="177" t="s">
        <v>18</v>
      </c>
      <c r="F49" s="198"/>
    </row>
  </sheetData>
  <sheetProtection password="8826" sheet="1" objects="1" scenarios="1"/>
  <mergeCells count="9">
    <mergeCell ref="O4:O5"/>
    <mergeCell ref="D5:E5"/>
    <mergeCell ref="F5:I5"/>
    <mergeCell ref="B29:D29"/>
    <mergeCell ref="B42:D42"/>
    <mergeCell ref="B4:B5"/>
    <mergeCell ref="C4:I4"/>
    <mergeCell ref="J4:L4"/>
    <mergeCell ref="M4:N4"/>
  </mergeCells>
  <pageMargins left="0.511811024" right="0.511811024" top="0.78740157499999996" bottom="0.78740157499999996" header="0.31496062000000002" footer="0.31496062000000002"/>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enableFormatConditionsCalculation="0">
    <tabColor theme="8" tint="0.499984740745262"/>
  </sheetPr>
  <dimension ref="A1:EH49"/>
  <sheetViews>
    <sheetView zoomScale="80" zoomScaleNormal="80" zoomScalePageLayoutView="80" workbookViewId="0">
      <selection activeCell="I34" sqref="I34"/>
    </sheetView>
  </sheetViews>
  <sheetFormatPr baseColWidth="10" defaultColWidth="12.5" defaultRowHeight="18" customHeight="1" x14ac:dyDescent="0.2"/>
  <cols>
    <col min="1" max="1" width="2.1640625" style="197" customWidth="1"/>
    <col min="2" max="2" width="37.1640625" style="197" customWidth="1"/>
    <col min="3" max="15" width="17.1640625" style="197" customWidth="1"/>
    <col min="16" max="16" width="13.33203125" style="197" customWidth="1"/>
    <col min="17" max="17" width="10.5" style="197" bestFit="1" customWidth="1"/>
    <col min="18" max="18" width="10.33203125" style="198" customWidth="1"/>
    <col min="19" max="19" width="8.5" style="198" customWidth="1"/>
    <col min="20" max="20" width="18" style="198" customWidth="1"/>
    <col min="21" max="21" width="7.33203125" style="198" customWidth="1"/>
    <col min="22" max="22" width="0.5" style="198" customWidth="1"/>
    <col min="23" max="42" width="8.33203125" style="198" customWidth="1"/>
    <col min="43" max="84" width="10.5" style="198" customWidth="1"/>
    <col min="85" max="16384" width="12.5" style="198"/>
  </cols>
  <sheetData>
    <row r="1" spans="1:42" ht="18" customHeight="1" x14ac:dyDescent="0.2">
      <c r="A1" s="598"/>
    </row>
    <row r="4" spans="1:42" ht="18" customHeight="1" x14ac:dyDescent="0.2">
      <c r="B4" s="1158" t="s">
        <v>35</v>
      </c>
      <c r="C4" s="1158" t="s">
        <v>36</v>
      </c>
      <c r="D4" s="1158"/>
      <c r="E4" s="1158"/>
      <c r="F4" s="1158"/>
      <c r="G4" s="1158"/>
      <c r="H4" s="1158"/>
      <c r="I4" s="1158"/>
      <c r="J4" s="1158" t="s">
        <v>349</v>
      </c>
      <c r="K4" s="1158"/>
      <c r="L4" s="1158"/>
      <c r="M4" s="1168" t="s">
        <v>8</v>
      </c>
      <c r="N4" s="1168"/>
      <c r="O4" s="1158" t="s">
        <v>350</v>
      </c>
      <c r="P4" s="245"/>
      <c r="Q4" s="245"/>
      <c r="R4" s="246"/>
      <c r="S4" s="246"/>
      <c r="T4" s="246"/>
      <c r="U4" s="246"/>
      <c r="V4" s="247"/>
      <c r="W4" s="248"/>
      <c r="X4" s="246"/>
      <c r="Y4" s="248"/>
      <c r="Z4" s="246"/>
      <c r="AA4" s="246"/>
      <c r="AB4" s="246"/>
      <c r="AC4" s="246"/>
      <c r="AD4" s="246"/>
      <c r="AE4" s="246"/>
      <c r="AF4" s="246"/>
      <c r="AG4" s="246"/>
      <c r="AH4" s="246"/>
      <c r="AI4" s="246"/>
      <c r="AJ4" s="246"/>
      <c r="AK4" s="246"/>
      <c r="AL4" s="246"/>
      <c r="AM4" s="246"/>
      <c r="AN4" s="246"/>
      <c r="AO4" s="246"/>
      <c r="AP4" s="246"/>
    </row>
    <row r="5" spans="1:42" ht="18" customHeight="1" x14ac:dyDescent="0.2">
      <c r="B5" s="1158"/>
      <c r="C5" s="199" t="s">
        <v>321</v>
      </c>
      <c r="D5" s="1166" t="s">
        <v>322</v>
      </c>
      <c r="E5" s="1167"/>
      <c r="F5" s="1158" t="s">
        <v>323</v>
      </c>
      <c r="G5" s="1158"/>
      <c r="H5" s="1158"/>
      <c r="I5" s="1158"/>
      <c r="J5" s="176" t="s">
        <v>324</v>
      </c>
      <c r="K5" s="176" t="s">
        <v>325</v>
      </c>
      <c r="L5" s="176" t="s">
        <v>326</v>
      </c>
      <c r="M5" s="199" t="s">
        <v>327</v>
      </c>
      <c r="N5" s="176" t="s">
        <v>325</v>
      </c>
      <c r="O5" s="1158"/>
      <c r="P5" s="198"/>
      <c r="Q5" s="245"/>
      <c r="R5" s="249"/>
      <c r="S5" s="249"/>
      <c r="T5" s="249"/>
      <c r="U5" s="249"/>
      <c r="V5" s="250"/>
      <c r="W5" s="251"/>
      <c r="X5" s="249"/>
      <c r="Y5" s="251"/>
      <c r="Z5" s="249"/>
      <c r="AA5" s="249"/>
      <c r="AB5" s="249"/>
      <c r="AC5" s="249"/>
      <c r="AD5" s="249"/>
      <c r="AE5" s="249"/>
      <c r="AF5" s="249"/>
      <c r="AG5" s="249"/>
      <c r="AH5" s="249"/>
      <c r="AI5" s="249"/>
      <c r="AJ5" s="249"/>
      <c r="AK5" s="249"/>
      <c r="AL5" s="249"/>
      <c r="AM5" s="249"/>
      <c r="AN5" s="249"/>
      <c r="AO5" s="249"/>
      <c r="AP5" s="249"/>
    </row>
    <row r="6" spans="1:42" ht="18" customHeight="1" x14ac:dyDescent="0.2">
      <c r="B6" s="199" t="s">
        <v>328</v>
      </c>
      <c r="C6" s="290" t="s">
        <v>329</v>
      </c>
      <c r="D6" s="291" t="s">
        <v>330</v>
      </c>
      <c r="E6" s="292" t="s">
        <v>331</v>
      </c>
      <c r="F6" s="292" t="s">
        <v>332</v>
      </c>
      <c r="G6" s="292" t="s">
        <v>333</v>
      </c>
      <c r="H6" s="293" t="s">
        <v>334</v>
      </c>
      <c r="I6" s="292" t="s">
        <v>335</v>
      </c>
      <c r="J6" s="292" t="s">
        <v>336</v>
      </c>
      <c r="K6" s="292" t="s">
        <v>336</v>
      </c>
      <c r="L6" s="292" t="s">
        <v>337</v>
      </c>
      <c r="M6" s="291" t="s">
        <v>338</v>
      </c>
      <c r="N6" s="292" t="s">
        <v>338</v>
      </c>
      <c r="O6" s="294" t="s">
        <v>351</v>
      </c>
      <c r="P6" s="198"/>
      <c r="Q6" s="245"/>
      <c r="R6" s="252"/>
      <c r="S6" s="252"/>
      <c r="T6" s="252"/>
      <c r="U6" s="252"/>
      <c r="V6" s="252"/>
      <c r="W6" s="253"/>
      <c r="X6" s="252"/>
      <c r="Y6" s="253"/>
      <c r="Z6" s="252"/>
      <c r="AA6" s="252"/>
      <c r="AB6" s="252"/>
      <c r="AC6" s="252"/>
      <c r="AD6" s="252"/>
      <c r="AE6" s="252"/>
      <c r="AF6" s="252"/>
      <c r="AG6" s="252"/>
      <c r="AH6" s="252"/>
      <c r="AI6" s="252"/>
      <c r="AJ6" s="252"/>
      <c r="AK6" s="252"/>
      <c r="AL6" s="252"/>
      <c r="AM6" s="252"/>
      <c r="AN6" s="252"/>
      <c r="AO6" s="252"/>
      <c r="AP6" s="252"/>
    </row>
    <row r="7" spans="1:42" ht="18" customHeight="1" x14ac:dyDescent="0.2">
      <c r="B7" s="200">
        <f>Inputs!B9</f>
        <v>0</v>
      </c>
      <c r="C7" s="201"/>
      <c r="D7" s="202"/>
      <c r="E7" s="202"/>
      <c r="F7" s="202"/>
      <c r="G7" s="202"/>
      <c r="H7" s="202"/>
      <c r="I7" s="202"/>
      <c r="J7" s="203" t="e">
        <f>((C7/100*C$22*$C$27)+(D7*$D$27)+(E7*$E$27)+(F7*$F$27)+(G7*$G$27)+(H7*$H$27)+(I7*$I$27))</f>
        <v>#DIV/0!</v>
      </c>
      <c r="K7" s="203" t="e">
        <f>J7*30</f>
        <v>#DIV/0!</v>
      </c>
      <c r="L7" s="203" t="e">
        <f>K7*12/1000</f>
        <v>#DIV/0!</v>
      </c>
      <c r="M7" s="203">
        <f>Inputs!G9</f>
        <v>0</v>
      </c>
      <c r="N7" s="177" t="e">
        <f>M7*K7</f>
        <v>#DIV/0!</v>
      </c>
      <c r="O7" s="177" t="e">
        <f t="shared" ref="O7:O21" si="0">(C$22)*C7/100</f>
        <v>#DIV/0!</v>
      </c>
      <c r="P7" s="198"/>
      <c r="Q7" s="245"/>
      <c r="R7" s="254"/>
      <c r="S7" s="255"/>
      <c r="T7" s="252"/>
      <c r="U7" s="204"/>
      <c r="V7" s="254"/>
      <c r="W7" s="256"/>
      <c r="X7" s="204"/>
      <c r="Y7" s="256"/>
      <c r="Z7" s="204"/>
      <c r="AA7" s="254"/>
      <c r="AB7" s="204"/>
      <c r="AC7" s="254"/>
      <c r="AD7" s="204"/>
      <c r="AE7" s="254"/>
      <c r="AF7" s="204"/>
      <c r="AG7" s="254"/>
      <c r="AH7" s="204"/>
      <c r="AI7" s="254"/>
      <c r="AJ7" s="204"/>
      <c r="AK7" s="254"/>
      <c r="AL7" s="204"/>
      <c r="AM7" s="254"/>
      <c r="AN7" s="204"/>
      <c r="AO7" s="254"/>
      <c r="AP7" s="204"/>
    </row>
    <row r="8" spans="1:42" ht="18" customHeight="1" x14ac:dyDescent="0.2">
      <c r="B8" s="200">
        <f>Inputs!B10</f>
        <v>0</v>
      </c>
      <c r="C8" s="201"/>
      <c r="D8" s="202"/>
      <c r="E8" s="202"/>
      <c r="F8" s="202"/>
      <c r="G8" s="202"/>
      <c r="H8" s="202"/>
      <c r="I8" s="202"/>
      <c r="J8" s="203" t="e">
        <f t="shared" ref="J8:J21" si="1">((C8/100*C$22*$C$27)+(D8*$D$27)+(E8*$E$27)+(F8*$F$27)+(G8*$G$27)+(H8*$H$27)+(I8*$I$27))</f>
        <v>#DIV/0!</v>
      </c>
      <c r="K8" s="203" t="e">
        <f>J8*30</f>
        <v>#DIV/0!</v>
      </c>
      <c r="L8" s="203" t="e">
        <f>K8*12/1000</f>
        <v>#DIV/0!</v>
      </c>
      <c r="M8" s="203">
        <f>Inputs!G10</f>
        <v>0</v>
      </c>
      <c r="N8" s="177" t="e">
        <f t="shared" ref="N8:N21" si="2">M8*K8</f>
        <v>#DIV/0!</v>
      </c>
      <c r="O8" s="177" t="e">
        <f t="shared" si="0"/>
        <v>#DIV/0!</v>
      </c>
      <c r="P8" s="198"/>
      <c r="Q8" s="245"/>
      <c r="R8" s="254"/>
      <c r="S8" s="255"/>
      <c r="T8" s="257"/>
      <c r="U8" s="204"/>
      <c r="V8" s="258"/>
      <c r="W8" s="256"/>
      <c r="X8" s="204"/>
      <c r="Y8" s="256"/>
      <c r="Z8" s="204"/>
      <c r="AA8" s="254"/>
      <c r="AB8" s="204"/>
      <c r="AC8" s="254"/>
      <c r="AD8" s="204"/>
      <c r="AE8" s="254"/>
      <c r="AF8" s="204"/>
      <c r="AG8" s="254"/>
      <c r="AH8" s="204"/>
      <c r="AI8" s="254"/>
      <c r="AJ8" s="204"/>
      <c r="AK8" s="254"/>
      <c r="AL8" s="204"/>
      <c r="AM8" s="254"/>
      <c r="AN8" s="204"/>
      <c r="AO8" s="254"/>
      <c r="AP8" s="204"/>
    </row>
    <row r="9" spans="1:42" ht="18" customHeight="1" x14ac:dyDescent="0.2">
      <c r="B9" s="200">
        <f>Inputs!B11</f>
        <v>0</v>
      </c>
      <c r="C9" s="201"/>
      <c r="D9" s="202"/>
      <c r="E9" s="202"/>
      <c r="F9" s="202"/>
      <c r="G9" s="202"/>
      <c r="H9" s="202"/>
      <c r="I9" s="202"/>
      <c r="J9" s="203" t="e">
        <f t="shared" si="1"/>
        <v>#DIV/0!</v>
      </c>
      <c r="K9" s="203" t="e">
        <f t="shared" ref="K9:K21" si="3">J9*30</f>
        <v>#DIV/0!</v>
      </c>
      <c r="L9" s="203" t="e">
        <f t="shared" ref="L9:L21" si="4">J9*365/1000</f>
        <v>#DIV/0!</v>
      </c>
      <c r="M9" s="203">
        <f>Inputs!G11</f>
        <v>0</v>
      </c>
      <c r="N9" s="177" t="e">
        <f t="shared" si="2"/>
        <v>#DIV/0!</v>
      </c>
      <c r="O9" s="177" t="e">
        <f t="shared" si="0"/>
        <v>#DIV/0!</v>
      </c>
      <c r="P9" s="198"/>
      <c r="Q9" s="205"/>
      <c r="R9" s="246"/>
      <c r="S9" s="255"/>
      <c r="T9" s="252"/>
      <c r="U9" s="204"/>
      <c r="V9" s="258"/>
      <c r="W9" s="248"/>
      <c r="X9" s="204"/>
      <c r="Y9" s="248"/>
      <c r="Z9" s="204"/>
      <c r="AA9" s="246"/>
      <c r="AB9" s="204"/>
      <c r="AC9" s="246"/>
      <c r="AD9" s="204"/>
      <c r="AE9" s="246"/>
      <c r="AF9" s="204"/>
      <c r="AG9" s="246"/>
      <c r="AH9" s="204"/>
      <c r="AI9" s="246"/>
      <c r="AJ9" s="204"/>
      <c r="AK9" s="246"/>
      <c r="AL9" s="204"/>
      <c r="AM9" s="246"/>
      <c r="AN9" s="204"/>
      <c r="AO9" s="246"/>
      <c r="AP9" s="204"/>
    </row>
    <row r="10" spans="1:42" ht="18" customHeight="1" x14ac:dyDescent="0.2">
      <c r="B10" s="200">
        <f>Inputs!B12</f>
        <v>0</v>
      </c>
      <c r="C10" s="201"/>
      <c r="D10" s="202"/>
      <c r="E10" s="202"/>
      <c r="F10" s="202"/>
      <c r="G10" s="202"/>
      <c r="H10" s="202"/>
      <c r="I10" s="202"/>
      <c r="J10" s="203" t="e">
        <f t="shared" si="1"/>
        <v>#DIV/0!</v>
      </c>
      <c r="K10" s="203" t="e">
        <f t="shared" si="3"/>
        <v>#DIV/0!</v>
      </c>
      <c r="L10" s="203" t="e">
        <f t="shared" si="4"/>
        <v>#DIV/0!</v>
      </c>
      <c r="M10" s="203">
        <f>Inputs!G12</f>
        <v>0</v>
      </c>
      <c r="N10" s="177" t="e">
        <f t="shared" si="2"/>
        <v>#DIV/0!</v>
      </c>
      <c r="O10" s="177" t="e">
        <f t="shared" si="0"/>
        <v>#DIV/0!</v>
      </c>
      <c r="P10" s="198"/>
      <c r="Q10" s="205"/>
      <c r="R10" s="249"/>
      <c r="S10" s="255"/>
      <c r="T10" s="252"/>
      <c r="U10" s="204"/>
      <c r="V10" s="258"/>
      <c r="W10" s="251"/>
      <c r="X10" s="204"/>
      <c r="Y10" s="251"/>
      <c r="Z10" s="204"/>
      <c r="AA10" s="249"/>
      <c r="AB10" s="204"/>
      <c r="AC10" s="249"/>
      <c r="AD10" s="204"/>
      <c r="AE10" s="254"/>
      <c r="AF10" s="206"/>
      <c r="AG10" s="254"/>
      <c r="AH10" s="206"/>
      <c r="AI10" s="254"/>
      <c r="AJ10" s="206"/>
      <c r="AK10" s="254"/>
      <c r="AL10" s="206"/>
      <c r="AM10" s="254"/>
      <c r="AN10" s="206"/>
      <c r="AO10" s="254"/>
      <c r="AP10" s="206"/>
    </row>
    <row r="11" spans="1:42" ht="18" customHeight="1" x14ac:dyDescent="0.2">
      <c r="B11" s="200">
        <f>Inputs!B13</f>
        <v>0</v>
      </c>
      <c r="C11" s="201"/>
      <c r="D11" s="202"/>
      <c r="E11" s="202"/>
      <c r="F11" s="202"/>
      <c r="G11" s="202"/>
      <c r="H11" s="202"/>
      <c r="I11" s="202"/>
      <c r="J11" s="203" t="e">
        <f t="shared" si="1"/>
        <v>#DIV/0!</v>
      </c>
      <c r="K11" s="203" t="e">
        <f t="shared" si="3"/>
        <v>#DIV/0!</v>
      </c>
      <c r="L11" s="203" t="e">
        <f t="shared" si="4"/>
        <v>#DIV/0!</v>
      </c>
      <c r="M11" s="203">
        <f>Inputs!G13</f>
        <v>0</v>
      </c>
      <c r="N11" s="177" t="e">
        <f t="shared" si="2"/>
        <v>#DIV/0!</v>
      </c>
      <c r="O11" s="177" t="e">
        <f t="shared" si="0"/>
        <v>#DIV/0!</v>
      </c>
      <c r="P11" s="198"/>
      <c r="Q11" s="205"/>
      <c r="R11" s="258"/>
      <c r="S11" s="255"/>
      <c r="T11" s="252"/>
      <c r="U11" s="204"/>
      <c r="V11" s="258"/>
      <c r="W11" s="259"/>
      <c r="X11" s="204"/>
      <c r="Y11" s="259"/>
      <c r="Z11" s="204"/>
      <c r="AA11" s="258"/>
      <c r="AB11" s="204"/>
      <c r="AC11" s="258"/>
      <c r="AD11" s="204"/>
      <c r="AE11" s="258"/>
      <c r="AF11" s="204"/>
      <c r="AG11" s="258"/>
      <c r="AH11" s="204"/>
      <c r="AI11" s="258"/>
      <c r="AJ11" s="204"/>
      <c r="AK11" s="258"/>
      <c r="AL11" s="204"/>
      <c r="AM11" s="258"/>
      <c r="AN11" s="204"/>
      <c r="AO11" s="258"/>
      <c r="AP11" s="204"/>
    </row>
    <row r="12" spans="1:42" ht="18" customHeight="1" x14ac:dyDescent="0.2">
      <c r="B12" s="200">
        <f>Inputs!B14</f>
        <v>0</v>
      </c>
      <c r="C12" s="201"/>
      <c r="D12" s="202"/>
      <c r="E12" s="202"/>
      <c r="F12" s="202"/>
      <c r="G12" s="202"/>
      <c r="H12" s="202"/>
      <c r="I12" s="202"/>
      <c r="J12" s="203" t="e">
        <f t="shared" si="1"/>
        <v>#DIV/0!</v>
      </c>
      <c r="K12" s="203" t="e">
        <f t="shared" si="3"/>
        <v>#DIV/0!</v>
      </c>
      <c r="L12" s="203" t="e">
        <f t="shared" si="4"/>
        <v>#DIV/0!</v>
      </c>
      <c r="M12" s="203">
        <f>Inputs!G14</f>
        <v>0</v>
      </c>
      <c r="N12" s="177" t="e">
        <f t="shared" si="2"/>
        <v>#DIV/0!</v>
      </c>
      <c r="O12" s="177" t="e">
        <f t="shared" si="0"/>
        <v>#DIV/0!</v>
      </c>
      <c r="P12" s="198"/>
      <c r="Q12" s="205"/>
      <c r="R12" s="254"/>
      <c r="S12" s="255"/>
      <c r="T12" s="252"/>
      <c r="U12" s="204"/>
      <c r="V12" s="254"/>
      <c r="W12" s="256"/>
      <c r="X12" s="254"/>
      <c r="Y12" s="256"/>
      <c r="Z12" s="254"/>
      <c r="AA12" s="254"/>
      <c r="AB12" s="254"/>
      <c r="AC12" s="254"/>
      <c r="AD12" s="254"/>
      <c r="AE12" s="254"/>
      <c r="AF12" s="254"/>
      <c r="AG12" s="254"/>
      <c r="AH12" s="254"/>
      <c r="AI12" s="254"/>
      <c r="AJ12" s="254"/>
      <c r="AK12" s="254"/>
      <c r="AL12" s="254"/>
      <c r="AM12" s="254"/>
      <c r="AN12" s="254"/>
      <c r="AO12" s="254"/>
      <c r="AP12" s="254"/>
    </row>
    <row r="13" spans="1:42" ht="18" customHeight="1" x14ac:dyDescent="0.2">
      <c r="B13" s="200">
        <f>Inputs!B15</f>
        <v>0</v>
      </c>
      <c r="C13" s="201"/>
      <c r="D13" s="202"/>
      <c r="E13" s="202"/>
      <c r="F13" s="202"/>
      <c r="G13" s="202"/>
      <c r="H13" s="202"/>
      <c r="I13" s="202"/>
      <c r="J13" s="203" t="e">
        <f t="shared" si="1"/>
        <v>#DIV/0!</v>
      </c>
      <c r="K13" s="203" t="e">
        <f t="shared" si="3"/>
        <v>#DIV/0!</v>
      </c>
      <c r="L13" s="203" t="e">
        <f t="shared" si="4"/>
        <v>#DIV/0!</v>
      </c>
      <c r="M13" s="203">
        <f>Inputs!G15</f>
        <v>0</v>
      </c>
      <c r="N13" s="177" t="e">
        <f t="shared" si="2"/>
        <v>#DIV/0!</v>
      </c>
      <c r="O13" s="177" t="e">
        <f t="shared" si="0"/>
        <v>#DIV/0!</v>
      </c>
      <c r="P13" s="198"/>
      <c r="Q13" s="205"/>
      <c r="R13" s="254"/>
      <c r="S13" s="255"/>
      <c r="T13" s="252"/>
      <c r="U13" s="204"/>
      <c r="V13" s="254"/>
      <c r="W13" s="256"/>
      <c r="X13" s="204"/>
      <c r="Y13" s="256"/>
      <c r="Z13" s="204"/>
      <c r="AA13" s="254"/>
      <c r="AB13" s="204"/>
      <c r="AC13" s="254"/>
      <c r="AD13" s="204"/>
      <c r="AE13" s="254"/>
      <c r="AF13" s="204"/>
      <c r="AG13" s="254"/>
      <c r="AH13" s="204"/>
      <c r="AI13" s="254"/>
      <c r="AJ13" s="204"/>
      <c r="AK13" s="254"/>
      <c r="AL13" s="204"/>
      <c r="AM13" s="254"/>
      <c r="AN13" s="204"/>
      <c r="AO13" s="254"/>
      <c r="AP13" s="204"/>
    </row>
    <row r="14" spans="1:42" ht="18" customHeight="1" x14ac:dyDescent="0.2">
      <c r="B14" s="200">
        <f>Inputs!B16</f>
        <v>0</v>
      </c>
      <c r="C14" s="201"/>
      <c r="D14" s="202"/>
      <c r="E14" s="202"/>
      <c r="F14" s="202"/>
      <c r="G14" s="202"/>
      <c r="H14" s="202"/>
      <c r="I14" s="202"/>
      <c r="J14" s="203" t="e">
        <f t="shared" si="1"/>
        <v>#DIV/0!</v>
      </c>
      <c r="K14" s="203" t="e">
        <f t="shared" si="3"/>
        <v>#DIV/0!</v>
      </c>
      <c r="L14" s="203" t="e">
        <f t="shared" si="4"/>
        <v>#DIV/0!</v>
      </c>
      <c r="M14" s="203">
        <f>Inputs!G16</f>
        <v>0</v>
      </c>
      <c r="N14" s="177" t="e">
        <f t="shared" si="2"/>
        <v>#DIV/0!</v>
      </c>
      <c r="O14" s="177" t="e">
        <f t="shared" si="0"/>
        <v>#DIV/0!</v>
      </c>
      <c r="P14" s="198"/>
      <c r="Q14" s="205"/>
      <c r="R14" s="260"/>
      <c r="S14" s="255"/>
      <c r="T14" s="261"/>
      <c r="U14" s="204"/>
      <c r="V14" s="260"/>
      <c r="W14" s="259"/>
      <c r="X14" s="260"/>
      <c r="Y14" s="260"/>
      <c r="Z14" s="260"/>
      <c r="AA14" s="260"/>
      <c r="AB14" s="260"/>
      <c r="AC14" s="260"/>
      <c r="AD14" s="260"/>
      <c r="AE14" s="260"/>
      <c r="AF14" s="260"/>
      <c r="AG14" s="260"/>
      <c r="AH14" s="260"/>
      <c r="AI14" s="260"/>
      <c r="AJ14" s="260"/>
      <c r="AK14" s="260"/>
      <c r="AL14" s="260"/>
      <c r="AM14" s="260"/>
      <c r="AN14" s="260"/>
      <c r="AO14" s="260"/>
      <c r="AP14" s="260"/>
    </row>
    <row r="15" spans="1:42" ht="18" customHeight="1" x14ac:dyDescent="0.2">
      <c r="B15" s="200">
        <f>Inputs!B17</f>
        <v>0</v>
      </c>
      <c r="C15" s="201"/>
      <c r="D15" s="202"/>
      <c r="E15" s="202"/>
      <c r="F15" s="202"/>
      <c r="G15" s="202"/>
      <c r="H15" s="202"/>
      <c r="I15" s="202"/>
      <c r="J15" s="203" t="e">
        <f t="shared" si="1"/>
        <v>#DIV/0!</v>
      </c>
      <c r="K15" s="203" t="e">
        <f t="shared" si="3"/>
        <v>#DIV/0!</v>
      </c>
      <c r="L15" s="203" t="e">
        <f t="shared" si="4"/>
        <v>#DIV/0!</v>
      </c>
      <c r="M15" s="203">
        <f>Inputs!G17</f>
        <v>0</v>
      </c>
      <c r="N15" s="177" t="e">
        <f t="shared" si="2"/>
        <v>#DIV/0!</v>
      </c>
      <c r="O15" s="177" t="e">
        <f t="shared" si="0"/>
        <v>#DIV/0!</v>
      </c>
      <c r="P15" s="198"/>
      <c r="Q15" s="205"/>
      <c r="R15" s="260"/>
      <c r="S15" s="255"/>
      <c r="T15" s="261"/>
      <c r="U15" s="262"/>
      <c r="V15" s="263"/>
      <c r="W15" s="259"/>
      <c r="X15" s="262"/>
      <c r="Y15" s="260"/>
      <c r="Z15" s="262"/>
      <c r="AA15" s="260"/>
      <c r="AB15" s="262"/>
      <c r="AC15" s="260"/>
      <c r="AD15" s="262"/>
      <c r="AE15" s="260"/>
      <c r="AF15" s="262"/>
      <c r="AG15" s="260"/>
      <c r="AH15" s="262"/>
      <c r="AI15" s="260"/>
      <c r="AJ15" s="262"/>
      <c r="AK15" s="260"/>
      <c r="AL15" s="262"/>
      <c r="AM15" s="260"/>
      <c r="AN15" s="262"/>
      <c r="AO15" s="260"/>
      <c r="AP15" s="262"/>
    </row>
    <row r="16" spans="1:42" ht="18" customHeight="1" x14ac:dyDescent="0.2">
      <c r="B16" s="200">
        <f>Inputs!B18</f>
        <v>0</v>
      </c>
      <c r="C16" s="201"/>
      <c r="D16" s="202"/>
      <c r="E16" s="202"/>
      <c r="F16" s="202"/>
      <c r="G16" s="202"/>
      <c r="H16" s="202"/>
      <c r="I16" s="202"/>
      <c r="J16" s="203" t="e">
        <f t="shared" si="1"/>
        <v>#DIV/0!</v>
      </c>
      <c r="K16" s="203" t="e">
        <f t="shared" si="3"/>
        <v>#DIV/0!</v>
      </c>
      <c r="L16" s="203" t="e">
        <f t="shared" si="4"/>
        <v>#DIV/0!</v>
      </c>
      <c r="M16" s="203">
        <f>Inputs!G18</f>
        <v>0</v>
      </c>
      <c r="N16" s="177" t="e">
        <f t="shared" si="2"/>
        <v>#DIV/0!</v>
      </c>
      <c r="O16" s="177" t="e">
        <f t="shared" si="0"/>
        <v>#DIV/0!</v>
      </c>
      <c r="P16" s="198"/>
      <c r="Q16" s="205"/>
      <c r="R16" s="264"/>
      <c r="S16" s="255"/>
      <c r="T16" s="265"/>
      <c r="U16" s="266"/>
      <c r="V16" s="264"/>
      <c r="W16" s="267"/>
      <c r="X16" s="266"/>
      <c r="Y16" s="264"/>
      <c r="Z16" s="266"/>
      <c r="AA16" s="264"/>
      <c r="AB16" s="266"/>
      <c r="AC16" s="264"/>
      <c r="AD16" s="266"/>
      <c r="AE16" s="264"/>
      <c r="AF16" s="266"/>
      <c r="AG16" s="264"/>
      <c r="AH16" s="266"/>
      <c r="AI16" s="264"/>
      <c r="AJ16" s="266"/>
      <c r="AK16" s="264"/>
      <c r="AL16" s="266"/>
      <c r="AM16" s="264"/>
      <c r="AN16" s="266"/>
      <c r="AO16" s="264"/>
      <c r="AP16" s="266"/>
    </row>
    <row r="17" spans="2:42" ht="18" customHeight="1" x14ac:dyDescent="0.2">
      <c r="B17" s="200">
        <f>Inputs!B19</f>
        <v>0</v>
      </c>
      <c r="C17" s="202"/>
      <c r="D17" s="202"/>
      <c r="E17" s="202"/>
      <c r="F17" s="202"/>
      <c r="G17" s="202"/>
      <c r="H17" s="202"/>
      <c r="I17" s="202"/>
      <c r="J17" s="203" t="e">
        <f t="shared" si="1"/>
        <v>#DIV/0!</v>
      </c>
      <c r="K17" s="203" t="e">
        <f t="shared" si="3"/>
        <v>#DIV/0!</v>
      </c>
      <c r="L17" s="203" t="e">
        <f t="shared" si="4"/>
        <v>#DIV/0!</v>
      </c>
      <c r="M17" s="203">
        <f>Inputs!G19</f>
        <v>0</v>
      </c>
      <c r="N17" s="177" t="e">
        <f t="shared" si="2"/>
        <v>#DIV/0!</v>
      </c>
      <c r="O17" s="177" t="e">
        <f t="shared" si="0"/>
        <v>#DIV/0!</v>
      </c>
      <c r="P17" s="198"/>
      <c r="Q17" s="205"/>
      <c r="R17" s="263"/>
      <c r="S17" s="262"/>
      <c r="T17" s="263"/>
      <c r="U17" s="262"/>
      <c r="V17" s="263"/>
      <c r="W17" s="268"/>
      <c r="X17" s="262"/>
      <c r="Y17" s="263"/>
      <c r="Z17" s="262"/>
      <c r="AA17" s="263"/>
      <c r="AB17" s="262"/>
      <c r="AC17" s="263"/>
      <c r="AD17" s="262"/>
      <c r="AE17" s="263"/>
      <c r="AF17" s="262"/>
      <c r="AG17" s="263"/>
      <c r="AH17" s="262"/>
      <c r="AI17" s="263"/>
      <c r="AJ17" s="262"/>
      <c r="AK17" s="263"/>
      <c r="AL17" s="262"/>
      <c r="AM17" s="263"/>
      <c r="AN17" s="262"/>
      <c r="AO17" s="263"/>
      <c r="AP17" s="262"/>
    </row>
    <row r="18" spans="2:42" ht="18" customHeight="1" x14ac:dyDescent="0.2">
      <c r="B18" s="200">
        <f>Inputs!B20</f>
        <v>0</v>
      </c>
      <c r="C18" s="202"/>
      <c r="D18" s="202"/>
      <c r="E18" s="202"/>
      <c r="F18" s="202"/>
      <c r="G18" s="202"/>
      <c r="H18" s="202"/>
      <c r="I18" s="202"/>
      <c r="J18" s="203" t="e">
        <f t="shared" si="1"/>
        <v>#DIV/0!</v>
      </c>
      <c r="K18" s="203" t="e">
        <f t="shared" si="3"/>
        <v>#DIV/0!</v>
      </c>
      <c r="L18" s="203" t="e">
        <f t="shared" si="4"/>
        <v>#DIV/0!</v>
      </c>
      <c r="M18" s="203">
        <f>Inputs!G20</f>
        <v>0</v>
      </c>
      <c r="N18" s="177" t="e">
        <f t="shared" si="2"/>
        <v>#DIV/0!</v>
      </c>
      <c r="O18" s="177" t="e">
        <f t="shared" si="0"/>
        <v>#DIV/0!</v>
      </c>
      <c r="P18" s="198"/>
      <c r="Q18" s="205"/>
      <c r="R18" s="263"/>
      <c r="S18" s="262"/>
      <c r="T18" s="263"/>
      <c r="U18" s="262"/>
      <c r="V18" s="263"/>
      <c r="W18" s="268"/>
      <c r="X18" s="262"/>
      <c r="Y18" s="263"/>
      <c r="Z18" s="262"/>
      <c r="AA18" s="263"/>
      <c r="AB18" s="262"/>
      <c r="AC18" s="263"/>
      <c r="AD18" s="262"/>
      <c r="AE18" s="263"/>
      <c r="AF18" s="262"/>
      <c r="AG18" s="263"/>
      <c r="AH18" s="262"/>
      <c r="AI18" s="263"/>
      <c r="AJ18" s="262"/>
      <c r="AK18" s="263"/>
      <c r="AL18" s="262"/>
      <c r="AM18" s="263"/>
      <c r="AN18" s="262"/>
      <c r="AO18" s="263"/>
      <c r="AP18" s="262"/>
    </row>
    <row r="19" spans="2:42" ht="18" customHeight="1" x14ac:dyDescent="0.2">
      <c r="B19" s="200">
        <f>Inputs!B21</f>
        <v>0</v>
      </c>
      <c r="C19" s="202"/>
      <c r="D19" s="202"/>
      <c r="E19" s="202"/>
      <c r="F19" s="202"/>
      <c r="G19" s="202"/>
      <c r="H19" s="202"/>
      <c r="I19" s="202"/>
      <c r="J19" s="203" t="e">
        <f t="shared" si="1"/>
        <v>#DIV/0!</v>
      </c>
      <c r="K19" s="203" t="e">
        <f>J19*30</f>
        <v>#DIV/0!</v>
      </c>
      <c r="L19" s="203" t="e">
        <f t="shared" si="4"/>
        <v>#DIV/0!</v>
      </c>
      <c r="M19" s="203">
        <f>Inputs!G21</f>
        <v>0</v>
      </c>
      <c r="N19" s="177" t="e">
        <f t="shared" si="2"/>
        <v>#DIV/0!</v>
      </c>
      <c r="O19" s="177" t="e">
        <f t="shared" si="0"/>
        <v>#DIV/0!</v>
      </c>
      <c r="P19" s="198"/>
      <c r="Q19" s="205"/>
      <c r="R19" s="263"/>
      <c r="S19" s="262"/>
      <c r="T19" s="263"/>
      <c r="U19" s="262"/>
      <c r="V19" s="263"/>
      <c r="W19" s="268"/>
      <c r="X19" s="262"/>
      <c r="Y19" s="263"/>
      <c r="Z19" s="262"/>
      <c r="AA19" s="263"/>
      <c r="AB19" s="262"/>
      <c r="AC19" s="263"/>
      <c r="AD19" s="262"/>
      <c r="AE19" s="263"/>
      <c r="AF19" s="262"/>
      <c r="AG19" s="263"/>
      <c r="AH19" s="262"/>
      <c r="AI19" s="263"/>
      <c r="AJ19" s="262"/>
      <c r="AK19" s="263"/>
      <c r="AL19" s="262"/>
      <c r="AM19" s="263"/>
      <c r="AN19" s="262"/>
      <c r="AO19" s="263"/>
      <c r="AP19" s="262"/>
    </row>
    <row r="20" spans="2:42" ht="18" customHeight="1" x14ac:dyDescent="0.2">
      <c r="B20" s="200">
        <f>Inputs!B22</f>
        <v>0</v>
      </c>
      <c r="C20" s="202"/>
      <c r="D20" s="202"/>
      <c r="E20" s="202"/>
      <c r="F20" s="202"/>
      <c r="G20" s="202"/>
      <c r="H20" s="202"/>
      <c r="I20" s="202"/>
      <c r="J20" s="203" t="e">
        <f t="shared" si="1"/>
        <v>#DIV/0!</v>
      </c>
      <c r="K20" s="203" t="e">
        <f t="shared" si="3"/>
        <v>#DIV/0!</v>
      </c>
      <c r="L20" s="203" t="e">
        <f t="shared" si="4"/>
        <v>#DIV/0!</v>
      </c>
      <c r="M20" s="203">
        <f>Inputs!G22</f>
        <v>0</v>
      </c>
      <c r="N20" s="177" t="e">
        <f t="shared" si="2"/>
        <v>#DIV/0!</v>
      </c>
      <c r="O20" s="177" t="e">
        <f t="shared" si="0"/>
        <v>#DIV/0!</v>
      </c>
      <c r="P20" s="198"/>
      <c r="Q20" s="205"/>
      <c r="R20" s="263"/>
      <c r="S20" s="262"/>
      <c r="T20" s="263"/>
      <c r="U20" s="262"/>
      <c r="V20" s="263"/>
      <c r="W20" s="268"/>
      <c r="X20" s="262"/>
      <c r="Y20" s="263"/>
      <c r="Z20" s="262"/>
      <c r="AA20" s="263"/>
      <c r="AB20" s="262"/>
      <c r="AC20" s="263"/>
      <c r="AD20" s="262"/>
      <c r="AE20" s="263"/>
      <c r="AF20" s="262"/>
      <c r="AG20" s="263"/>
      <c r="AH20" s="262"/>
      <c r="AI20" s="263"/>
      <c r="AJ20" s="262"/>
      <c r="AK20" s="263"/>
      <c r="AL20" s="262"/>
      <c r="AM20" s="263"/>
      <c r="AN20" s="262"/>
      <c r="AO20" s="263"/>
      <c r="AP20" s="262"/>
    </row>
    <row r="21" spans="2:42" ht="18" customHeight="1" x14ac:dyDescent="0.2">
      <c r="B21" s="207">
        <f>Inputs!B23</f>
        <v>0</v>
      </c>
      <c r="C21" s="208"/>
      <c r="D21" s="208"/>
      <c r="E21" s="208"/>
      <c r="F21" s="208"/>
      <c r="G21" s="208"/>
      <c r="H21" s="208"/>
      <c r="I21" s="208"/>
      <c r="J21" s="203" t="e">
        <f t="shared" si="1"/>
        <v>#DIV/0!</v>
      </c>
      <c r="K21" s="203" t="e">
        <f t="shared" si="3"/>
        <v>#DIV/0!</v>
      </c>
      <c r="L21" s="203" t="e">
        <f t="shared" si="4"/>
        <v>#DIV/0!</v>
      </c>
      <c r="M21" s="203">
        <f>Inputs!G23</f>
        <v>0</v>
      </c>
      <c r="N21" s="177" t="e">
        <f t="shared" si="2"/>
        <v>#DIV/0!</v>
      </c>
      <c r="O21" s="177" t="e">
        <f t="shared" si="0"/>
        <v>#DIV/0!</v>
      </c>
      <c r="P21" s="198"/>
      <c r="Q21" s="205"/>
      <c r="R21" s="263"/>
      <c r="S21" s="262"/>
      <c r="T21" s="263"/>
      <c r="U21" s="262"/>
      <c r="V21" s="263"/>
      <c r="W21" s="268"/>
      <c r="X21" s="262"/>
      <c r="Y21" s="263"/>
      <c r="Z21" s="262"/>
      <c r="AA21" s="263"/>
      <c r="AB21" s="262"/>
      <c r="AC21" s="263"/>
      <c r="AD21" s="262"/>
      <c r="AE21" s="263"/>
      <c r="AF21" s="262"/>
      <c r="AG21" s="263"/>
      <c r="AH21" s="262"/>
      <c r="AI21" s="263"/>
      <c r="AJ21" s="262"/>
      <c r="AK21" s="263"/>
      <c r="AL21" s="262"/>
      <c r="AM21" s="263"/>
      <c r="AN21" s="262"/>
      <c r="AO21" s="263"/>
      <c r="AP21" s="262"/>
    </row>
    <row r="22" spans="2:42" ht="18" customHeight="1" x14ac:dyDescent="0.2">
      <c r="B22" s="210" t="s">
        <v>339</v>
      </c>
      <c r="C22" s="182" t="e">
        <f>(O29+(0.3*C31))/C23</f>
        <v>#DIV/0!</v>
      </c>
      <c r="D22" s="211">
        <f t="shared" ref="D22:I22" si="5">SUM(D6:D21)</f>
        <v>0</v>
      </c>
      <c r="E22" s="211">
        <f t="shared" si="5"/>
        <v>0</v>
      </c>
      <c r="F22" s="211">
        <f t="shared" si="5"/>
        <v>0</v>
      </c>
      <c r="G22" s="211">
        <f t="shared" si="5"/>
        <v>0</v>
      </c>
      <c r="H22" s="211">
        <f t="shared" si="5"/>
        <v>0</v>
      </c>
      <c r="I22" s="211">
        <f t="shared" si="5"/>
        <v>0</v>
      </c>
      <c r="J22" s="211" t="e">
        <f>SUM(J7:J21)</f>
        <v>#DIV/0!</v>
      </c>
      <c r="K22" s="212"/>
      <c r="L22" s="212"/>
      <c r="M22" s="213"/>
      <c r="N22" s="189"/>
      <c r="O22" s="182" t="e">
        <f>SUM(O7:O21)</f>
        <v>#DIV/0!</v>
      </c>
      <c r="P22" s="198"/>
      <c r="Q22" s="205"/>
      <c r="R22" s="263"/>
      <c r="S22" s="262"/>
      <c r="T22" s="263"/>
      <c r="U22" s="262"/>
      <c r="V22" s="263"/>
      <c r="W22" s="268"/>
      <c r="X22" s="262"/>
      <c r="Y22" s="263"/>
      <c r="Z22" s="262"/>
      <c r="AA22" s="263"/>
      <c r="AB22" s="262"/>
      <c r="AC22" s="263"/>
      <c r="AD22" s="262"/>
      <c r="AE22" s="263"/>
      <c r="AF22" s="262"/>
      <c r="AG22" s="263"/>
      <c r="AH22" s="262"/>
      <c r="AI22" s="263"/>
      <c r="AJ22" s="262"/>
      <c r="AK22" s="263"/>
      <c r="AL22" s="262"/>
      <c r="AM22" s="263"/>
      <c r="AN22" s="262"/>
      <c r="AO22" s="263"/>
      <c r="AP22" s="262"/>
    </row>
    <row r="23" spans="2:42" ht="18" customHeight="1" x14ac:dyDescent="0.2">
      <c r="B23" s="214" t="s">
        <v>340</v>
      </c>
      <c r="C23" s="215"/>
      <c r="D23" s="216"/>
      <c r="E23" s="216"/>
      <c r="F23" s="216"/>
      <c r="G23" s="216"/>
      <c r="H23" s="216"/>
      <c r="I23" s="216"/>
      <c r="J23" s="217"/>
      <c r="K23" s="218"/>
      <c r="L23" s="219"/>
      <c r="M23" s="220"/>
      <c r="N23" s="221"/>
      <c r="O23" s="205"/>
      <c r="P23" s="205"/>
      <c r="Q23" s="205"/>
      <c r="R23" s="263"/>
      <c r="S23" s="262"/>
      <c r="T23" s="263"/>
      <c r="U23" s="262"/>
      <c r="V23" s="263"/>
      <c r="W23" s="268"/>
      <c r="X23" s="262"/>
      <c r="Y23" s="263"/>
      <c r="Z23" s="262"/>
      <c r="AA23" s="263"/>
      <c r="AB23" s="262"/>
      <c r="AC23" s="263"/>
      <c r="AD23" s="262"/>
      <c r="AE23" s="263"/>
      <c r="AF23" s="262"/>
      <c r="AG23" s="263"/>
      <c r="AH23" s="262"/>
      <c r="AI23" s="263"/>
      <c r="AJ23" s="262"/>
      <c r="AK23" s="263"/>
      <c r="AL23" s="262"/>
      <c r="AM23" s="263"/>
      <c r="AN23" s="262"/>
      <c r="AO23" s="263"/>
      <c r="AP23" s="262"/>
    </row>
    <row r="24" spans="2:42" ht="18" customHeight="1" x14ac:dyDescent="0.2">
      <c r="B24" s="214" t="s">
        <v>341</v>
      </c>
      <c r="C24" s="222">
        <f>SUM(C7:C21)</f>
        <v>0</v>
      </c>
      <c r="D24" s="223"/>
      <c r="E24" s="193"/>
      <c r="F24" s="193"/>
      <c r="G24" s="193"/>
      <c r="H24" s="193"/>
      <c r="I24" s="193"/>
      <c r="J24" s="224"/>
      <c r="K24" s="195"/>
      <c r="L24" s="195"/>
      <c r="M24" s="220"/>
      <c r="N24" s="221"/>
      <c r="O24" s="205"/>
      <c r="P24" s="205"/>
      <c r="Q24" s="205"/>
      <c r="R24" s="263"/>
      <c r="S24" s="262"/>
      <c r="T24" s="263"/>
      <c r="U24" s="262"/>
      <c r="V24" s="263"/>
      <c r="W24" s="268"/>
      <c r="X24" s="262"/>
      <c r="Y24" s="263"/>
      <c r="Z24" s="262"/>
      <c r="AA24" s="263"/>
      <c r="AB24" s="262"/>
      <c r="AC24" s="263"/>
      <c r="AD24" s="262"/>
      <c r="AE24" s="263"/>
      <c r="AF24" s="262"/>
      <c r="AG24" s="263"/>
      <c r="AH24" s="262"/>
      <c r="AI24" s="263"/>
      <c r="AJ24" s="262"/>
      <c r="AK24" s="263"/>
      <c r="AL24" s="262"/>
      <c r="AM24" s="263"/>
      <c r="AN24" s="262"/>
      <c r="AO24" s="263"/>
      <c r="AP24" s="262"/>
    </row>
    <row r="25" spans="2:42" ht="18" customHeight="1" x14ac:dyDescent="0.2">
      <c r="B25" s="225" t="s">
        <v>342</v>
      </c>
      <c r="C25" s="226" t="e">
        <f>(C7/100)*C22*$M$7+(C8/100)*C22*$M$8+(C9/100)*C22*$M$9+(C10/100)*C22*$M$10+(C11/100)*C22*$M$11+(C12/100)*C22*$M$12+(C13/100)*C22*$M$13+(C14/100)*C22*$M$14+(C15/100)*C22*$M$15+(C16/100)*C22*$M$16+(C17/100)*C22*$M$17+(C18/100)*C22*$M$18+(C19/100)*C22*$M$19+(C20/100)*C22*$M$20+(C21/100)*C22*$M$21</f>
        <v>#DIV/0!</v>
      </c>
      <c r="D25" s="226">
        <f t="shared" ref="D25:I25" si="6">D7*$M$7+D8*$M$8+D9*$M$9+D10*$M$10+D11*$M$11+D12*$M$12+D13*$M$13+D14*$M$14+D15*$M$15+D16*$M$16+D17*$M$17+D18*$M$18+D19*$M$19+D20*$M$20+D21*$M$21</f>
        <v>0</v>
      </c>
      <c r="E25" s="226">
        <f t="shared" si="6"/>
        <v>0</v>
      </c>
      <c r="F25" s="226">
        <f>F7*$M$7+F8*$M$8+F9*$M$9+F10*$M$10+F11*$M$11+F12*$M$12+F13*$M$13+F14*$M$14+F15*$M$15+F16*$M$16+F17*$M$17+F18*$M$18+F19*$M$19+F20*$M$20+F21*$M$21</f>
        <v>0</v>
      </c>
      <c r="G25" s="226">
        <f t="shared" si="6"/>
        <v>0</v>
      </c>
      <c r="H25" s="226">
        <f t="shared" si="6"/>
        <v>0</v>
      </c>
      <c r="I25" s="226">
        <f t="shared" si="6"/>
        <v>0</v>
      </c>
      <c r="J25" s="224"/>
      <c r="K25" s="195"/>
      <c r="L25" s="195"/>
      <c r="M25" s="227"/>
      <c r="N25" s="228"/>
      <c r="O25" s="205"/>
      <c r="P25" s="205"/>
      <c r="Q25" s="205"/>
      <c r="R25" s="263"/>
      <c r="S25" s="262"/>
      <c r="T25" s="263"/>
      <c r="U25" s="262"/>
      <c r="V25" s="263"/>
      <c r="W25" s="268"/>
      <c r="X25" s="262"/>
      <c r="Y25" s="263"/>
      <c r="Z25" s="262"/>
      <c r="AA25" s="263"/>
      <c r="AB25" s="262"/>
      <c r="AC25" s="263"/>
      <c r="AD25" s="262"/>
      <c r="AE25" s="263"/>
      <c r="AF25" s="262"/>
      <c r="AG25" s="263"/>
      <c r="AH25" s="262"/>
      <c r="AI25" s="263"/>
      <c r="AJ25" s="262"/>
      <c r="AK25" s="263"/>
      <c r="AL25" s="262"/>
      <c r="AM25" s="263"/>
      <c r="AN25" s="262"/>
      <c r="AO25" s="263"/>
      <c r="AP25" s="262"/>
    </row>
    <row r="26" spans="2:42" ht="18" customHeight="1" x14ac:dyDescent="0.2">
      <c r="B26" s="205"/>
      <c r="C26" s="223"/>
      <c r="D26" s="223"/>
      <c r="E26" s="193"/>
      <c r="F26" s="193"/>
      <c r="G26" s="193"/>
      <c r="H26" s="193"/>
      <c r="I26" s="193"/>
      <c r="J26" s="224"/>
      <c r="K26" s="195"/>
      <c r="L26" s="195"/>
      <c r="M26" s="220"/>
      <c r="N26" s="388"/>
      <c r="O26" s="386"/>
      <c r="P26" s="386"/>
      <c r="Q26" s="205"/>
      <c r="R26" s="263"/>
      <c r="S26" s="262"/>
      <c r="T26" s="263"/>
      <c r="U26" s="262"/>
      <c r="V26" s="263"/>
      <c r="W26" s="268"/>
      <c r="X26" s="262"/>
      <c r="Y26" s="263"/>
      <c r="Z26" s="262"/>
      <c r="AA26" s="263"/>
      <c r="AB26" s="262"/>
      <c r="AC26" s="263"/>
      <c r="AD26" s="262"/>
      <c r="AE26" s="263"/>
      <c r="AF26" s="262"/>
      <c r="AG26" s="263"/>
      <c r="AH26" s="262"/>
      <c r="AI26" s="263"/>
      <c r="AJ26" s="262"/>
      <c r="AK26" s="263"/>
      <c r="AL26" s="262"/>
      <c r="AM26" s="263"/>
      <c r="AN26" s="262"/>
      <c r="AO26" s="263"/>
      <c r="AP26" s="262"/>
    </row>
    <row r="27" spans="2:42" ht="18" customHeight="1" x14ac:dyDescent="0.2">
      <c r="B27" s="225" t="s">
        <v>343</v>
      </c>
      <c r="C27" s="229" t="e">
        <f>AVERAGE('Ev. Rebanho'!K30:M30)</f>
        <v>#DIV/0!</v>
      </c>
      <c r="D27" s="229" t="e">
        <f>(((SUM('Ev. Rebanho'!K31:M31))-(SUM('Ev. Rebanho'!K30:M30)))/3)/2</f>
        <v>#DIV/0!</v>
      </c>
      <c r="E27" s="229" t="e">
        <f>D27+((SUM('Ev. Rebanho'!K24:M24)/3))</f>
        <v>#DIV/0!</v>
      </c>
      <c r="F27" s="229" t="e">
        <f>(((SUM('Ev. Rebanho'!K36:M36)/3)/((SUM('Ev. Rebanho'!K16:M16))/3))*3)</f>
        <v>#DIV/0!</v>
      </c>
      <c r="G27" s="229" t="e">
        <f>(F27/3)*4</f>
        <v>#DIV/0!</v>
      </c>
      <c r="H27" s="229" t="e">
        <f>(F27/3)*8</f>
        <v>#DIV/0!</v>
      </c>
      <c r="I27" s="229" t="e">
        <f>(F27/3)*(((SUM('Ev. Rebanho'!K16:M16)/3)-16))</f>
        <v>#DIV/0!</v>
      </c>
      <c r="J27" s="224"/>
      <c r="K27" s="198"/>
      <c r="L27" s="198"/>
      <c r="M27" s="198"/>
      <c r="N27" s="387"/>
      <c r="O27" s="386"/>
      <c r="P27" s="386"/>
      <c r="Q27" s="198"/>
      <c r="U27" s="266"/>
      <c r="V27" s="264"/>
      <c r="W27" s="268"/>
      <c r="X27" s="266"/>
      <c r="Y27" s="263"/>
      <c r="Z27" s="266"/>
      <c r="AA27" s="263"/>
      <c r="AB27" s="266"/>
      <c r="AC27" s="263"/>
      <c r="AD27" s="266"/>
      <c r="AE27" s="263"/>
      <c r="AF27" s="266"/>
      <c r="AG27" s="263"/>
      <c r="AH27" s="266"/>
      <c r="AI27" s="263"/>
      <c r="AJ27" s="266"/>
      <c r="AK27" s="263"/>
      <c r="AL27" s="266"/>
      <c r="AM27" s="263"/>
      <c r="AN27" s="266"/>
      <c r="AO27" s="263"/>
      <c r="AP27" s="266"/>
    </row>
    <row r="28" spans="2:42" ht="18" customHeight="1" x14ac:dyDescent="0.2">
      <c r="J28" s="224"/>
      <c r="K28" s="198"/>
      <c r="L28" s="198"/>
      <c r="M28" s="198"/>
      <c r="N28" s="387"/>
      <c r="O28" s="386"/>
      <c r="P28" s="386"/>
      <c r="Q28" s="198"/>
      <c r="U28" s="266"/>
      <c r="V28" s="264"/>
      <c r="W28" s="268"/>
      <c r="X28" s="266"/>
      <c r="Y28" s="263"/>
      <c r="Z28" s="266"/>
      <c r="AA28" s="263"/>
      <c r="AB28" s="266"/>
      <c r="AC28" s="263"/>
      <c r="AD28" s="266"/>
      <c r="AE28" s="263"/>
      <c r="AF28" s="266"/>
      <c r="AG28" s="263"/>
      <c r="AH28" s="266"/>
      <c r="AI28" s="263"/>
      <c r="AJ28" s="266"/>
      <c r="AK28" s="263"/>
      <c r="AL28" s="266"/>
      <c r="AM28" s="263"/>
      <c r="AN28" s="266"/>
      <c r="AO28" s="263"/>
      <c r="AP28" s="266"/>
    </row>
    <row r="29" spans="2:42" ht="18" customHeight="1" x14ac:dyDescent="0.2">
      <c r="B29" s="1158" t="s">
        <v>352</v>
      </c>
      <c r="C29" s="1158"/>
      <c r="D29" s="1158"/>
      <c r="J29" s="224"/>
      <c r="K29" s="198"/>
      <c r="L29" s="198"/>
      <c r="M29" s="198"/>
      <c r="N29" s="387"/>
      <c r="O29" s="387">
        <f>POWER('Input Zootecnico atual'!C12,0.75)*0.0968</f>
        <v>0</v>
      </c>
      <c r="P29" s="386"/>
      <c r="Q29" s="198"/>
      <c r="U29" s="266"/>
      <c r="V29" s="264"/>
      <c r="W29" s="268"/>
      <c r="X29" s="266"/>
      <c r="Y29" s="263"/>
      <c r="Z29" s="266"/>
      <c r="AA29" s="263"/>
      <c r="AB29" s="266"/>
      <c r="AC29" s="263"/>
      <c r="AD29" s="266"/>
      <c r="AE29" s="263"/>
      <c r="AF29" s="266"/>
      <c r="AG29" s="263"/>
      <c r="AH29" s="266"/>
      <c r="AI29" s="263"/>
      <c r="AJ29" s="266"/>
      <c r="AK29" s="263"/>
      <c r="AL29" s="266"/>
      <c r="AM29" s="263"/>
      <c r="AN29" s="266"/>
      <c r="AO29" s="263"/>
      <c r="AP29" s="266"/>
    </row>
    <row r="30" spans="2:42" ht="18" customHeight="1" x14ac:dyDescent="0.2">
      <c r="B30" s="176" t="s">
        <v>35</v>
      </c>
      <c r="C30" s="231" t="s">
        <v>36</v>
      </c>
      <c r="D30" s="230" t="s">
        <v>353</v>
      </c>
      <c r="E30" s="220"/>
      <c r="F30" s="198"/>
      <c r="G30" s="220"/>
      <c r="H30" s="220"/>
      <c r="I30" s="220"/>
      <c r="J30" s="224"/>
      <c r="K30" s="198"/>
      <c r="L30" s="198"/>
      <c r="M30" s="198"/>
      <c r="N30" s="387"/>
      <c r="O30" s="386"/>
      <c r="P30" s="386"/>
      <c r="Q30" s="198"/>
      <c r="U30" s="262"/>
      <c r="V30" s="263"/>
      <c r="W30" s="268"/>
      <c r="X30" s="262"/>
      <c r="Y30" s="263"/>
      <c r="Z30" s="262"/>
      <c r="AA30" s="263"/>
      <c r="AB30" s="262"/>
      <c r="AC30" s="263"/>
      <c r="AD30" s="262"/>
      <c r="AE30" s="263"/>
      <c r="AF30" s="262"/>
      <c r="AG30" s="263"/>
      <c r="AH30" s="262"/>
      <c r="AI30" s="263"/>
      <c r="AJ30" s="262"/>
      <c r="AK30" s="263"/>
      <c r="AL30" s="262"/>
      <c r="AM30" s="263"/>
      <c r="AN30" s="262"/>
      <c r="AO30" s="263"/>
      <c r="AP30" s="262"/>
    </row>
    <row r="31" spans="2:42" ht="18" customHeight="1" x14ac:dyDescent="0.2">
      <c r="B31" s="232" t="s">
        <v>368</v>
      </c>
      <c r="C31" s="203" t="e">
        <f>AVERAGE('Ev. Rebanho'!K33:L33)</f>
        <v>#DIV/0!</v>
      </c>
      <c r="D31" s="179" t="s">
        <v>354</v>
      </c>
      <c r="E31" s="198"/>
      <c r="F31" s="198"/>
      <c r="G31" s="198"/>
      <c r="H31" s="198"/>
      <c r="I31" s="198"/>
      <c r="J31" s="198"/>
      <c r="K31" s="198"/>
      <c r="L31" s="198"/>
      <c r="M31" s="198"/>
      <c r="N31" s="387"/>
      <c r="O31" s="386"/>
      <c r="P31" s="386"/>
      <c r="Q31" s="269"/>
      <c r="R31" s="254"/>
      <c r="S31" s="254"/>
      <c r="T31" s="254"/>
      <c r="U31" s="254"/>
      <c r="V31" s="246"/>
      <c r="W31" s="256"/>
      <c r="X31" s="254"/>
      <c r="Y31" s="256"/>
      <c r="Z31" s="254"/>
      <c r="AA31" s="254"/>
      <c r="AB31" s="254"/>
      <c r="AC31" s="254"/>
      <c r="AD31" s="254"/>
      <c r="AE31" s="254"/>
      <c r="AF31" s="254"/>
      <c r="AG31" s="254"/>
      <c r="AH31" s="254"/>
      <c r="AI31" s="254"/>
      <c r="AJ31" s="254"/>
      <c r="AK31" s="254"/>
      <c r="AL31" s="254"/>
      <c r="AM31" s="254"/>
      <c r="AN31" s="254"/>
      <c r="AO31" s="254"/>
      <c r="AP31" s="254"/>
    </row>
    <row r="32" spans="2:42" ht="18" customHeight="1" x14ac:dyDescent="0.2">
      <c r="B32" s="232" t="s">
        <v>367</v>
      </c>
      <c r="C32" s="203" t="e">
        <f>C31*$C$39*C27</f>
        <v>#DIV/0!</v>
      </c>
      <c r="D32" s="179" t="s">
        <v>355</v>
      </c>
      <c r="E32" s="198"/>
      <c r="F32" s="198"/>
      <c r="G32" s="198"/>
      <c r="H32" s="195"/>
      <c r="I32" s="198"/>
      <c r="J32" s="198"/>
      <c r="K32" s="198"/>
      <c r="L32" s="198"/>
      <c r="M32" s="198"/>
      <c r="N32" s="198"/>
      <c r="O32" s="205"/>
      <c r="P32" s="221"/>
      <c r="Q32" s="245"/>
      <c r="R32" s="270"/>
      <c r="S32" s="262"/>
      <c r="T32" s="270"/>
      <c r="U32" s="262"/>
      <c r="V32" s="260"/>
      <c r="W32" s="251"/>
      <c r="X32" s="262"/>
      <c r="Y32" s="270"/>
      <c r="Z32" s="262"/>
      <c r="AA32" s="270"/>
      <c r="AB32" s="262"/>
      <c r="AC32" s="270"/>
      <c r="AD32" s="262"/>
      <c r="AE32" s="270"/>
      <c r="AF32" s="262"/>
      <c r="AG32" s="270"/>
      <c r="AH32" s="262"/>
      <c r="AI32" s="270"/>
      <c r="AJ32" s="262"/>
      <c r="AK32" s="270"/>
      <c r="AL32" s="262"/>
      <c r="AM32" s="270"/>
      <c r="AN32" s="262"/>
      <c r="AO32" s="270"/>
      <c r="AP32" s="262"/>
    </row>
    <row r="33" spans="1:138" ht="18" customHeight="1" x14ac:dyDescent="0.2">
      <c r="B33" s="232" t="s">
        <v>369</v>
      </c>
      <c r="C33" s="203" t="e">
        <f>C32-(C27*C25)</f>
        <v>#DIV/0!</v>
      </c>
      <c r="D33" s="179" t="s">
        <v>355</v>
      </c>
      <c r="E33" s="198"/>
      <c r="F33" s="198"/>
      <c r="G33" s="198"/>
      <c r="H33" s="198"/>
      <c r="I33" s="198"/>
      <c r="J33" s="198"/>
      <c r="K33" s="195"/>
      <c r="L33" s="195"/>
      <c r="M33" s="195"/>
      <c r="N33" s="195"/>
      <c r="O33" s="205"/>
      <c r="P33" s="221"/>
      <c r="Q33" s="245"/>
      <c r="R33" s="270"/>
      <c r="S33" s="262"/>
      <c r="T33" s="270"/>
      <c r="U33" s="262"/>
      <c r="V33" s="259"/>
      <c r="W33" s="251"/>
      <c r="X33" s="262"/>
      <c r="Y33" s="270"/>
      <c r="Z33" s="262"/>
      <c r="AA33" s="270"/>
      <c r="AB33" s="262"/>
      <c r="AC33" s="270"/>
      <c r="AD33" s="262"/>
      <c r="AE33" s="270"/>
      <c r="AF33" s="262"/>
      <c r="AG33" s="270"/>
      <c r="AH33" s="262"/>
      <c r="AI33" s="270"/>
      <c r="AJ33" s="262"/>
      <c r="AK33" s="270"/>
      <c r="AL33" s="262"/>
      <c r="AM33" s="270"/>
      <c r="AN33" s="262"/>
      <c r="AO33" s="270"/>
      <c r="AP33" s="262"/>
    </row>
    <row r="34" spans="1:138" ht="18" customHeight="1" x14ac:dyDescent="0.2">
      <c r="B34" s="232" t="s">
        <v>347</v>
      </c>
      <c r="C34" s="203" t="e">
        <f>(((C31/1.033)*0.985)*$C$39)-C25</f>
        <v>#DIV/0!</v>
      </c>
      <c r="D34" s="179" t="s">
        <v>356</v>
      </c>
      <c r="E34" s="198"/>
      <c r="F34" s="198"/>
      <c r="G34" s="198"/>
      <c r="H34" s="233"/>
      <c r="I34" s="198"/>
      <c r="J34" s="198"/>
      <c r="K34" s="195"/>
      <c r="L34" s="195"/>
      <c r="M34" s="195"/>
      <c r="N34" s="195"/>
      <c r="O34" s="205"/>
      <c r="P34" s="205"/>
      <c r="Q34" s="205"/>
      <c r="R34" s="254"/>
      <c r="S34" s="271"/>
      <c r="T34" s="254"/>
      <c r="U34" s="271"/>
      <c r="V34" s="246"/>
      <c r="W34" s="256"/>
      <c r="X34" s="271"/>
      <c r="Y34" s="256"/>
      <c r="Z34" s="271"/>
      <c r="AA34" s="254"/>
      <c r="AB34" s="271"/>
      <c r="AC34" s="254"/>
      <c r="AD34" s="271"/>
      <c r="AE34" s="254"/>
      <c r="AF34" s="271"/>
      <c r="AG34" s="254"/>
      <c r="AH34" s="271"/>
      <c r="AI34" s="254"/>
      <c r="AJ34" s="271"/>
      <c r="AK34" s="254"/>
      <c r="AL34" s="271"/>
      <c r="AM34" s="254"/>
      <c r="AN34" s="271"/>
      <c r="AO34" s="254"/>
      <c r="AP34" s="271"/>
    </row>
    <row r="35" spans="1:138" ht="18" customHeight="1" x14ac:dyDescent="0.2">
      <c r="B35" s="232" t="s">
        <v>370</v>
      </c>
      <c r="C35" s="203" t="e">
        <f>C25*100/C31</f>
        <v>#DIV/0!</v>
      </c>
      <c r="D35" s="179" t="s">
        <v>18</v>
      </c>
      <c r="E35" s="198"/>
      <c r="F35" s="198"/>
      <c r="G35" s="198"/>
      <c r="H35" s="198"/>
      <c r="I35" s="198"/>
      <c r="J35" s="198"/>
      <c r="K35" s="220"/>
      <c r="L35" s="234" t="s">
        <v>345</v>
      </c>
      <c r="M35" s="198"/>
      <c r="N35" s="198"/>
      <c r="O35" s="195"/>
      <c r="P35" s="195"/>
      <c r="Q35" s="195"/>
      <c r="R35" s="272"/>
      <c r="S35" s="272"/>
      <c r="T35" s="272"/>
      <c r="U35" s="272"/>
      <c r="V35" s="272"/>
      <c r="W35" s="272"/>
      <c r="X35" s="272"/>
      <c r="Y35" s="272"/>
      <c r="Z35" s="272"/>
      <c r="AA35" s="272"/>
      <c r="AB35" s="272"/>
      <c r="AC35" s="272"/>
      <c r="AD35" s="272"/>
      <c r="AE35" s="272"/>
      <c r="AF35" s="272"/>
      <c r="AG35" s="272"/>
      <c r="AH35" s="272"/>
      <c r="AI35" s="272"/>
      <c r="AJ35" s="272"/>
      <c r="AK35" s="272"/>
      <c r="AL35" s="272"/>
      <c r="AM35" s="272"/>
      <c r="AN35" s="272"/>
      <c r="AO35" s="272"/>
      <c r="AP35" s="272"/>
    </row>
    <row r="36" spans="1:138" ht="18" customHeight="1" x14ac:dyDescent="0.2">
      <c r="B36" s="232" t="s">
        <v>371</v>
      </c>
      <c r="C36" s="203" t="e">
        <f>(C25-((D25+E25)/2))/C31</f>
        <v>#DIV/0!</v>
      </c>
      <c r="D36" s="179" t="s">
        <v>41</v>
      </c>
      <c r="E36" s="198"/>
      <c r="F36" s="198"/>
      <c r="G36" s="198"/>
      <c r="H36" s="235"/>
      <c r="I36" s="198"/>
      <c r="J36" s="198"/>
      <c r="K36" s="198"/>
      <c r="L36" s="234" t="s">
        <v>346</v>
      </c>
      <c r="M36" s="198"/>
      <c r="N36" s="198"/>
      <c r="O36" s="195"/>
      <c r="P36" s="195"/>
      <c r="Q36" s="195"/>
      <c r="R36" s="273"/>
      <c r="S36" s="274"/>
      <c r="T36" s="273"/>
      <c r="U36" s="274"/>
      <c r="V36" s="275"/>
      <c r="W36" s="276"/>
      <c r="X36" s="274"/>
      <c r="Y36" s="276"/>
      <c r="Z36" s="274"/>
      <c r="AA36" s="273"/>
      <c r="AB36" s="274"/>
      <c r="AC36" s="273"/>
      <c r="AD36" s="274"/>
      <c r="AE36" s="273"/>
      <c r="AF36" s="274"/>
      <c r="AG36" s="273"/>
      <c r="AH36" s="274"/>
      <c r="AI36" s="273"/>
      <c r="AJ36" s="274"/>
      <c r="AK36" s="273"/>
      <c r="AL36" s="274"/>
      <c r="AM36" s="273"/>
      <c r="AN36" s="274"/>
      <c r="AO36" s="273"/>
      <c r="AP36" s="274"/>
    </row>
    <row r="37" spans="1:138" ht="18" customHeight="1" x14ac:dyDescent="0.2">
      <c r="B37" s="232" t="s">
        <v>344</v>
      </c>
      <c r="C37" s="236" t="e">
        <f>(F27+G27+H27+I27)/(C27+D27+E27+F27+G27+H27+I27)</f>
        <v>#DIV/0!</v>
      </c>
      <c r="D37" s="179" t="s">
        <v>174</v>
      </c>
      <c r="E37" s="198"/>
      <c r="F37" s="198"/>
      <c r="G37" s="198"/>
      <c r="H37" s="220"/>
      <c r="I37" s="198"/>
      <c r="J37" s="198"/>
      <c r="K37" s="223"/>
      <c r="L37" s="220"/>
      <c r="M37" s="198"/>
      <c r="N37" s="198"/>
      <c r="O37" s="277"/>
      <c r="P37" s="277"/>
      <c r="Q37" s="278"/>
      <c r="R37" s="279"/>
      <c r="S37" s="280"/>
      <c r="T37" s="281"/>
      <c r="U37" s="280"/>
      <c r="V37" s="274"/>
      <c r="W37" s="282"/>
      <c r="X37" s="280"/>
      <c r="Y37" s="281"/>
      <c r="Z37" s="280"/>
      <c r="AA37" s="281"/>
      <c r="AB37" s="280"/>
      <c r="AC37" s="281"/>
      <c r="AD37" s="280"/>
      <c r="AE37" s="281"/>
      <c r="AF37" s="280"/>
      <c r="AG37" s="281"/>
      <c r="AH37" s="280"/>
      <c r="AI37" s="281"/>
      <c r="AJ37" s="280"/>
      <c r="AK37" s="281"/>
      <c r="AL37" s="280"/>
      <c r="AM37" s="281"/>
      <c r="AN37" s="280"/>
      <c r="AO37" s="281"/>
      <c r="AP37" s="280"/>
      <c r="AQ37" s="237"/>
      <c r="AR37" s="237"/>
      <c r="AS37" s="237"/>
      <c r="AT37" s="237"/>
      <c r="AU37" s="237"/>
      <c r="AV37" s="237"/>
      <c r="AW37" s="237"/>
      <c r="AX37" s="237"/>
      <c r="AY37" s="237"/>
      <c r="AZ37" s="237"/>
      <c r="BA37" s="237"/>
      <c r="BB37" s="237"/>
      <c r="BC37" s="237"/>
      <c r="BD37" s="237"/>
      <c r="BE37" s="237"/>
      <c r="BF37" s="237"/>
      <c r="BG37" s="237"/>
      <c r="BH37" s="237"/>
      <c r="BI37" s="237"/>
      <c r="BJ37" s="237"/>
      <c r="BK37" s="237"/>
      <c r="BL37" s="237"/>
      <c r="BM37" s="237"/>
      <c r="BN37" s="237"/>
      <c r="BO37" s="237"/>
      <c r="BP37" s="237"/>
      <c r="BQ37" s="237"/>
      <c r="BR37" s="237"/>
      <c r="BS37" s="237"/>
      <c r="BT37" s="237"/>
      <c r="BU37" s="237"/>
      <c r="BV37" s="237"/>
      <c r="BW37" s="237"/>
      <c r="BX37" s="237"/>
      <c r="BY37" s="237"/>
      <c r="BZ37" s="237"/>
      <c r="CA37" s="237"/>
      <c r="CB37" s="237"/>
      <c r="CC37" s="237"/>
      <c r="CD37" s="237"/>
      <c r="CE37" s="237"/>
      <c r="CF37" s="237"/>
      <c r="CG37" s="237"/>
      <c r="CH37" s="237"/>
      <c r="CI37" s="237"/>
      <c r="CJ37" s="237"/>
      <c r="CK37" s="237"/>
      <c r="CL37" s="237"/>
      <c r="CM37" s="237"/>
      <c r="CN37" s="237"/>
      <c r="CO37" s="237"/>
      <c r="CP37" s="237"/>
      <c r="CQ37" s="237"/>
      <c r="CR37" s="237"/>
      <c r="CS37" s="237"/>
      <c r="CT37" s="237"/>
      <c r="CU37" s="237"/>
      <c r="CV37" s="237"/>
      <c r="CW37" s="237"/>
      <c r="CX37" s="237"/>
      <c r="CY37" s="237"/>
      <c r="CZ37" s="237"/>
      <c r="DA37" s="237"/>
      <c r="DB37" s="237"/>
      <c r="DC37" s="237"/>
      <c r="DD37" s="237"/>
      <c r="DE37" s="237"/>
      <c r="DF37" s="237"/>
      <c r="DG37" s="237"/>
      <c r="DH37" s="237"/>
      <c r="DI37" s="237"/>
      <c r="DJ37" s="237"/>
      <c r="DK37" s="237"/>
      <c r="DL37" s="237"/>
      <c r="DM37" s="237"/>
      <c r="DN37" s="237"/>
      <c r="DO37" s="237"/>
      <c r="DP37" s="237"/>
      <c r="DQ37" s="237"/>
      <c r="DR37" s="237"/>
      <c r="DS37" s="237"/>
      <c r="DT37" s="237"/>
      <c r="DU37" s="237"/>
      <c r="DV37" s="237"/>
      <c r="DW37" s="237"/>
      <c r="DX37" s="237"/>
      <c r="DY37" s="237"/>
      <c r="DZ37" s="237"/>
      <c r="EA37" s="237"/>
      <c r="EB37" s="237"/>
      <c r="EC37" s="237"/>
      <c r="ED37" s="237"/>
      <c r="EE37" s="237"/>
      <c r="EF37" s="237"/>
      <c r="EG37" s="237"/>
      <c r="EH37" s="237"/>
    </row>
    <row r="38" spans="1:138" ht="18" customHeight="1" x14ac:dyDescent="0.2">
      <c r="A38" s="198"/>
      <c r="B38" s="232" t="s">
        <v>372</v>
      </c>
      <c r="C38" s="203">
        <f>Inputs!G8</f>
        <v>0</v>
      </c>
      <c r="D38" s="179" t="s">
        <v>41</v>
      </c>
      <c r="E38" s="238"/>
      <c r="F38" s="198"/>
      <c r="G38" s="195"/>
      <c r="H38" s="198"/>
      <c r="I38" s="198"/>
      <c r="J38" s="198"/>
      <c r="K38" s="198"/>
      <c r="L38" s="195"/>
      <c r="M38" s="198"/>
      <c r="N38" s="198"/>
      <c r="O38" s="194"/>
      <c r="P38" s="194"/>
      <c r="Q38" s="194"/>
      <c r="R38" s="283"/>
      <c r="S38" s="281"/>
      <c r="T38" s="239"/>
      <c r="U38" s="281"/>
      <c r="V38" s="274"/>
      <c r="W38" s="240"/>
      <c r="X38" s="281"/>
      <c r="Y38" s="239"/>
      <c r="Z38" s="281"/>
      <c r="AA38" s="239"/>
      <c r="AB38" s="281"/>
      <c r="AC38" s="239"/>
      <c r="AD38" s="281"/>
      <c r="AE38" s="239"/>
      <c r="AF38" s="281"/>
      <c r="AG38" s="239"/>
      <c r="AH38" s="281"/>
      <c r="AI38" s="239"/>
      <c r="AJ38" s="281"/>
      <c r="AK38" s="239"/>
      <c r="AL38" s="281"/>
      <c r="AM38" s="239"/>
      <c r="AN38" s="281"/>
      <c r="AO38" s="239"/>
      <c r="AP38" s="281"/>
    </row>
    <row r="39" spans="1:138" ht="18" customHeight="1" x14ac:dyDescent="0.2">
      <c r="A39" s="198"/>
      <c r="B39" s="178" t="s">
        <v>274</v>
      </c>
      <c r="C39" s="177">
        <f>C38/1.032</f>
        <v>0</v>
      </c>
      <c r="D39" s="179" t="s">
        <v>357</v>
      </c>
      <c r="E39" s="241"/>
      <c r="F39" s="198"/>
      <c r="G39" s="241"/>
      <c r="H39" s="198"/>
      <c r="I39" s="198"/>
      <c r="J39" s="198"/>
      <c r="K39" s="198"/>
      <c r="L39" s="195"/>
      <c r="M39" s="198"/>
      <c r="N39" s="198"/>
      <c r="O39" s="194"/>
      <c r="P39" s="194"/>
      <c r="Q39" s="194"/>
      <c r="R39" s="239"/>
      <c r="S39" s="281"/>
      <c r="T39" s="239"/>
      <c r="U39" s="281"/>
      <c r="V39" s="274"/>
      <c r="W39" s="240"/>
      <c r="X39" s="281"/>
      <c r="Y39" s="239"/>
      <c r="Z39" s="281"/>
      <c r="AA39" s="239"/>
      <c r="AB39" s="281"/>
      <c r="AC39" s="239"/>
      <c r="AD39" s="281"/>
      <c r="AE39" s="239"/>
      <c r="AF39" s="281"/>
      <c r="AG39" s="239"/>
      <c r="AH39" s="281"/>
      <c r="AI39" s="239"/>
      <c r="AJ39" s="281"/>
      <c r="AK39" s="239"/>
      <c r="AL39" s="281"/>
      <c r="AM39" s="239"/>
      <c r="AN39" s="281"/>
      <c r="AO39" s="239"/>
      <c r="AP39" s="281"/>
    </row>
    <row r="40" spans="1:138" ht="18" customHeight="1" x14ac:dyDescent="0.2">
      <c r="A40" s="198"/>
      <c r="B40" s="232" t="s">
        <v>373</v>
      </c>
      <c r="C40" s="203" t="e">
        <f>C31*C27</f>
        <v>#DIV/0!</v>
      </c>
      <c r="D40" s="179" t="s">
        <v>354</v>
      </c>
      <c r="E40" s="242"/>
      <c r="F40" s="198"/>
      <c r="G40" s="242"/>
      <c r="H40" s="198"/>
      <c r="I40" s="198"/>
      <c r="J40" s="198"/>
      <c r="K40" s="198"/>
      <c r="L40" s="198"/>
      <c r="M40" s="198"/>
      <c r="N40" s="198"/>
      <c r="O40" s="194"/>
      <c r="P40" s="194"/>
      <c r="Q40" s="194"/>
      <c r="R40" s="239"/>
      <c r="S40" s="281"/>
      <c r="T40" s="239"/>
      <c r="U40" s="281"/>
      <c r="V40" s="274"/>
      <c r="W40" s="240"/>
      <c r="X40" s="281"/>
      <c r="Y40" s="239"/>
      <c r="Z40" s="281"/>
      <c r="AA40" s="239"/>
      <c r="AB40" s="281"/>
      <c r="AC40" s="239"/>
      <c r="AD40" s="281"/>
      <c r="AE40" s="239"/>
      <c r="AF40" s="281"/>
      <c r="AG40" s="239"/>
      <c r="AH40" s="281"/>
      <c r="AI40" s="239"/>
      <c r="AJ40" s="281"/>
      <c r="AK40" s="239"/>
      <c r="AL40" s="281"/>
      <c r="AM40" s="239"/>
      <c r="AN40" s="281"/>
      <c r="AO40" s="239"/>
      <c r="AP40" s="281"/>
    </row>
    <row r="41" spans="1:138" ht="18" customHeight="1" x14ac:dyDescent="0.2">
      <c r="A41" s="198"/>
      <c r="B41" s="232" t="s">
        <v>374</v>
      </c>
      <c r="C41" s="203" t="e">
        <f>(SUM(N7:N21))</f>
        <v>#DIV/0!</v>
      </c>
      <c r="D41" s="179" t="s">
        <v>18</v>
      </c>
      <c r="E41" s="242"/>
      <c r="F41" s="198"/>
      <c r="G41" s="242"/>
      <c r="H41" s="205"/>
      <c r="I41" s="198"/>
      <c r="J41" s="198"/>
      <c r="K41" s="198"/>
      <c r="L41" s="198"/>
      <c r="M41" s="198"/>
      <c r="N41" s="198"/>
      <c r="O41" s="194"/>
      <c r="P41" s="194"/>
      <c r="Q41" s="194"/>
      <c r="R41" s="239"/>
      <c r="S41" s="281"/>
      <c r="T41" s="239"/>
      <c r="U41" s="281"/>
      <c r="V41" s="274"/>
      <c r="W41" s="240"/>
      <c r="X41" s="281"/>
      <c r="Y41" s="239"/>
      <c r="Z41" s="281"/>
      <c r="AA41" s="239"/>
      <c r="AB41" s="281"/>
      <c r="AC41" s="239"/>
      <c r="AD41" s="281"/>
      <c r="AE41" s="239"/>
      <c r="AF41" s="281"/>
      <c r="AG41" s="239"/>
      <c r="AH41" s="281"/>
      <c r="AI41" s="239"/>
      <c r="AJ41" s="281"/>
      <c r="AK41" s="239"/>
      <c r="AL41" s="281"/>
      <c r="AM41" s="239"/>
      <c r="AN41" s="281"/>
      <c r="AO41" s="239"/>
      <c r="AP41" s="281"/>
    </row>
    <row r="42" spans="1:138" ht="18" customHeight="1" x14ac:dyDescent="0.2">
      <c r="B42" s="1161" t="s">
        <v>323</v>
      </c>
      <c r="C42" s="1162"/>
      <c r="D42" s="1162"/>
      <c r="H42" s="242"/>
      <c r="I42" s="242"/>
      <c r="J42" s="194"/>
      <c r="K42" s="195"/>
      <c r="L42" s="195"/>
      <c r="M42" s="195"/>
      <c r="N42" s="196"/>
      <c r="O42" s="238"/>
      <c r="P42" s="238"/>
      <c r="Q42" s="195"/>
      <c r="R42" s="275"/>
      <c r="S42" s="273"/>
      <c r="T42" s="275"/>
      <c r="U42" s="273"/>
      <c r="V42" s="275"/>
      <c r="W42" s="284"/>
      <c r="X42" s="273"/>
      <c r="Y42" s="284"/>
      <c r="Z42" s="273"/>
      <c r="AA42" s="275"/>
      <c r="AB42" s="273"/>
      <c r="AC42" s="275"/>
      <c r="AD42" s="273"/>
      <c r="AE42" s="275"/>
      <c r="AF42" s="273"/>
      <c r="AG42" s="275"/>
      <c r="AH42" s="273"/>
      <c r="AI42" s="275"/>
      <c r="AJ42" s="273"/>
      <c r="AK42" s="275"/>
      <c r="AL42" s="273"/>
      <c r="AM42" s="275"/>
      <c r="AN42" s="273"/>
      <c r="AO42" s="275"/>
      <c r="AP42" s="273"/>
    </row>
    <row r="43" spans="1:138" ht="18" customHeight="1" x14ac:dyDescent="0.2">
      <c r="B43" s="232" t="s">
        <v>375</v>
      </c>
      <c r="C43" s="203" t="e">
        <f>F27+G27+H27+I27+E27/3</f>
        <v>#DIV/0!</v>
      </c>
      <c r="D43" s="179" t="s">
        <v>38</v>
      </c>
      <c r="F43" s="198"/>
      <c r="H43" s="242"/>
      <c r="I43" s="242"/>
      <c r="J43" s="194"/>
      <c r="K43" s="195"/>
      <c r="L43" s="195"/>
      <c r="M43" s="195"/>
      <c r="N43" s="196"/>
      <c r="O43" s="195"/>
      <c r="P43" s="195"/>
      <c r="Q43" s="195"/>
      <c r="R43" s="272"/>
      <c r="S43" s="272"/>
      <c r="T43" s="272"/>
      <c r="U43" s="272"/>
      <c r="V43" s="285"/>
      <c r="W43" s="272"/>
      <c r="X43" s="272"/>
      <c r="Y43" s="272"/>
      <c r="Z43" s="272"/>
      <c r="AA43" s="272"/>
      <c r="AB43" s="272"/>
      <c r="AC43" s="272"/>
      <c r="AD43" s="272"/>
      <c r="AE43" s="272"/>
      <c r="AF43" s="272"/>
      <c r="AG43" s="272"/>
      <c r="AH43" s="272"/>
      <c r="AI43" s="272"/>
      <c r="AJ43" s="272"/>
      <c r="AK43" s="272"/>
      <c r="AL43" s="272"/>
      <c r="AM43" s="272"/>
      <c r="AN43" s="272"/>
      <c r="AO43" s="272"/>
      <c r="AP43" s="272"/>
    </row>
    <row r="44" spans="1:138" ht="18" customHeight="1" x14ac:dyDescent="0.2">
      <c r="B44" s="232" t="s">
        <v>376</v>
      </c>
      <c r="C44" s="203" t="e">
        <f>((F$25*F$27)+(G$25*G$27)+(H$25*H$27)+(I$25*I$27)+(E$25*E$27/3))/C$43</f>
        <v>#DIV/0!</v>
      </c>
      <c r="D44" s="179" t="s">
        <v>18</v>
      </c>
      <c r="F44" s="198"/>
      <c r="H44" s="194"/>
      <c r="I44" s="194"/>
      <c r="J44" s="224"/>
      <c r="K44" s="195"/>
      <c r="L44" s="195"/>
      <c r="M44" s="195"/>
      <c r="N44" s="196"/>
      <c r="O44" s="195"/>
      <c r="P44" s="195"/>
      <c r="Q44" s="195"/>
      <c r="R44" s="272"/>
      <c r="S44" s="272"/>
      <c r="T44" s="272"/>
      <c r="U44" s="272"/>
      <c r="V44" s="272"/>
      <c r="W44" s="272"/>
      <c r="X44" s="272"/>
      <c r="Y44" s="272"/>
      <c r="Z44" s="272"/>
      <c r="AA44" s="272"/>
      <c r="AB44" s="272"/>
      <c r="AC44" s="272"/>
      <c r="AD44" s="272"/>
      <c r="AE44" s="272"/>
      <c r="AF44" s="272"/>
      <c r="AG44" s="272"/>
      <c r="AH44" s="272"/>
      <c r="AI44" s="272"/>
      <c r="AJ44" s="272"/>
      <c r="AK44" s="272"/>
      <c r="AL44" s="272"/>
      <c r="AM44" s="272"/>
      <c r="AN44" s="272"/>
      <c r="AO44" s="272"/>
      <c r="AP44" s="272"/>
    </row>
    <row r="45" spans="1:138" ht="18" customHeight="1" x14ac:dyDescent="0.2">
      <c r="B45" s="232" t="s">
        <v>377</v>
      </c>
      <c r="C45" s="203" t="e">
        <f>(C44*(AVERAGE('Ev. Rebanho'!K16:L16)*30.3))</f>
        <v>#DIV/0!</v>
      </c>
      <c r="D45" s="179" t="s">
        <v>18</v>
      </c>
      <c r="F45" s="198"/>
      <c r="H45" s="194"/>
      <c r="I45" s="194"/>
      <c r="J45" s="224"/>
      <c r="K45" s="195"/>
      <c r="L45" s="195"/>
      <c r="M45" s="195"/>
      <c r="N45" s="196"/>
      <c r="O45" s="195"/>
      <c r="P45" s="195"/>
      <c r="Q45" s="195"/>
      <c r="R45" s="286"/>
      <c r="S45" s="274"/>
      <c r="T45" s="286"/>
      <c r="U45" s="274"/>
      <c r="V45" s="286"/>
      <c r="W45" s="287"/>
      <c r="X45" s="274"/>
      <c r="Y45" s="287"/>
      <c r="Z45" s="274"/>
      <c r="AA45" s="286"/>
      <c r="AB45" s="274"/>
      <c r="AC45" s="286"/>
      <c r="AD45" s="274"/>
      <c r="AE45" s="286"/>
      <c r="AF45" s="274"/>
      <c r="AG45" s="286"/>
      <c r="AH45" s="274"/>
      <c r="AI45" s="286"/>
      <c r="AJ45" s="274"/>
      <c r="AK45" s="286"/>
      <c r="AL45" s="274"/>
      <c r="AM45" s="286"/>
      <c r="AN45" s="274"/>
      <c r="AO45" s="286"/>
      <c r="AP45" s="274"/>
    </row>
    <row r="46" spans="1:138" ht="18" customHeight="1" x14ac:dyDescent="0.2">
      <c r="B46" s="232" t="s">
        <v>348</v>
      </c>
      <c r="C46" s="203" t="e">
        <f>((C44*C43)/(C40*C39))</f>
        <v>#DIV/0!</v>
      </c>
      <c r="D46" s="179" t="s">
        <v>174</v>
      </c>
      <c r="F46" s="198"/>
      <c r="H46" s="234"/>
      <c r="I46" s="234"/>
      <c r="J46" s="288"/>
      <c r="K46" s="220"/>
      <c r="L46" s="220"/>
      <c r="M46" s="220"/>
      <c r="N46" s="289"/>
      <c r="O46" s="205"/>
      <c r="P46" s="205"/>
      <c r="Q46" s="205"/>
      <c r="R46" s="243"/>
      <c r="S46" s="243"/>
      <c r="W46" s="243"/>
      <c r="X46" s="243"/>
      <c r="AA46" s="243"/>
      <c r="AB46" s="243"/>
    </row>
    <row r="47" spans="1:138" ht="18" customHeight="1" x14ac:dyDescent="0.2">
      <c r="B47" s="244" t="s">
        <v>379</v>
      </c>
      <c r="C47" s="203">
        <v>0.1</v>
      </c>
      <c r="D47" s="179" t="s">
        <v>174</v>
      </c>
      <c r="F47" s="198"/>
    </row>
    <row r="48" spans="1:138" ht="18" customHeight="1" x14ac:dyDescent="0.2">
      <c r="B48" s="244" t="s">
        <v>378</v>
      </c>
      <c r="C48" s="203" t="e">
        <f>(((F$25*F$27)+(G$25*G$27)+(H$25*H$27)+(I$25*I$27)+(E$25*E$27/3)))*30.3</f>
        <v>#DIV/0!</v>
      </c>
      <c r="D48" s="179" t="s">
        <v>18</v>
      </c>
      <c r="F48" s="198"/>
    </row>
    <row r="49" spans="2:6" ht="18" customHeight="1" x14ac:dyDescent="0.2">
      <c r="B49" s="244" t="s">
        <v>380</v>
      </c>
      <c r="C49" s="203" t="e">
        <f>((C40*C39)*C47)*30.3</f>
        <v>#DIV/0!</v>
      </c>
      <c r="D49" s="177" t="s">
        <v>18</v>
      </c>
      <c r="F49" s="198"/>
    </row>
  </sheetData>
  <sheetProtection password="8826" sheet="1" objects="1" scenarios="1"/>
  <mergeCells count="9">
    <mergeCell ref="O4:O5"/>
    <mergeCell ref="D5:E5"/>
    <mergeCell ref="F5:I5"/>
    <mergeCell ref="B29:D29"/>
    <mergeCell ref="B42:D42"/>
    <mergeCell ref="B4:B5"/>
    <mergeCell ref="C4:I4"/>
    <mergeCell ref="J4:L4"/>
    <mergeCell ref="M4:N4"/>
  </mergeCells>
  <pageMargins left="0.511811024" right="0.511811024" top="0.78740157499999996" bottom="0.78740157499999996" header="0.31496062000000002" footer="0.31496062000000002"/>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enableFormatConditionsCalculation="0">
    <tabColor theme="8" tint="0.499984740745262"/>
  </sheetPr>
  <dimension ref="A1:EH49"/>
  <sheetViews>
    <sheetView zoomScale="113" zoomScaleNormal="80" zoomScalePageLayoutView="80" workbookViewId="0">
      <selection activeCell="L24" sqref="L24"/>
    </sheetView>
  </sheetViews>
  <sheetFormatPr baseColWidth="10" defaultColWidth="12.5" defaultRowHeight="18" customHeight="1" x14ac:dyDescent="0.2"/>
  <cols>
    <col min="1" max="1" width="2.1640625" style="197" customWidth="1"/>
    <col min="2" max="2" width="37.1640625" style="197" customWidth="1"/>
    <col min="3" max="15" width="17.1640625" style="197" customWidth="1"/>
    <col min="16" max="16" width="13.33203125" style="197" customWidth="1"/>
    <col min="17" max="17" width="10.5" style="197" bestFit="1" customWidth="1"/>
    <col min="18" max="18" width="10.33203125" style="198" customWidth="1"/>
    <col min="19" max="19" width="8.5" style="198" customWidth="1"/>
    <col min="20" max="20" width="18" style="198" customWidth="1"/>
    <col min="21" max="21" width="7.33203125" style="198" customWidth="1"/>
    <col min="22" max="22" width="0.5" style="198" customWidth="1"/>
    <col min="23" max="42" width="8.33203125" style="198" customWidth="1"/>
    <col min="43" max="84" width="10.5" style="198" customWidth="1"/>
    <col min="85" max="16384" width="12.5" style="198"/>
  </cols>
  <sheetData>
    <row r="1" spans="1:42" ht="18" customHeight="1" x14ac:dyDescent="0.2">
      <c r="A1" s="598"/>
    </row>
    <row r="4" spans="1:42" ht="18" customHeight="1" x14ac:dyDescent="0.2">
      <c r="B4" s="1158" t="s">
        <v>35</v>
      </c>
      <c r="C4" s="1158" t="s">
        <v>36</v>
      </c>
      <c r="D4" s="1158"/>
      <c r="E4" s="1158"/>
      <c r="F4" s="1158"/>
      <c r="G4" s="1158"/>
      <c r="H4" s="1158"/>
      <c r="I4" s="1158"/>
      <c r="J4" s="1158" t="s">
        <v>349</v>
      </c>
      <c r="K4" s="1158"/>
      <c r="L4" s="1158"/>
      <c r="M4" s="1168" t="s">
        <v>8</v>
      </c>
      <c r="N4" s="1168"/>
      <c r="O4" s="1158" t="s">
        <v>350</v>
      </c>
      <c r="P4" s="245"/>
      <c r="Q4" s="245"/>
      <c r="R4" s="246"/>
      <c r="S4" s="246"/>
      <c r="T4" s="246"/>
      <c r="U4" s="246"/>
      <c r="V4" s="247"/>
      <c r="W4" s="248"/>
      <c r="X4" s="246"/>
      <c r="Y4" s="248"/>
      <c r="Z4" s="246"/>
      <c r="AA4" s="246"/>
      <c r="AB4" s="246"/>
      <c r="AC4" s="246"/>
      <c r="AD4" s="246"/>
      <c r="AE4" s="246"/>
      <c r="AF4" s="246"/>
      <c r="AG4" s="246"/>
      <c r="AH4" s="246"/>
      <c r="AI4" s="246"/>
      <c r="AJ4" s="246"/>
      <c r="AK4" s="246"/>
      <c r="AL4" s="246"/>
      <c r="AM4" s="246"/>
      <c r="AN4" s="246"/>
      <c r="AO4" s="246"/>
      <c r="AP4" s="246"/>
    </row>
    <row r="5" spans="1:42" ht="18" customHeight="1" x14ac:dyDescent="0.2">
      <c r="B5" s="1158"/>
      <c r="C5" s="199" t="s">
        <v>321</v>
      </c>
      <c r="D5" s="1166" t="s">
        <v>322</v>
      </c>
      <c r="E5" s="1167"/>
      <c r="F5" s="1158" t="s">
        <v>323</v>
      </c>
      <c r="G5" s="1158"/>
      <c r="H5" s="1158"/>
      <c r="I5" s="1158"/>
      <c r="J5" s="176" t="s">
        <v>324</v>
      </c>
      <c r="K5" s="176" t="s">
        <v>325</v>
      </c>
      <c r="L5" s="176" t="s">
        <v>326</v>
      </c>
      <c r="M5" s="199" t="s">
        <v>327</v>
      </c>
      <c r="N5" s="176" t="s">
        <v>325</v>
      </c>
      <c r="O5" s="1158"/>
      <c r="P5" s="198"/>
      <c r="Q5" s="245"/>
      <c r="R5" s="249"/>
      <c r="S5" s="249"/>
      <c r="T5" s="249"/>
      <c r="U5" s="249"/>
      <c r="V5" s="250"/>
      <c r="W5" s="251"/>
      <c r="X5" s="249"/>
      <c r="Y5" s="251"/>
      <c r="Z5" s="249"/>
      <c r="AA5" s="249"/>
      <c r="AB5" s="249"/>
      <c r="AC5" s="249"/>
      <c r="AD5" s="249"/>
      <c r="AE5" s="249"/>
      <c r="AF5" s="249"/>
      <c r="AG5" s="249"/>
      <c r="AH5" s="249"/>
      <c r="AI5" s="249"/>
      <c r="AJ5" s="249"/>
      <c r="AK5" s="249"/>
      <c r="AL5" s="249"/>
      <c r="AM5" s="249"/>
      <c r="AN5" s="249"/>
      <c r="AO5" s="249"/>
      <c r="AP5" s="249"/>
    </row>
    <row r="6" spans="1:42" ht="18" customHeight="1" x14ac:dyDescent="0.2">
      <c r="B6" s="199" t="s">
        <v>328</v>
      </c>
      <c r="C6" s="290" t="s">
        <v>329</v>
      </c>
      <c r="D6" s="291" t="s">
        <v>330</v>
      </c>
      <c r="E6" s="292" t="s">
        <v>331</v>
      </c>
      <c r="F6" s="292" t="s">
        <v>332</v>
      </c>
      <c r="G6" s="292" t="s">
        <v>333</v>
      </c>
      <c r="H6" s="293" t="s">
        <v>334</v>
      </c>
      <c r="I6" s="292" t="s">
        <v>335</v>
      </c>
      <c r="J6" s="292" t="s">
        <v>336</v>
      </c>
      <c r="K6" s="292" t="s">
        <v>336</v>
      </c>
      <c r="L6" s="292" t="s">
        <v>337</v>
      </c>
      <c r="M6" s="291" t="s">
        <v>338</v>
      </c>
      <c r="N6" s="292" t="s">
        <v>338</v>
      </c>
      <c r="O6" s="294" t="s">
        <v>351</v>
      </c>
      <c r="P6" s="198"/>
      <c r="Q6" s="245"/>
      <c r="R6" s="252"/>
      <c r="S6" s="252"/>
      <c r="T6" s="252"/>
      <c r="U6" s="252"/>
      <c r="V6" s="252"/>
      <c r="W6" s="253"/>
      <c r="X6" s="252"/>
      <c r="Y6" s="253"/>
      <c r="Z6" s="252"/>
      <c r="AA6" s="252"/>
      <c r="AB6" s="252"/>
      <c r="AC6" s="252"/>
      <c r="AD6" s="252"/>
      <c r="AE6" s="252"/>
      <c r="AF6" s="252"/>
      <c r="AG6" s="252"/>
      <c r="AH6" s="252"/>
      <c r="AI6" s="252"/>
      <c r="AJ6" s="252"/>
      <c r="AK6" s="252"/>
      <c r="AL6" s="252"/>
      <c r="AM6" s="252"/>
      <c r="AN6" s="252"/>
      <c r="AO6" s="252"/>
      <c r="AP6" s="252"/>
    </row>
    <row r="7" spans="1:42" ht="18" customHeight="1" x14ac:dyDescent="0.2">
      <c r="B7" s="200">
        <f>Inputs!B9</f>
        <v>0</v>
      </c>
      <c r="C7" s="201"/>
      <c r="D7" s="202"/>
      <c r="E7" s="202"/>
      <c r="F7" s="202"/>
      <c r="G7" s="202"/>
      <c r="H7" s="202"/>
      <c r="I7" s="202"/>
      <c r="J7" s="203" t="e">
        <f t="shared" ref="J7:J21" si="0">((C7/100*C$22*$C$27)+(D7*$D$27)+(E7*$E$27)+(F7*$F$27)+(G7*$G$27)+(H7*$H$27)+(I7*$I$27))</f>
        <v>#DIV/0!</v>
      </c>
      <c r="K7" s="203" t="e">
        <f>J7*30</f>
        <v>#DIV/0!</v>
      </c>
      <c r="L7" s="203" t="e">
        <f>K7*12/1000</f>
        <v>#DIV/0!</v>
      </c>
      <c r="M7" s="203">
        <f>Inputs!H9</f>
        <v>0</v>
      </c>
      <c r="N7" s="177" t="e">
        <f t="shared" ref="N7:N21" si="1">M7*K7</f>
        <v>#DIV/0!</v>
      </c>
      <c r="O7" s="177" t="e">
        <f t="shared" ref="O7:O21" si="2">(C$22)*C7/100</f>
        <v>#DIV/0!</v>
      </c>
      <c r="P7" s="198"/>
      <c r="Q7" s="245"/>
      <c r="R7" s="254"/>
      <c r="S7" s="255"/>
      <c r="T7" s="252"/>
      <c r="U7" s="204"/>
      <c r="V7" s="254"/>
      <c r="W7" s="256"/>
      <c r="X7" s="204"/>
      <c r="Y7" s="256"/>
      <c r="Z7" s="204"/>
      <c r="AA7" s="254"/>
      <c r="AB7" s="204"/>
      <c r="AC7" s="254"/>
      <c r="AD7" s="204"/>
      <c r="AE7" s="254"/>
      <c r="AF7" s="204"/>
      <c r="AG7" s="254"/>
      <c r="AH7" s="204"/>
      <c r="AI7" s="254"/>
      <c r="AJ7" s="204"/>
      <c r="AK7" s="254"/>
      <c r="AL7" s="204"/>
      <c r="AM7" s="254"/>
      <c r="AN7" s="204"/>
      <c r="AO7" s="254"/>
      <c r="AP7" s="204"/>
    </row>
    <row r="8" spans="1:42" ht="18" customHeight="1" x14ac:dyDescent="0.2">
      <c r="B8" s="200">
        <f>Inputs!B10</f>
        <v>0</v>
      </c>
      <c r="C8" s="201"/>
      <c r="D8" s="202"/>
      <c r="E8" s="202"/>
      <c r="F8" s="202"/>
      <c r="G8" s="202"/>
      <c r="H8" s="202"/>
      <c r="I8" s="202"/>
      <c r="J8" s="203" t="e">
        <f t="shared" si="0"/>
        <v>#DIV/0!</v>
      </c>
      <c r="K8" s="203" t="e">
        <f>J8*30</f>
        <v>#DIV/0!</v>
      </c>
      <c r="L8" s="203" t="e">
        <f>K8*12/1000</f>
        <v>#DIV/0!</v>
      </c>
      <c r="M8" s="203">
        <f>Inputs!H10</f>
        <v>0</v>
      </c>
      <c r="N8" s="177" t="e">
        <f t="shared" si="1"/>
        <v>#DIV/0!</v>
      </c>
      <c r="O8" s="177" t="e">
        <f t="shared" si="2"/>
        <v>#DIV/0!</v>
      </c>
      <c r="P8" s="198"/>
      <c r="Q8" s="245"/>
      <c r="R8" s="254"/>
      <c r="S8" s="255"/>
      <c r="T8" s="257"/>
      <c r="U8" s="204"/>
      <c r="V8" s="258"/>
      <c r="W8" s="256"/>
      <c r="X8" s="204"/>
      <c r="Y8" s="256"/>
      <c r="Z8" s="204"/>
      <c r="AA8" s="254"/>
      <c r="AB8" s="204"/>
      <c r="AC8" s="254"/>
      <c r="AD8" s="204"/>
      <c r="AE8" s="254"/>
      <c r="AF8" s="204"/>
      <c r="AG8" s="254"/>
      <c r="AH8" s="204"/>
      <c r="AI8" s="254"/>
      <c r="AJ8" s="204"/>
      <c r="AK8" s="254"/>
      <c r="AL8" s="204"/>
      <c r="AM8" s="254"/>
      <c r="AN8" s="204"/>
      <c r="AO8" s="254"/>
      <c r="AP8" s="204"/>
    </row>
    <row r="9" spans="1:42" ht="18" customHeight="1" x14ac:dyDescent="0.2">
      <c r="B9" s="200">
        <f>Inputs!B11</f>
        <v>0</v>
      </c>
      <c r="C9" s="201"/>
      <c r="D9" s="202"/>
      <c r="E9" s="202"/>
      <c r="F9" s="202"/>
      <c r="G9" s="202"/>
      <c r="H9" s="202"/>
      <c r="I9" s="202"/>
      <c r="J9" s="203" t="e">
        <f t="shared" si="0"/>
        <v>#DIV/0!</v>
      </c>
      <c r="K9" s="203" t="e">
        <f t="shared" ref="K9:K21" si="3">J9*30</f>
        <v>#DIV/0!</v>
      </c>
      <c r="L9" s="203" t="e">
        <f t="shared" ref="L9:L21" si="4">J9*365/1000</f>
        <v>#DIV/0!</v>
      </c>
      <c r="M9" s="203">
        <f>Inputs!H11</f>
        <v>0</v>
      </c>
      <c r="N9" s="177" t="e">
        <f t="shared" si="1"/>
        <v>#DIV/0!</v>
      </c>
      <c r="O9" s="177" t="e">
        <f t="shared" si="2"/>
        <v>#DIV/0!</v>
      </c>
      <c r="P9" s="198"/>
      <c r="Q9" s="205"/>
      <c r="R9" s="246"/>
      <c r="S9" s="255"/>
      <c r="T9" s="252"/>
      <c r="U9" s="204"/>
      <c r="V9" s="258"/>
      <c r="W9" s="248"/>
      <c r="X9" s="204"/>
      <c r="Y9" s="248"/>
      <c r="Z9" s="204"/>
      <c r="AA9" s="246"/>
      <c r="AB9" s="204"/>
      <c r="AC9" s="246"/>
      <c r="AD9" s="204"/>
      <c r="AE9" s="246"/>
      <c r="AF9" s="204"/>
      <c r="AG9" s="246"/>
      <c r="AH9" s="204"/>
      <c r="AI9" s="246"/>
      <c r="AJ9" s="204"/>
      <c r="AK9" s="246"/>
      <c r="AL9" s="204"/>
      <c r="AM9" s="246"/>
      <c r="AN9" s="204"/>
      <c r="AO9" s="246"/>
      <c r="AP9" s="204"/>
    </row>
    <row r="10" spans="1:42" ht="18" customHeight="1" x14ac:dyDescent="0.2">
      <c r="B10" s="200">
        <f>Inputs!B12</f>
        <v>0</v>
      </c>
      <c r="C10" s="201"/>
      <c r="D10" s="202"/>
      <c r="E10" s="202"/>
      <c r="F10" s="202"/>
      <c r="G10" s="202"/>
      <c r="H10" s="202"/>
      <c r="I10" s="202"/>
      <c r="J10" s="203" t="e">
        <f t="shared" si="0"/>
        <v>#DIV/0!</v>
      </c>
      <c r="K10" s="203" t="e">
        <f t="shared" si="3"/>
        <v>#DIV/0!</v>
      </c>
      <c r="L10" s="203" t="e">
        <f t="shared" si="4"/>
        <v>#DIV/0!</v>
      </c>
      <c r="M10" s="203">
        <f>Inputs!H12</f>
        <v>0</v>
      </c>
      <c r="N10" s="177" t="e">
        <f t="shared" si="1"/>
        <v>#DIV/0!</v>
      </c>
      <c r="O10" s="177" t="e">
        <f t="shared" si="2"/>
        <v>#DIV/0!</v>
      </c>
      <c r="P10" s="198"/>
      <c r="Q10" s="205"/>
      <c r="R10" s="249"/>
      <c r="S10" s="255"/>
      <c r="T10" s="252"/>
      <c r="U10" s="204"/>
      <c r="V10" s="258"/>
      <c r="W10" s="251"/>
      <c r="X10" s="204"/>
      <c r="Y10" s="251"/>
      <c r="Z10" s="204"/>
      <c r="AA10" s="249"/>
      <c r="AB10" s="204"/>
      <c r="AC10" s="249"/>
      <c r="AD10" s="204"/>
      <c r="AE10" s="254"/>
      <c r="AF10" s="206"/>
      <c r="AG10" s="254"/>
      <c r="AH10" s="206"/>
      <c r="AI10" s="254"/>
      <c r="AJ10" s="206"/>
      <c r="AK10" s="254"/>
      <c r="AL10" s="206"/>
      <c r="AM10" s="254"/>
      <c r="AN10" s="206"/>
      <c r="AO10" s="254"/>
      <c r="AP10" s="206"/>
    </row>
    <row r="11" spans="1:42" ht="18" customHeight="1" x14ac:dyDescent="0.2">
      <c r="B11" s="200">
        <f>Inputs!B13</f>
        <v>0</v>
      </c>
      <c r="C11" s="201"/>
      <c r="D11" s="202"/>
      <c r="E11" s="202"/>
      <c r="F11" s="202"/>
      <c r="G11" s="202"/>
      <c r="H11" s="202"/>
      <c r="I11" s="202"/>
      <c r="J11" s="203" t="e">
        <f t="shared" si="0"/>
        <v>#DIV/0!</v>
      </c>
      <c r="K11" s="203" t="e">
        <f t="shared" si="3"/>
        <v>#DIV/0!</v>
      </c>
      <c r="L11" s="203" t="e">
        <f t="shared" si="4"/>
        <v>#DIV/0!</v>
      </c>
      <c r="M11" s="203">
        <f>Inputs!H13</f>
        <v>0</v>
      </c>
      <c r="N11" s="177" t="e">
        <f t="shared" si="1"/>
        <v>#DIV/0!</v>
      </c>
      <c r="O11" s="177" t="e">
        <f t="shared" si="2"/>
        <v>#DIV/0!</v>
      </c>
      <c r="P11" s="198"/>
      <c r="Q11" s="205"/>
      <c r="R11" s="258"/>
      <c r="S11" s="255"/>
      <c r="T11" s="252"/>
      <c r="U11" s="204"/>
      <c r="V11" s="258"/>
      <c r="W11" s="259"/>
      <c r="X11" s="204"/>
      <c r="Y11" s="259"/>
      <c r="Z11" s="204"/>
      <c r="AA11" s="258"/>
      <c r="AB11" s="204"/>
      <c r="AC11" s="258"/>
      <c r="AD11" s="204"/>
      <c r="AE11" s="258"/>
      <c r="AF11" s="204"/>
      <c r="AG11" s="258"/>
      <c r="AH11" s="204"/>
      <c r="AI11" s="258"/>
      <c r="AJ11" s="204"/>
      <c r="AK11" s="258"/>
      <c r="AL11" s="204"/>
      <c r="AM11" s="258"/>
      <c r="AN11" s="204"/>
      <c r="AO11" s="258"/>
      <c r="AP11" s="204"/>
    </row>
    <row r="12" spans="1:42" ht="18" customHeight="1" x14ac:dyDescent="0.2">
      <c r="B12" s="200">
        <f>Inputs!B14</f>
        <v>0</v>
      </c>
      <c r="C12" s="201"/>
      <c r="D12" s="202"/>
      <c r="E12" s="202"/>
      <c r="F12" s="202"/>
      <c r="G12" s="202"/>
      <c r="H12" s="202"/>
      <c r="I12" s="202"/>
      <c r="J12" s="203" t="e">
        <f t="shared" si="0"/>
        <v>#DIV/0!</v>
      </c>
      <c r="K12" s="203" t="e">
        <f t="shared" si="3"/>
        <v>#DIV/0!</v>
      </c>
      <c r="L12" s="203" t="e">
        <f t="shared" si="4"/>
        <v>#DIV/0!</v>
      </c>
      <c r="M12" s="203">
        <f>Inputs!H14</f>
        <v>0</v>
      </c>
      <c r="N12" s="177" t="e">
        <f t="shared" si="1"/>
        <v>#DIV/0!</v>
      </c>
      <c r="O12" s="177" t="e">
        <f t="shared" si="2"/>
        <v>#DIV/0!</v>
      </c>
      <c r="P12" s="198"/>
      <c r="Q12" s="205"/>
      <c r="R12" s="254"/>
      <c r="S12" s="255"/>
      <c r="T12" s="252"/>
      <c r="U12" s="204"/>
      <c r="V12" s="254"/>
      <c r="W12" s="256"/>
      <c r="X12" s="254"/>
      <c r="Y12" s="256"/>
      <c r="Z12" s="254"/>
      <c r="AA12" s="254"/>
      <c r="AB12" s="254"/>
      <c r="AC12" s="254"/>
      <c r="AD12" s="254"/>
      <c r="AE12" s="254"/>
      <c r="AF12" s="254"/>
      <c r="AG12" s="254"/>
      <c r="AH12" s="254"/>
      <c r="AI12" s="254"/>
      <c r="AJ12" s="254"/>
      <c r="AK12" s="254"/>
      <c r="AL12" s="254"/>
      <c r="AM12" s="254"/>
      <c r="AN12" s="254"/>
      <c r="AO12" s="254"/>
      <c r="AP12" s="254"/>
    </row>
    <row r="13" spans="1:42" ht="18" customHeight="1" x14ac:dyDescent="0.2">
      <c r="B13" s="200">
        <f>Inputs!B15</f>
        <v>0</v>
      </c>
      <c r="C13" s="201"/>
      <c r="D13" s="202"/>
      <c r="E13" s="202"/>
      <c r="F13" s="202"/>
      <c r="G13" s="202"/>
      <c r="H13" s="202"/>
      <c r="I13" s="202"/>
      <c r="J13" s="203" t="e">
        <f t="shared" si="0"/>
        <v>#DIV/0!</v>
      </c>
      <c r="K13" s="203" t="e">
        <f t="shared" si="3"/>
        <v>#DIV/0!</v>
      </c>
      <c r="L13" s="203" t="e">
        <f t="shared" si="4"/>
        <v>#DIV/0!</v>
      </c>
      <c r="M13" s="203">
        <f>Inputs!H15</f>
        <v>0</v>
      </c>
      <c r="N13" s="177" t="e">
        <f t="shared" si="1"/>
        <v>#DIV/0!</v>
      </c>
      <c r="O13" s="177" t="e">
        <f t="shared" si="2"/>
        <v>#DIV/0!</v>
      </c>
      <c r="P13" s="198"/>
      <c r="Q13" s="205"/>
      <c r="R13" s="254"/>
      <c r="S13" s="255"/>
      <c r="T13" s="252"/>
      <c r="U13" s="204"/>
      <c r="V13" s="254"/>
      <c r="W13" s="256"/>
      <c r="X13" s="204"/>
      <c r="Y13" s="256"/>
      <c r="Z13" s="204"/>
      <c r="AA13" s="254"/>
      <c r="AB13" s="204"/>
      <c r="AC13" s="254"/>
      <c r="AD13" s="204"/>
      <c r="AE13" s="254"/>
      <c r="AF13" s="204"/>
      <c r="AG13" s="254"/>
      <c r="AH13" s="204"/>
      <c r="AI13" s="254"/>
      <c r="AJ13" s="204"/>
      <c r="AK13" s="254"/>
      <c r="AL13" s="204"/>
      <c r="AM13" s="254"/>
      <c r="AN13" s="204"/>
      <c r="AO13" s="254"/>
      <c r="AP13" s="204"/>
    </row>
    <row r="14" spans="1:42" ht="18" customHeight="1" x14ac:dyDescent="0.2">
      <c r="B14" s="200">
        <f>Inputs!B16</f>
        <v>0</v>
      </c>
      <c r="C14" s="201"/>
      <c r="D14" s="202"/>
      <c r="E14" s="202"/>
      <c r="F14" s="202"/>
      <c r="G14" s="202"/>
      <c r="H14" s="202"/>
      <c r="I14" s="202"/>
      <c r="J14" s="203" t="e">
        <f t="shared" si="0"/>
        <v>#DIV/0!</v>
      </c>
      <c r="K14" s="203" t="e">
        <f t="shared" si="3"/>
        <v>#DIV/0!</v>
      </c>
      <c r="L14" s="203" t="e">
        <f t="shared" si="4"/>
        <v>#DIV/0!</v>
      </c>
      <c r="M14" s="203">
        <f>Inputs!H16</f>
        <v>0</v>
      </c>
      <c r="N14" s="177" t="e">
        <f t="shared" si="1"/>
        <v>#DIV/0!</v>
      </c>
      <c r="O14" s="177" t="e">
        <f t="shared" si="2"/>
        <v>#DIV/0!</v>
      </c>
      <c r="P14" s="198"/>
      <c r="Q14" s="205"/>
      <c r="R14" s="260"/>
      <c r="S14" s="255"/>
      <c r="T14" s="261"/>
      <c r="U14" s="204"/>
      <c r="V14" s="260"/>
      <c r="W14" s="259"/>
      <c r="X14" s="260"/>
      <c r="Y14" s="260"/>
      <c r="Z14" s="260"/>
      <c r="AA14" s="260"/>
      <c r="AB14" s="260"/>
      <c r="AC14" s="260"/>
      <c r="AD14" s="260"/>
      <c r="AE14" s="260"/>
      <c r="AF14" s="260"/>
      <c r="AG14" s="260"/>
      <c r="AH14" s="260"/>
      <c r="AI14" s="260"/>
      <c r="AJ14" s="260"/>
      <c r="AK14" s="260"/>
      <c r="AL14" s="260"/>
      <c r="AM14" s="260"/>
      <c r="AN14" s="260"/>
      <c r="AO14" s="260"/>
      <c r="AP14" s="260"/>
    </row>
    <row r="15" spans="1:42" ht="18" customHeight="1" x14ac:dyDescent="0.2">
      <c r="B15" s="200">
        <f>Inputs!B17</f>
        <v>0</v>
      </c>
      <c r="C15" s="201"/>
      <c r="D15" s="202"/>
      <c r="E15" s="202"/>
      <c r="F15" s="202"/>
      <c r="G15" s="202"/>
      <c r="H15" s="202"/>
      <c r="I15" s="202"/>
      <c r="J15" s="203" t="e">
        <f t="shared" si="0"/>
        <v>#DIV/0!</v>
      </c>
      <c r="K15" s="203" t="e">
        <f t="shared" si="3"/>
        <v>#DIV/0!</v>
      </c>
      <c r="L15" s="203" t="e">
        <f t="shared" si="4"/>
        <v>#DIV/0!</v>
      </c>
      <c r="M15" s="203">
        <f>Inputs!H17</f>
        <v>0</v>
      </c>
      <c r="N15" s="177" t="e">
        <f t="shared" si="1"/>
        <v>#DIV/0!</v>
      </c>
      <c r="O15" s="177" t="e">
        <f t="shared" si="2"/>
        <v>#DIV/0!</v>
      </c>
      <c r="P15" s="198"/>
      <c r="Q15" s="205"/>
      <c r="R15" s="260"/>
      <c r="S15" s="255"/>
      <c r="T15" s="261"/>
      <c r="U15" s="262"/>
      <c r="V15" s="263"/>
      <c r="W15" s="259"/>
      <c r="X15" s="262"/>
      <c r="Y15" s="260"/>
      <c r="Z15" s="262"/>
      <c r="AA15" s="260"/>
      <c r="AB15" s="262"/>
      <c r="AC15" s="260"/>
      <c r="AD15" s="262"/>
      <c r="AE15" s="260"/>
      <c r="AF15" s="262"/>
      <c r="AG15" s="260"/>
      <c r="AH15" s="262"/>
      <c r="AI15" s="260"/>
      <c r="AJ15" s="262"/>
      <c r="AK15" s="260"/>
      <c r="AL15" s="262"/>
      <c r="AM15" s="260"/>
      <c r="AN15" s="262"/>
      <c r="AO15" s="260"/>
      <c r="AP15" s="262"/>
    </row>
    <row r="16" spans="1:42" ht="18" customHeight="1" x14ac:dyDescent="0.2">
      <c r="B16" s="200">
        <f>Inputs!B18</f>
        <v>0</v>
      </c>
      <c r="C16" s="201"/>
      <c r="D16" s="202"/>
      <c r="E16" s="202"/>
      <c r="F16" s="202"/>
      <c r="G16" s="202"/>
      <c r="H16" s="202"/>
      <c r="I16" s="202"/>
      <c r="J16" s="203" t="e">
        <f t="shared" si="0"/>
        <v>#DIV/0!</v>
      </c>
      <c r="K16" s="203" t="e">
        <f t="shared" si="3"/>
        <v>#DIV/0!</v>
      </c>
      <c r="L16" s="203" t="e">
        <f t="shared" si="4"/>
        <v>#DIV/0!</v>
      </c>
      <c r="M16" s="203">
        <f>Inputs!H18</f>
        <v>0</v>
      </c>
      <c r="N16" s="177" t="e">
        <f t="shared" si="1"/>
        <v>#DIV/0!</v>
      </c>
      <c r="O16" s="177" t="e">
        <f t="shared" si="2"/>
        <v>#DIV/0!</v>
      </c>
      <c r="P16" s="198"/>
      <c r="Q16" s="205"/>
      <c r="R16" s="264"/>
      <c r="S16" s="255"/>
      <c r="T16" s="265"/>
      <c r="U16" s="266"/>
      <c r="V16" s="264"/>
      <c r="W16" s="267"/>
      <c r="X16" s="266"/>
      <c r="Y16" s="264"/>
      <c r="Z16" s="266"/>
      <c r="AA16" s="264"/>
      <c r="AB16" s="266"/>
      <c r="AC16" s="264"/>
      <c r="AD16" s="266"/>
      <c r="AE16" s="264"/>
      <c r="AF16" s="266"/>
      <c r="AG16" s="264"/>
      <c r="AH16" s="266"/>
      <c r="AI16" s="264"/>
      <c r="AJ16" s="266"/>
      <c r="AK16" s="264"/>
      <c r="AL16" s="266"/>
      <c r="AM16" s="264"/>
      <c r="AN16" s="266"/>
      <c r="AO16" s="264"/>
      <c r="AP16" s="266"/>
    </row>
    <row r="17" spans="2:42" ht="18" customHeight="1" x14ac:dyDescent="0.2">
      <c r="B17" s="200">
        <f>Inputs!B19</f>
        <v>0</v>
      </c>
      <c r="C17" s="202"/>
      <c r="D17" s="202"/>
      <c r="E17" s="202"/>
      <c r="F17" s="202"/>
      <c r="G17" s="202"/>
      <c r="H17" s="202"/>
      <c r="I17" s="202"/>
      <c r="J17" s="203" t="e">
        <f t="shared" si="0"/>
        <v>#DIV/0!</v>
      </c>
      <c r="K17" s="203" t="e">
        <f t="shared" si="3"/>
        <v>#DIV/0!</v>
      </c>
      <c r="L17" s="203" t="e">
        <f t="shared" si="4"/>
        <v>#DIV/0!</v>
      </c>
      <c r="M17" s="203">
        <f>Inputs!H19</f>
        <v>0</v>
      </c>
      <c r="N17" s="177" t="e">
        <f t="shared" si="1"/>
        <v>#DIV/0!</v>
      </c>
      <c r="O17" s="177" t="e">
        <f t="shared" si="2"/>
        <v>#DIV/0!</v>
      </c>
      <c r="P17" s="198"/>
      <c r="Q17" s="205"/>
      <c r="R17" s="263"/>
      <c r="S17" s="262"/>
      <c r="T17" s="263"/>
      <c r="U17" s="262"/>
      <c r="V17" s="263"/>
      <c r="W17" s="268"/>
      <c r="X17" s="262"/>
      <c r="Y17" s="263"/>
      <c r="Z17" s="262"/>
      <c r="AA17" s="263"/>
      <c r="AB17" s="262"/>
      <c r="AC17" s="263"/>
      <c r="AD17" s="262"/>
      <c r="AE17" s="263"/>
      <c r="AF17" s="262"/>
      <c r="AG17" s="263"/>
      <c r="AH17" s="262"/>
      <c r="AI17" s="263"/>
      <c r="AJ17" s="262"/>
      <c r="AK17" s="263"/>
      <c r="AL17" s="262"/>
      <c r="AM17" s="263"/>
      <c r="AN17" s="262"/>
      <c r="AO17" s="263"/>
      <c r="AP17" s="262"/>
    </row>
    <row r="18" spans="2:42" ht="18" customHeight="1" x14ac:dyDescent="0.2">
      <c r="B18" s="200">
        <f>Inputs!B20</f>
        <v>0</v>
      </c>
      <c r="C18" s="202"/>
      <c r="D18" s="202"/>
      <c r="E18" s="202"/>
      <c r="F18" s="202"/>
      <c r="G18" s="202"/>
      <c r="H18" s="202"/>
      <c r="I18" s="202"/>
      <c r="J18" s="203" t="e">
        <f t="shared" si="0"/>
        <v>#DIV/0!</v>
      </c>
      <c r="K18" s="203" t="e">
        <f t="shared" si="3"/>
        <v>#DIV/0!</v>
      </c>
      <c r="L18" s="203" t="e">
        <f t="shared" si="4"/>
        <v>#DIV/0!</v>
      </c>
      <c r="M18" s="203">
        <f>Inputs!H20</f>
        <v>0</v>
      </c>
      <c r="N18" s="177" t="e">
        <f t="shared" si="1"/>
        <v>#DIV/0!</v>
      </c>
      <c r="O18" s="177" t="e">
        <f t="shared" si="2"/>
        <v>#DIV/0!</v>
      </c>
      <c r="P18" s="198"/>
      <c r="Q18" s="205"/>
      <c r="R18" s="263"/>
      <c r="S18" s="262"/>
      <c r="T18" s="263"/>
      <c r="U18" s="262"/>
      <c r="V18" s="263"/>
      <c r="W18" s="268"/>
      <c r="X18" s="262"/>
      <c r="Y18" s="263"/>
      <c r="Z18" s="262"/>
      <c r="AA18" s="263"/>
      <c r="AB18" s="262"/>
      <c r="AC18" s="263"/>
      <c r="AD18" s="262"/>
      <c r="AE18" s="263"/>
      <c r="AF18" s="262"/>
      <c r="AG18" s="263"/>
      <c r="AH18" s="262"/>
      <c r="AI18" s="263"/>
      <c r="AJ18" s="262"/>
      <c r="AK18" s="263"/>
      <c r="AL18" s="262"/>
      <c r="AM18" s="263"/>
      <c r="AN18" s="262"/>
      <c r="AO18" s="263"/>
      <c r="AP18" s="262"/>
    </row>
    <row r="19" spans="2:42" ht="18" customHeight="1" x14ac:dyDescent="0.2">
      <c r="B19" s="200">
        <f>Inputs!B21</f>
        <v>0</v>
      </c>
      <c r="C19" s="202"/>
      <c r="D19" s="202"/>
      <c r="E19" s="202"/>
      <c r="F19" s="202"/>
      <c r="G19" s="202"/>
      <c r="H19" s="202"/>
      <c r="I19" s="202"/>
      <c r="J19" s="203" t="e">
        <f t="shared" si="0"/>
        <v>#DIV/0!</v>
      </c>
      <c r="K19" s="203" t="e">
        <f>J19*30</f>
        <v>#DIV/0!</v>
      </c>
      <c r="L19" s="203" t="e">
        <f t="shared" si="4"/>
        <v>#DIV/0!</v>
      </c>
      <c r="M19" s="203">
        <f>Inputs!H21</f>
        <v>0</v>
      </c>
      <c r="N19" s="177" t="e">
        <f t="shared" si="1"/>
        <v>#DIV/0!</v>
      </c>
      <c r="O19" s="177" t="e">
        <f t="shared" si="2"/>
        <v>#DIV/0!</v>
      </c>
      <c r="P19" s="198"/>
      <c r="Q19" s="205"/>
      <c r="R19" s="263"/>
      <c r="S19" s="262"/>
      <c r="T19" s="263"/>
      <c r="U19" s="262"/>
      <c r="V19" s="263"/>
      <c r="W19" s="268"/>
      <c r="X19" s="262"/>
      <c r="Y19" s="263"/>
      <c r="Z19" s="262"/>
      <c r="AA19" s="263"/>
      <c r="AB19" s="262"/>
      <c r="AC19" s="263"/>
      <c r="AD19" s="262"/>
      <c r="AE19" s="263"/>
      <c r="AF19" s="262"/>
      <c r="AG19" s="263"/>
      <c r="AH19" s="262"/>
      <c r="AI19" s="263"/>
      <c r="AJ19" s="262"/>
      <c r="AK19" s="263"/>
      <c r="AL19" s="262"/>
      <c r="AM19" s="263"/>
      <c r="AN19" s="262"/>
      <c r="AO19" s="263"/>
      <c r="AP19" s="262"/>
    </row>
    <row r="20" spans="2:42" ht="18" customHeight="1" x14ac:dyDescent="0.2">
      <c r="B20" s="200">
        <f>Inputs!B22</f>
        <v>0</v>
      </c>
      <c r="C20" s="202"/>
      <c r="D20" s="202"/>
      <c r="E20" s="202"/>
      <c r="F20" s="202"/>
      <c r="G20" s="202"/>
      <c r="H20" s="202"/>
      <c r="I20" s="202"/>
      <c r="J20" s="203" t="e">
        <f t="shared" si="0"/>
        <v>#DIV/0!</v>
      </c>
      <c r="K20" s="203" t="e">
        <f t="shared" si="3"/>
        <v>#DIV/0!</v>
      </c>
      <c r="L20" s="203" t="e">
        <f t="shared" si="4"/>
        <v>#DIV/0!</v>
      </c>
      <c r="M20" s="203">
        <f>Inputs!H22</f>
        <v>0</v>
      </c>
      <c r="N20" s="177" t="e">
        <f t="shared" si="1"/>
        <v>#DIV/0!</v>
      </c>
      <c r="O20" s="177" t="e">
        <f t="shared" si="2"/>
        <v>#DIV/0!</v>
      </c>
      <c r="P20" s="198"/>
      <c r="Q20" s="205"/>
      <c r="R20" s="263"/>
      <c r="S20" s="262"/>
      <c r="T20" s="263"/>
      <c r="U20" s="262"/>
      <c r="V20" s="263"/>
      <c r="W20" s="268"/>
      <c r="X20" s="262"/>
      <c r="Y20" s="263"/>
      <c r="Z20" s="262"/>
      <c r="AA20" s="263"/>
      <c r="AB20" s="262"/>
      <c r="AC20" s="263"/>
      <c r="AD20" s="262"/>
      <c r="AE20" s="263"/>
      <c r="AF20" s="262"/>
      <c r="AG20" s="263"/>
      <c r="AH20" s="262"/>
      <c r="AI20" s="263"/>
      <c r="AJ20" s="262"/>
      <c r="AK20" s="263"/>
      <c r="AL20" s="262"/>
      <c r="AM20" s="263"/>
      <c r="AN20" s="262"/>
      <c r="AO20" s="263"/>
      <c r="AP20" s="262"/>
    </row>
    <row r="21" spans="2:42" ht="18" customHeight="1" x14ac:dyDescent="0.2">
      <c r="B21" s="207">
        <f>Inputs!B23</f>
        <v>0</v>
      </c>
      <c r="C21" s="208"/>
      <c r="D21" s="208"/>
      <c r="E21" s="208"/>
      <c r="F21" s="208"/>
      <c r="G21" s="208"/>
      <c r="H21" s="208"/>
      <c r="I21" s="208"/>
      <c r="J21" s="209" t="e">
        <f t="shared" si="0"/>
        <v>#DIV/0!</v>
      </c>
      <c r="K21" s="203" t="e">
        <f t="shared" si="3"/>
        <v>#DIV/0!</v>
      </c>
      <c r="L21" s="203" t="e">
        <f t="shared" si="4"/>
        <v>#DIV/0!</v>
      </c>
      <c r="M21" s="203">
        <f>Inputs!H23</f>
        <v>0</v>
      </c>
      <c r="N21" s="177" t="e">
        <f t="shared" si="1"/>
        <v>#DIV/0!</v>
      </c>
      <c r="O21" s="177" t="e">
        <f t="shared" si="2"/>
        <v>#DIV/0!</v>
      </c>
      <c r="P21" s="198"/>
      <c r="Q21" s="205"/>
      <c r="R21" s="263"/>
      <c r="S21" s="262"/>
      <c r="T21" s="263"/>
      <c r="U21" s="262"/>
      <c r="V21" s="263"/>
      <c r="W21" s="268"/>
      <c r="X21" s="262"/>
      <c r="Y21" s="263"/>
      <c r="Z21" s="262"/>
      <c r="AA21" s="263"/>
      <c r="AB21" s="262"/>
      <c r="AC21" s="263"/>
      <c r="AD21" s="262"/>
      <c r="AE21" s="263"/>
      <c r="AF21" s="262"/>
      <c r="AG21" s="263"/>
      <c r="AH21" s="262"/>
      <c r="AI21" s="263"/>
      <c r="AJ21" s="262"/>
      <c r="AK21" s="263"/>
      <c r="AL21" s="262"/>
      <c r="AM21" s="263"/>
      <c r="AN21" s="262"/>
      <c r="AO21" s="263"/>
      <c r="AP21" s="262"/>
    </row>
    <row r="22" spans="2:42" ht="18" customHeight="1" x14ac:dyDescent="0.2">
      <c r="B22" s="210" t="s">
        <v>339</v>
      </c>
      <c r="C22" s="182" t="e">
        <f>(O29+(0.3*C31))/C23</f>
        <v>#DIV/0!</v>
      </c>
      <c r="D22" s="211">
        <f t="shared" ref="D22:I22" si="5">SUM(D6:D21)</f>
        <v>0</v>
      </c>
      <c r="E22" s="211">
        <f t="shared" si="5"/>
        <v>0</v>
      </c>
      <c r="F22" s="211">
        <f t="shared" si="5"/>
        <v>0</v>
      </c>
      <c r="G22" s="211">
        <f t="shared" si="5"/>
        <v>0</v>
      </c>
      <c r="H22" s="211">
        <f t="shared" si="5"/>
        <v>0</v>
      </c>
      <c r="I22" s="211">
        <f t="shared" si="5"/>
        <v>0</v>
      </c>
      <c r="J22" s="211" t="e">
        <f>SUM(J7:J21)</f>
        <v>#DIV/0!</v>
      </c>
      <c r="K22" s="212"/>
      <c r="L22" s="212"/>
      <c r="M22" s="213"/>
      <c r="N22" s="189"/>
      <c r="O22" s="182" t="e">
        <f>SUM(O7:O21)</f>
        <v>#DIV/0!</v>
      </c>
      <c r="P22" s="198"/>
      <c r="Q22" s="205"/>
      <c r="R22" s="263"/>
      <c r="S22" s="262"/>
      <c r="T22" s="263"/>
      <c r="U22" s="262"/>
      <c r="V22" s="263"/>
      <c r="W22" s="268"/>
      <c r="X22" s="262"/>
      <c r="Y22" s="263"/>
      <c r="Z22" s="262"/>
      <c r="AA22" s="263"/>
      <c r="AB22" s="262"/>
      <c r="AC22" s="263"/>
      <c r="AD22" s="262"/>
      <c r="AE22" s="263"/>
      <c r="AF22" s="262"/>
      <c r="AG22" s="263"/>
      <c r="AH22" s="262"/>
      <c r="AI22" s="263"/>
      <c r="AJ22" s="262"/>
      <c r="AK22" s="263"/>
      <c r="AL22" s="262"/>
      <c r="AM22" s="263"/>
      <c r="AN22" s="262"/>
      <c r="AO22" s="263"/>
      <c r="AP22" s="262"/>
    </row>
    <row r="23" spans="2:42" ht="18" customHeight="1" x14ac:dyDescent="0.2">
      <c r="B23" s="214" t="s">
        <v>340</v>
      </c>
      <c r="C23" s="215"/>
      <c r="D23" s="216"/>
      <c r="E23" s="216"/>
      <c r="F23" s="216"/>
      <c r="G23" s="216"/>
      <c r="H23" s="216"/>
      <c r="I23" s="216"/>
      <c r="J23" s="217"/>
      <c r="K23" s="218"/>
      <c r="L23" s="219"/>
      <c r="M23" s="220"/>
      <c r="N23" s="221"/>
      <c r="O23" s="205"/>
      <c r="P23" s="205"/>
      <c r="Q23" s="205"/>
      <c r="R23" s="263"/>
      <c r="S23" s="262"/>
      <c r="T23" s="263"/>
      <c r="U23" s="262"/>
      <c r="V23" s="263"/>
      <c r="W23" s="268"/>
      <c r="X23" s="262"/>
      <c r="Y23" s="263"/>
      <c r="Z23" s="262"/>
      <c r="AA23" s="263"/>
      <c r="AB23" s="262"/>
      <c r="AC23" s="263"/>
      <c r="AD23" s="262"/>
      <c r="AE23" s="263"/>
      <c r="AF23" s="262"/>
      <c r="AG23" s="263"/>
      <c r="AH23" s="262"/>
      <c r="AI23" s="263"/>
      <c r="AJ23" s="262"/>
      <c r="AK23" s="263"/>
      <c r="AL23" s="262"/>
      <c r="AM23" s="263"/>
      <c r="AN23" s="262"/>
      <c r="AO23" s="263"/>
      <c r="AP23" s="262"/>
    </row>
    <row r="24" spans="2:42" ht="18" customHeight="1" x14ac:dyDescent="0.2">
      <c r="B24" s="214" t="s">
        <v>341</v>
      </c>
      <c r="C24" s="222">
        <f>SUM(C7:C21)</f>
        <v>0</v>
      </c>
      <c r="D24" s="223"/>
      <c r="E24" s="193"/>
      <c r="F24" s="193"/>
      <c r="G24" s="193"/>
      <c r="H24" s="193"/>
      <c r="I24" s="193"/>
      <c r="J24" s="224"/>
      <c r="K24" s="195"/>
      <c r="L24" s="195"/>
      <c r="M24" s="220"/>
      <c r="N24" s="221"/>
      <c r="O24" s="205"/>
      <c r="P24" s="205"/>
      <c r="Q24" s="205"/>
      <c r="R24" s="263"/>
      <c r="S24" s="262"/>
      <c r="T24" s="263"/>
      <c r="U24" s="262"/>
      <c r="V24" s="263"/>
      <c r="W24" s="268"/>
      <c r="X24" s="262"/>
      <c r="Y24" s="263"/>
      <c r="Z24" s="262"/>
      <c r="AA24" s="263"/>
      <c r="AB24" s="262"/>
      <c r="AC24" s="263"/>
      <c r="AD24" s="262"/>
      <c r="AE24" s="263"/>
      <c r="AF24" s="262"/>
      <c r="AG24" s="263"/>
      <c r="AH24" s="262"/>
      <c r="AI24" s="263"/>
      <c r="AJ24" s="262"/>
      <c r="AK24" s="263"/>
      <c r="AL24" s="262"/>
      <c r="AM24" s="263"/>
      <c r="AN24" s="262"/>
      <c r="AO24" s="263"/>
      <c r="AP24" s="262"/>
    </row>
    <row r="25" spans="2:42" ht="18" customHeight="1" x14ac:dyDescent="0.2">
      <c r="B25" s="225" t="s">
        <v>342</v>
      </c>
      <c r="C25" s="226" t="e">
        <f>(C7/100)*C22*$M$7+(C8/100)*C22*$M$8+(C9/100)*C22*$M$9+(C10/100)*C22*$M$10+(C11/100)*C22*$M$11+(C12/100)*C22*$M$12+(C13/100)*C22*$M$13+(C14/100)*C22*$M$14+(C15/100)*C22*$M$15+(C16/100)*C22*$M$16+(C17/100)*C22*$M$17+(C18/100)*C22*$M$18+(C19/100)*C22*$M$19+(C20/100)*C22*$M$20+(C21/100)*C22*$M$21</f>
        <v>#DIV/0!</v>
      </c>
      <c r="D25" s="226">
        <f t="shared" ref="D25:I25" si="6">D7*$M$7+D8*$M$8+D9*$M$9+D10*$M$10+D11*$M$11+D12*$M$12+D13*$M$13+D14*$M$14+D15*$M$15+D16*$M$16+D17*$M$17+D18*$M$18+D19*$M$19+D20*$M$20+D21*$M$21</f>
        <v>0</v>
      </c>
      <c r="E25" s="226">
        <f t="shared" si="6"/>
        <v>0</v>
      </c>
      <c r="F25" s="226">
        <f>F7*$M$7+F8*$M$8+F9*$M$9+F10*$M$10+F11*$M$11+F12*$M$12+F13*$M$13+F14*$M$14+F15*$M$15+F16*$M$16+F17*$M$17+F18*$M$18+F19*$M$19+F20*$M$20+F21*$M$21</f>
        <v>0</v>
      </c>
      <c r="G25" s="226">
        <f t="shared" si="6"/>
        <v>0</v>
      </c>
      <c r="H25" s="226">
        <f t="shared" si="6"/>
        <v>0</v>
      </c>
      <c r="I25" s="226">
        <f t="shared" si="6"/>
        <v>0</v>
      </c>
      <c r="J25" s="224"/>
      <c r="K25" s="195"/>
      <c r="L25" s="195"/>
      <c r="M25" s="227"/>
      <c r="N25" s="228"/>
      <c r="O25" s="205"/>
      <c r="P25" s="205"/>
      <c r="Q25" s="205"/>
      <c r="R25" s="263"/>
      <c r="S25" s="262"/>
      <c r="T25" s="263"/>
      <c r="U25" s="262"/>
      <c r="V25" s="263"/>
      <c r="W25" s="268"/>
      <c r="X25" s="262"/>
      <c r="Y25" s="263"/>
      <c r="Z25" s="262"/>
      <c r="AA25" s="263"/>
      <c r="AB25" s="262"/>
      <c r="AC25" s="263"/>
      <c r="AD25" s="262"/>
      <c r="AE25" s="263"/>
      <c r="AF25" s="262"/>
      <c r="AG25" s="263"/>
      <c r="AH25" s="262"/>
      <c r="AI25" s="263"/>
      <c r="AJ25" s="262"/>
      <c r="AK25" s="263"/>
      <c r="AL25" s="262"/>
      <c r="AM25" s="263"/>
      <c r="AN25" s="262"/>
      <c r="AO25" s="263"/>
      <c r="AP25" s="262"/>
    </row>
    <row r="26" spans="2:42" ht="18" customHeight="1" x14ac:dyDescent="0.2">
      <c r="B26" s="205"/>
      <c r="C26" s="223"/>
      <c r="D26" s="223"/>
      <c r="E26" s="193"/>
      <c r="F26" s="193"/>
      <c r="G26" s="193"/>
      <c r="H26" s="193"/>
      <c r="I26" s="193"/>
      <c r="J26" s="224"/>
      <c r="K26" s="195"/>
      <c r="L26" s="195"/>
      <c r="M26" s="220"/>
      <c r="N26" s="221"/>
      <c r="O26" s="205"/>
      <c r="P26" s="205"/>
      <c r="Q26" s="205"/>
      <c r="R26" s="263"/>
      <c r="S26" s="262"/>
      <c r="T26" s="263"/>
      <c r="U26" s="262"/>
      <c r="V26" s="263"/>
      <c r="W26" s="268"/>
      <c r="X26" s="262"/>
      <c r="Y26" s="263"/>
      <c r="Z26" s="262"/>
      <c r="AA26" s="263"/>
      <c r="AB26" s="262"/>
      <c r="AC26" s="263"/>
      <c r="AD26" s="262"/>
      <c r="AE26" s="263"/>
      <c r="AF26" s="262"/>
      <c r="AG26" s="263"/>
      <c r="AH26" s="262"/>
      <c r="AI26" s="263"/>
      <c r="AJ26" s="262"/>
      <c r="AK26" s="263"/>
      <c r="AL26" s="262"/>
      <c r="AM26" s="263"/>
      <c r="AN26" s="262"/>
      <c r="AO26" s="263"/>
      <c r="AP26" s="262"/>
    </row>
    <row r="27" spans="2:42" ht="18" customHeight="1" x14ac:dyDescent="0.2">
      <c r="B27" s="225" t="s">
        <v>343</v>
      </c>
      <c r="C27" s="229" t="e">
        <f>AVERAGE('Ev. Rebanho'!N30:P30)</f>
        <v>#DIV/0!</v>
      </c>
      <c r="D27" s="229" t="e">
        <f>(((SUM('Ev. Rebanho'!N31:P31))-(SUM('Ev. Rebanho'!N30:P30)))/3)/2</f>
        <v>#DIV/0!</v>
      </c>
      <c r="E27" s="229" t="e">
        <f>D27+((SUM('Ev. Rebanho'!N24:P24)/3))</f>
        <v>#DIV/0!</v>
      </c>
      <c r="F27" s="229" t="e">
        <f>(((SUM('Ev. Rebanho'!N36:P36)/3)/((SUM('Ev. Rebanho'!N16:P16))/3))*3)</f>
        <v>#DIV/0!</v>
      </c>
      <c r="G27" s="229" t="e">
        <f>(F27/3)*4</f>
        <v>#DIV/0!</v>
      </c>
      <c r="H27" s="229" t="e">
        <f>(F27/3)*8</f>
        <v>#DIV/0!</v>
      </c>
      <c r="I27" s="229" t="e">
        <f>(F27/3)*(((SUM('Ev. Rebanho'!N16:P16)/3)-16))</f>
        <v>#DIV/0!</v>
      </c>
      <c r="J27" s="224"/>
      <c r="K27" s="198"/>
      <c r="L27" s="198"/>
      <c r="M27" s="198"/>
      <c r="N27" s="198"/>
      <c r="O27" s="205"/>
      <c r="P27" s="205"/>
      <c r="Q27" s="198"/>
      <c r="U27" s="266"/>
      <c r="V27" s="264"/>
      <c r="W27" s="268"/>
      <c r="X27" s="266"/>
      <c r="Y27" s="263"/>
      <c r="Z27" s="266"/>
      <c r="AA27" s="263"/>
      <c r="AB27" s="266"/>
      <c r="AC27" s="263"/>
      <c r="AD27" s="266"/>
      <c r="AE27" s="263"/>
      <c r="AF27" s="266"/>
      <c r="AG27" s="263"/>
      <c r="AH27" s="266"/>
      <c r="AI27" s="263"/>
      <c r="AJ27" s="266"/>
      <c r="AK27" s="263"/>
      <c r="AL27" s="266"/>
      <c r="AM27" s="263"/>
      <c r="AN27" s="266"/>
      <c r="AO27" s="263"/>
      <c r="AP27" s="266"/>
    </row>
    <row r="28" spans="2:42" ht="18" customHeight="1" x14ac:dyDescent="0.2">
      <c r="J28" s="224"/>
      <c r="K28" s="198"/>
      <c r="L28" s="198"/>
      <c r="M28" s="198"/>
      <c r="N28" s="387"/>
      <c r="O28" s="386"/>
      <c r="P28" s="386"/>
      <c r="Q28" s="198"/>
      <c r="U28" s="266"/>
      <c r="V28" s="264"/>
      <c r="W28" s="268"/>
      <c r="X28" s="266"/>
      <c r="Y28" s="263"/>
      <c r="Z28" s="266"/>
      <c r="AA28" s="263"/>
      <c r="AB28" s="266"/>
      <c r="AC28" s="263"/>
      <c r="AD28" s="266"/>
      <c r="AE28" s="263"/>
      <c r="AF28" s="266"/>
      <c r="AG28" s="263"/>
      <c r="AH28" s="266"/>
      <c r="AI28" s="263"/>
      <c r="AJ28" s="266"/>
      <c r="AK28" s="263"/>
      <c r="AL28" s="266"/>
      <c r="AM28" s="263"/>
      <c r="AN28" s="266"/>
      <c r="AO28" s="263"/>
      <c r="AP28" s="266"/>
    </row>
    <row r="29" spans="2:42" ht="18" customHeight="1" x14ac:dyDescent="0.2">
      <c r="B29" s="1158" t="s">
        <v>352</v>
      </c>
      <c r="C29" s="1158"/>
      <c r="D29" s="1158"/>
      <c r="J29" s="224"/>
      <c r="K29" s="198"/>
      <c r="L29" s="198"/>
      <c r="M29" s="198"/>
      <c r="N29" s="387"/>
      <c r="O29" s="387">
        <f>POWER('Input Zootecnico atual'!C12,0.75)*0.0968</f>
        <v>0</v>
      </c>
      <c r="P29" s="386"/>
      <c r="Q29" s="198"/>
      <c r="U29" s="266"/>
      <c r="V29" s="264"/>
      <c r="W29" s="268"/>
      <c r="X29" s="266"/>
      <c r="Y29" s="263"/>
      <c r="Z29" s="266"/>
      <c r="AA29" s="263"/>
      <c r="AB29" s="266"/>
      <c r="AC29" s="263"/>
      <c r="AD29" s="266"/>
      <c r="AE29" s="263"/>
      <c r="AF29" s="266"/>
      <c r="AG29" s="263"/>
      <c r="AH29" s="266"/>
      <c r="AI29" s="263"/>
      <c r="AJ29" s="266"/>
      <c r="AK29" s="263"/>
      <c r="AL29" s="266"/>
      <c r="AM29" s="263"/>
      <c r="AN29" s="266"/>
      <c r="AO29" s="263"/>
      <c r="AP29" s="266"/>
    </row>
    <row r="30" spans="2:42" ht="18" customHeight="1" x14ac:dyDescent="0.2">
      <c r="B30" s="176" t="s">
        <v>35</v>
      </c>
      <c r="C30" s="231" t="s">
        <v>36</v>
      </c>
      <c r="D30" s="230" t="s">
        <v>353</v>
      </c>
      <c r="E30" s="220"/>
      <c r="F30" s="198"/>
      <c r="G30" s="220"/>
      <c r="H30" s="220"/>
      <c r="I30" s="220"/>
      <c r="J30" s="224"/>
      <c r="K30" s="198"/>
      <c r="L30" s="198"/>
      <c r="M30" s="198"/>
      <c r="N30" s="387"/>
      <c r="O30" s="386"/>
      <c r="P30" s="386"/>
      <c r="Q30" s="198"/>
      <c r="U30" s="262"/>
      <c r="V30" s="263"/>
      <c r="W30" s="268"/>
      <c r="X30" s="262"/>
      <c r="Y30" s="263"/>
      <c r="Z30" s="262"/>
      <c r="AA30" s="263"/>
      <c r="AB30" s="262"/>
      <c r="AC30" s="263"/>
      <c r="AD30" s="262"/>
      <c r="AE30" s="263"/>
      <c r="AF30" s="262"/>
      <c r="AG30" s="263"/>
      <c r="AH30" s="262"/>
      <c r="AI30" s="263"/>
      <c r="AJ30" s="262"/>
      <c r="AK30" s="263"/>
      <c r="AL30" s="262"/>
      <c r="AM30" s="263"/>
      <c r="AN30" s="262"/>
      <c r="AO30" s="263"/>
      <c r="AP30" s="262"/>
    </row>
    <row r="31" spans="2:42" ht="18" customHeight="1" x14ac:dyDescent="0.2">
      <c r="B31" s="232" t="s">
        <v>368</v>
      </c>
      <c r="C31" s="203" t="e">
        <f>AVERAGE('Ev. Rebanho'!N33:P33)</f>
        <v>#DIV/0!</v>
      </c>
      <c r="D31" s="179" t="s">
        <v>354</v>
      </c>
      <c r="E31" s="198"/>
      <c r="F31" s="198"/>
      <c r="G31" s="198"/>
      <c r="H31" s="198"/>
      <c r="I31" s="198"/>
      <c r="J31" s="198"/>
      <c r="K31" s="198"/>
      <c r="L31" s="198"/>
      <c r="M31" s="198"/>
      <c r="N31" s="198"/>
      <c r="O31" s="205"/>
      <c r="P31" s="205"/>
      <c r="Q31" s="269"/>
      <c r="R31" s="254"/>
      <c r="S31" s="254"/>
      <c r="T31" s="254"/>
      <c r="U31" s="254"/>
      <c r="V31" s="246"/>
      <c r="W31" s="256"/>
      <c r="X31" s="254"/>
      <c r="Y31" s="256"/>
      <c r="Z31" s="254"/>
      <c r="AA31" s="254"/>
      <c r="AB31" s="254"/>
      <c r="AC31" s="254"/>
      <c r="AD31" s="254"/>
      <c r="AE31" s="254"/>
      <c r="AF31" s="254"/>
      <c r="AG31" s="254"/>
      <c r="AH31" s="254"/>
      <c r="AI31" s="254"/>
      <c r="AJ31" s="254"/>
      <c r="AK31" s="254"/>
      <c r="AL31" s="254"/>
      <c r="AM31" s="254"/>
      <c r="AN31" s="254"/>
      <c r="AO31" s="254"/>
      <c r="AP31" s="254"/>
    </row>
    <row r="32" spans="2:42" ht="18" customHeight="1" x14ac:dyDescent="0.2">
      <c r="B32" s="232" t="s">
        <v>367</v>
      </c>
      <c r="C32" s="203" t="e">
        <f>C31*$C$39*C27</f>
        <v>#DIV/0!</v>
      </c>
      <c r="D32" s="179" t="s">
        <v>355</v>
      </c>
      <c r="E32" s="198"/>
      <c r="F32" s="198"/>
      <c r="G32" s="198"/>
      <c r="H32" s="195"/>
      <c r="I32" s="198"/>
      <c r="J32" s="198"/>
      <c r="K32" s="198"/>
      <c r="L32" s="198"/>
      <c r="M32" s="198"/>
      <c r="N32" s="198"/>
      <c r="O32" s="205"/>
      <c r="P32" s="221"/>
      <c r="Q32" s="245"/>
      <c r="R32" s="270"/>
      <c r="S32" s="262"/>
      <c r="T32" s="270"/>
      <c r="U32" s="262"/>
      <c r="V32" s="260"/>
      <c r="W32" s="251"/>
      <c r="X32" s="262"/>
      <c r="Y32" s="270"/>
      <c r="Z32" s="262"/>
      <c r="AA32" s="270"/>
      <c r="AB32" s="262"/>
      <c r="AC32" s="270"/>
      <c r="AD32" s="262"/>
      <c r="AE32" s="270"/>
      <c r="AF32" s="262"/>
      <c r="AG32" s="270"/>
      <c r="AH32" s="262"/>
      <c r="AI32" s="270"/>
      <c r="AJ32" s="262"/>
      <c r="AK32" s="270"/>
      <c r="AL32" s="262"/>
      <c r="AM32" s="270"/>
      <c r="AN32" s="262"/>
      <c r="AO32" s="270"/>
      <c r="AP32" s="262"/>
    </row>
    <row r="33" spans="1:138" ht="18" customHeight="1" x14ac:dyDescent="0.2">
      <c r="B33" s="232" t="s">
        <v>369</v>
      </c>
      <c r="C33" s="203" t="e">
        <f>C32-(C27*C25)</f>
        <v>#DIV/0!</v>
      </c>
      <c r="D33" s="179" t="s">
        <v>355</v>
      </c>
      <c r="E33" s="198"/>
      <c r="F33" s="198"/>
      <c r="G33" s="198"/>
      <c r="H33" s="198"/>
      <c r="I33" s="198"/>
      <c r="J33" s="198"/>
      <c r="K33" s="195"/>
      <c r="L33" s="195"/>
      <c r="M33" s="195"/>
      <c r="N33" s="195"/>
      <c r="O33" s="205"/>
      <c r="P33" s="221"/>
      <c r="Q33" s="245"/>
      <c r="R33" s="270"/>
      <c r="S33" s="262"/>
      <c r="T33" s="270"/>
      <c r="U33" s="262"/>
      <c r="V33" s="259"/>
      <c r="W33" s="251"/>
      <c r="X33" s="262"/>
      <c r="Y33" s="270"/>
      <c r="Z33" s="262"/>
      <c r="AA33" s="270"/>
      <c r="AB33" s="262"/>
      <c r="AC33" s="270"/>
      <c r="AD33" s="262"/>
      <c r="AE33" s="270"/>
      <c r="AF33" s="262"/>
      <c r="AG33" s="270"/>
      <c r="AH33" s="262"/>
      <c r="AI33" s="270"/>
      <c r="AJ33" s="262"/>
      <c r="AK33" s="270"/>
      <c r="AL33" s="262"/>
      <c r="AM33" s="270"/>
      <c r="AN33" s="262"/>
      <c r="AO33" s="270"/>
      <c r="AP33" s="262"/>
    </row>
    <row r="34" spans="1:138" ht="18" customHeight="1" x14ac:dyDescent="0.2">
      <c r="B34" s="232" t="s">
        <v>347</v>
      </c>
      <c r="C34" s="203" t="e">
        <f>(((C31/1.033)*0.985)*$C$39)-C25</f>
        <v>#DIV/0!</v>
      </c>
      <c r="D34" s="179" t="s">
        <v>356</v>
      </c>
      <c r="E34" s="198"/>
      <c r="F34" s="198"/>
      <c r="G34" s="198"/>
      <c r="H34" s="233"/>
      <c r="I34" s="198"/>
      <c r="J34" s="198"/>
      <c r="K34" s="195"/>
      <c r="L34" s="195"/>
      <c r="M34" s="195"/>
      <c r="N34" s="195"/>
      <c r="O34" s="205"/>
      <c r="P34" s="205"/>
      <c r="Q34" s="205"/>
      <c r="R34" s="254"/>
      <c r="S34" s="271"/>
      <c r="T34" s="254"/>
      <c r="U34" s="271"/>
      <c r="V34" s="246"/>
      <c r="W34" s="256"/>
      <c r="X34" s="271"/>
      <c r="Y34" s="256"/>
      <c r="Z34" s="271"/>
      <c r="AA34" s="254"/>
      <c r="AB34" s="271"/>
      <c r="AC34" s="254"/>
      <c r="AD34" s="271"/>
      <c r="AE34" s="254"/>
      <c r="AF34" s="271"/>
      <c r="AG34" s="254"/>
      <c r="AH34" s="271"/>
      <c r="AI34" s="254"/>
      <c r="AJ34" s="271"/>
      <c r="AK34" s="254"/>
      <c r="AL34" s="271"/>
      <c r="AM34" s="254"/>
      <c r="AN34" s="271"/>
      <c r="AO34" s="254"/>
      <c r="AP34" s="271"/>
    </row>
    <row r="35" spans="1:138" ht="18" customHeight="1" x14ac:dyDescent="0.2">
      <c r="B35" s="232" t="s">
        <v>370</v>
      </c>
      <c r="C35" s="203" t="e">
        <f>C25*100/C31</f>
        <v>#DIV/0!</v>
      </c>
      <c r="D35" s="179" t="s">
        <v>18</v>
      </c>
      <c r="E35" s="198"/>
      <c r="F35" s="198"/>
      <c r="G35" s="198"/>
      <c r="H35" s="198"/>
      <c r="I35" s="198"/>
      <c r="J35" s="198"/>
      <c r="K35" s="220"/>
      <c r="L35" s="234" t="s">
        <v>345</v>
      </c>
      <c r="M35" s="198"/>
      <c r="N35" s="198"/>
      <c r="O35" s="195"/>
      <c r="P35" s="195"/>
      <c r="Q35" s="195"/>
      <c r="R35" s="272"/>
      <c r="S35" s="272"/>
      <c r="T35" s="272"/>
      <c r="U35" s="272"/>
      <c r="V35" s="272"/>
      <c r="W35" s="272"/>
      <c r="X35" s="272"/>
      <c r="Y35" s="272"/>
      <c r="Z35" s="272"/>
      <c r="AA35" s="272"/>
      <c r="AB35" s="272"/>
      <c r="AC35" s="272"/>
      <c r="AD35" s="272"/>
      <c r="AE35" s="272"/>
      <c r="AF35" s="272"/>
      <c r="AG35" s="272"/>
      <c r="AH35" s="272"/>
      <c r="AI35" s="272"/>
      <c r="AJ35" s="272"/>
      <c r="AK35" s="272"/>
      <c r="AL35" s="272"/>
      <c r="AM35" s="272"/>
      <c r="AN35" s="272"/>
      <c r="AO35" s="272"/>
      <c r="AP35" s="272"/>
    </row>
    <row r="36" spans="1:138" ht="18" customHeight="1" x14ac:dyDescent="0.2">
      <c r="B36" s="232" t="s">
        <v>371</v>
      </c>
      <c r="C36" s="203" t="e">
        <f>(C25-((D25+E25)/2))/C31</f>
        <v>#DIV/0!</v>
      </c>
      <c r="D36" s="179" t="s">
        <v>41</v>
      </c>
      <c r="E36" s="198"/>
      <c r="F36" s="198"/>
      <c r="G36" s="198"/>
      <c r="H36" s="235"/>
      <c r="I36" s="198"/>
      <c r="J36" s="198"/>
      <c r="K36" s="198"/>
      <c r="L36" s="234" t="s">
        <v>346</v>
      </c>
      <c r="M36" s="198"/>
      <c r="N36" s="198"/>
      <c r="O36" s="195"/>
      <c r="P36" s="195"/>
      <c r="Q36" s="195"/>
      <c r="R36" s="273"/>
      <c r="S36" s="274"/>
      <c r="T36" s="273"/>
      <c r="U36" s="274"/>
      <c r="V36" s="275"/>
      <c r="W36" s="276"/>
      <c r="X36" s="274"/>
      <c r="Y36" s="276"/>
      <c r="Z36" s="274"/>
      <c r="AA36" s="273"/>
      <c r="AB36" s="274"/>
      <c r="AC36" s="273"/>
      <c r="AD36" s="274"/>
      <c r="AE36" s="273"/>
      <c r="AF36" s="274"/>
      <c r="AG36" s="273"/>
      <c r="AH36" s="274"/>
      <c r="AI36" s="273"/>
      <c r="AJ36" s="274"/>
      <c r="AK36" s="273"/>
      <c r="AL36" s="274"/>
      <c r="AM36" s="273"/>
      <c r="AN36" s="274"/>
      <c r="AO36" s="273"/>
      <c r="AP36" s="274"/>
    </row>
    <row r="37" spans="1:138" ht="18" customHeight="1" x14ac:dyDescent="0.2">
      <c r="B37" s="232" t="s">
        <v>344</v>
      </c>
      <c r="C37" s="236" t="e">
        <f>(F27+G27+H27+I27)/(C27+D27+E27+F27+G27+H27+I27)</f>
        <v>#DIV/0!</v>
      </c>
      <c r="D37" s="179" t="s">
        <v>174</v>
      </c>
      <c r="E37" s="198"/>
      <c r="F37" s="198"/>
      <c r="G37" s="198"/>
      <c r="H37" s="220"/>
      <c r="I37" s="198"/>
      <c r="J37" s="198"/>
      <c r="K37" s="223"/>
      <c r="L37" s="220"/>
      <c r="M37" s="198"/>
      <c r="N37" s="198"/>
      <c r="O37" s="277"/>
      <c r="P37" s="277"/>
      <c r="Q37" s="278"/>
      <c r="R37" s="279"/>
      <c r="S37" s="280"/>
      <c r="T37" s="281"/>
      <c r="U37" s="280"/>
      <c r="V37" s="274"/>
      <c r="W37" s="282"/>
      <c r="X37" s="280"/>
      <c r="Y37" s="281"/>
      <c r="Z37" s="280"/>
      <c r="AA37" s="281"/>
      <c r="AB37" s="280"/>
      <c r="AC37" s="281"/>
      <c r="AD37" s="280"/>
      <c r="AE37" s="281"/>
      <c r="AF37" s="280"/>
      <c r="AG37" s="281"/>
      <c r="AH37" s="280"/>
      <c r="AI37" s="281"/>
      <c r="AJ37" s="280"/>
      <c r="AK37" s="281"/>
      <c r="AL37" s="280"/>
      <c r="AM37" s="281"/>
      <c r="AN37" s="280"/>
      <c r="AO37" s="281"/>
      <c r="AP37" s="280"/>
      <c r="AQ37" s="237"/>
      <c r="AR37" s="237"/>
      <c r="AS37" s="237"/>
      <c r="AT37" s="237"/>
      <c r="AU37" s="237"/>
      <c r="AV37" s="237"/>
      <c r="AW37" s="237"/>
      <c r="AX37" s="237"/>
      <c r="AY37" s="237"/>
      <c r="AZ37" s="237"/>
      <c r="BA37" s="237"/>
      <c r="BB37" s="237"/>
      <c r="BC37" s="237"/>
      <c r="BD37" s="237"/>
      <c r="BE37" s="237"/>
      <c r="BF37" s="237"/>
      <c r="BG37" s="237"/>
      <c r="BH37" s="237"/>
      <c r="BI37" s="237"/>
      <c r="BJ37" s="237"/>
      <c r="BK37" s="237"/>
      <c r="BL37" s="237"/>
      <c r="BM37" s="237"/>
      <c r="BN37" s="237"/>
      <c r="BO37" s="237"/>
      <c r="BP37" s="237"/>
      <c r="BQ37" s="237"/>
      <c r="BR37" s="237"/>
      <c r="BS37" s="237"/>
      <c r="BT37" s="237"/>
      <c r="BU37" s="237"/>
      <c r="BV37" s="237"/>
      <c r="BW37" s="237"/>
      <c r="BX37" s="237"/>
      <c r="BY37" s="237"/>
      <c r="BZ37" s="237"/>
      <c r="CA37" s="237"/>
      <c r="CB37" s="237"/>
      <c r="CC37" s="237"/>
      <c r="CD37" s="237"/>
      <c r="CE37" s="237"/>
      <c r="CF37" s="237"/>
      <c r="CG37" s="237"/>
      <c r="CH37" s="237"/>
      <c r="CI37" s="237"/>
      <c r="CJ37" s="237"/>
      <c r="CK37" s="237"/>
      <c r="CL37" s="237"/>
      <c r="CM37" s="237"/>
      <c r="CN37" s="237"/>
      <c r="CO37" s="237"/>
      <c r="CP37" s="237"/>
      <c r="CQ37" s="237"/>
      <c r="CR37" s="237"/>
      <c r="CS37" s="237"/>
      <c r="CT37" s="237"/>
      <c r="CU37" s="237"/>
      <c r="CV37" s="237"/>
      <c r="CW37" s="237"/>
      <c r="CX37" s="237"/>
      <c r="CY37" s="237"/>
      <c r="CZ37" s="237"/>
      <c r="DA37" s="237"/>
      <c r="DB37" s="237"/>
      <c r="DC37" s="237"/>
      <c r="DD37" s="237"/>
      <c r="DE37" s="237"/>
      <c r="DF37" s="237"/>
      <c r="DG37" s="237"/>
      <c r="DH37" s="237"/>
      <c r="DI37" s="237"/>
      <c r="DJ37" s="237"/>
      <c r="DK37" s="237"/>
      <c r="DL37" s="237"/>
      <c r="DM37" s="237"/>
      <c r="DN37" s="237"/>
      <c r="DO37" s="237"/>
      <c r="DP37" s="237"/>
      <c r="DQ37" s="237"/>
      <c r="DR37" s="237"/>
      <c r="DS37" s="237"/>
      <c r="DT37" s="237"/>
      <c r="DU37" s="237"/>
      <c r="DV37" s="237"/>
      <c r="DW37" s="237"/>
      <c r="DX37" s="237"/>
      <c r="DY37" s="237"/>
      <c r="DZ37" s="237"/>
      <c r="EA37" s="237"/>
      <c r="EB37" s="237"/>
      <c r="EC37" s="237"/>
      <c r="ED37" s="237"/>
      <c r="EE37" s="237"/>
      <c r="EF37" s="237"/>
      <c r="EG37" s="237"/>
      <c r="EH37" s="237"/>
    </row>
    <row r="38" spans="1:138" ht="18" customHeight="1" x14ac:dyDescent="0.2">
      <c r="A38" s="198"/>
      <c r="B38" s="232" t="s">
        <v>372</v>
      </c>
      <c r="C38" s="203">
        <f>Inputs!H8</f>
        <v>0</v>
      </c>
      <c r="D38" s="179" t="s">
        <v>41</v>
      </c>
      <c r="E38" s="238"/>
      <c r="F38" s="198"/>
      <c r="G38" s="195"/>
      <c r="H38" s="198"/>
      <c r="I38" s="198"/>
      <c r="J38" s="198"/>
      <c r="K38" s="198"/>
      <c r="L38" s="195"/>
      <c r="M38" s="198"/>
      <c r="N38" s="198"/>
      <c r="O38" s="194"/>
      <c r="P38" s="194"/>
      <c r="Q38" s="194"/>
      <c r="R38" s="283"/>
      <c r="S38" s="281"/>
      <c r="T38" s="239"/>
      <c r="U38" s="281"/>
      <c r="V38" s="274"/>
      <c r="W38" s="240"/>
      <c r="X38" s="281"/>
      <c r="Y38" s="239"/>
      <c r="Z38" s="281"/>
      <c r="AA38" s="239"/>
      <c r="AB38" s="281"/>
      <c r="AC38" s="239"/>
      <c r="AD38" s="281"/>
      <c r="AE38" s="239"/>
      <c r="AF38" s="281"/>
      <c r="AG38" s="239"/>
      <c r="AH38" s="281"/>
      <c r="AI38" s="239"/>
      <c r="AJ38" s="281"/>
      <c r="AK38" s="239"/>
      <c r="AL38" s="281"/>
      <c r="AM38" s="239"/>
      <c r="AN38" s="281"/>
      <c r="AO38" s="239"/>
      <c r="AP38" s="281"/>
    </row>
    <row r="39" spans="1:138" ht="18" customHeight="1" x14ac:dyDescent="0.2">
      <c r="A39" s="198"/>
      <c r="B39" s="178" t="s">
        <v>274</v>
      </c>
      <c r="C39" s="177">
        <f>C38/1.032</f>
        <v>0</v>
      </c>
      <c r="D39" s="179" t="s">
        <v>357</v>
      </c>
      <c r="E39" s="241"/>
      <c r="F39" s="198"/>
      <c r="G39" s="241"/>
      <c r="H39" s="198"/>
      <c r="I39" s="198"/>
      <c r="J39" s="198"/>
      <c r="K39" s="198"/>
      <c r="L39" s="195"/>
      <c r="M39" s="198"/>
      <c r="N39" s="198"/>
      <c r="O39" s="194"/>
      <c r="P39" s="194"/>
      <c r="Q39" s="194"/>
      <c r="R39" s="239"/>
      <c r="S39" s="281"/>
      <c r="T39" s="239"/>
      <c r="U39" s="281"/>
      <c r="V39" s="274"/>
      <c r="W39" s="240"/>
      <c r="X39" s="281"/>
      <c r="Y39" s="239"/>
      <c r="Z39" s="281"/>
      <c r="AA39" s="239"/>
      <c r="AB39" s="281"/>
      <c r="AC39" s="239"/>
      <c r="AD39" s="281"/>
      <c r="AE39" s="239"/>
      <c r="AF39" s="281"/>
      <c r="AG39" s="239"/>
      <c r="AH39" s="281"/>
      <c r="AI39" s="239"/>
      <c r="AJ39" s="281"/>
      <c r="AK39" s="239"/>
      <c r="AL39" s="281"/>
      <c r="AM39" s="239"/>
      <c r="AN39" s="281"/>
      <c r="AO39" s="239"/>
      <c r="AP39" s="281"/>
    </row>
    <row r="40" spans="1:138" ht="18" customHeight="1" x14ac:dyDescent="0.2">
      <c r="A40" s="198"/>
      <c r="B40" s="232" t="s">
        <v>373</v>
      </c>
      <c r="C40" s="203" t="e">
        <f>C31*C27</f>
        <v>#DIV/0!</v>
      </c>
      <c r="D40" s="179" t="s">
        <v>354</v>
      </c>
      <c r="E40" s="242"/>
      <c r="F40" s="198"/>
      <c r="G40" s="242"/>
      <c r="H40" s="198"/>
      <c r="I40" s="198"/>
      <c r="J40" s="198"/>
      <c r="K40" s="198"/>
      <c r="L40" s="198"/>
      <c r="M40" s="198"/>
      <c r="N40" s="198"/>
      <c r="O40" s="194"/>
      <c r="P40" s="194"/>
      <c r="Q40" s="194"/>
      <c r="R40" s="239"/>
      <c r="S40" s="281"/>
      <c r="T40" s="239"/>
      <c r="U40" s="281"/>
      <c r="V40" s="274"/>
      <c r="W40" s="240"/>
      <c r="X40" s="281"/>
      <c r="Y40" s="239"/>
      <c r="Z40" s="281"/>
      <c r="AA40" s="239"/>
      <c r="AB40" s="281"/>
      <c r="AC40" s="239"/>
      <c r="AD40" s="281"/>
      <c r="AE40" s="239"/>
      <c r="AF40" s="281"/>
      <c r="AG40" s="239"/>
      <c r="AH40" s="281"/>
      <c r="AI40" s="239"/>
      <c r="AJ40" s="281"/>
      <c r="AK40" s="239"/>
      <c r="AL40" s="281"/>
      <c r="AM40" s="239"/>
      <c r="AN40" s="281"/>
      <c r="AO40" s="239"/>
      <c r="AP40" s="281"/>
    </row>
    <row r="41" spans="1:138" ht="18" customHeight="1" x14ac:dyDescent="0.2">
      <c r="A41" s="198"/>
      <c r="B41" s="232" t="s">
        <v>374</v>
      </c>
      <c r="C41" s="203" t="e">
        <f>(SUM(N7:N21))</f>
        <v>#DIV/0!</v>
      </c>
      <c r="D41" s="179" t="s">
        <v>18</v>
      </c>
      <c r="E41" s="242"/>
      <c r="F41" s="198"/>
      <c r="G41" s="242"/>
      <c r="H41" s="205"/>
      <c r="I41" s="198"/>
      <c r="J41" s="198"/>
      <c r="K41" s="198"/>
      <c r="L41" s="198"/>
      <c r="M41" s="198"/>
      <c r="N41" s="198"/>
      <c r="O41" s="194"/>
      <c r="P41" s="194"/>
      <c r="Q41" s="194"/>
      <c r="R41" s="239"/>
      <c r="S41" s="281"/>
      <c r="T41" s="239"/>
      <c r="U41" s="281"/>
      <c r="V41" s="274"/>
      <c r="W41" s="240"/>
      <c r="X41" s="281"/>
      <c r="Y41" s="239"/>
      <c r="Z41" s="281"/>
      <c r="AA41" s="239"/>
      <c r="AB41" s="281"/>
      <c r="AC41" s="239"/>
      <c r="AD41" s="281"/>
      <c r="AE41" s="239"/>
      <c r="AF41" s="281"/>
      <c r="AG41" s="239"/>
      <c r="AH41" s="281"/>
      <c r="AI41" s="239"/>
      <c r="AJ41" s="281"/>
      <c r="AK41" s="239"/>
      <c r="AL41" s="281"/>
      <c r="AM41" s="239"/>
      <c r="AN41" s="281"/>
      <c r="AO41" s="239"/>
      <c r="AP41" s="281"/>
    </row>
    <row r="42" spans="1:138" ht="18" customHeight="1" x14ac:dyDescent="0.2">
      <c r="B42" s="1161" t="s">
        <v>323</v>
      </c>
      <c r="C42" s="1162"/>
      <c r="D42" s="1162"/>
      <c r="H42" s="242"/>
      <c r="I42" s="242"/>
      <c r="J42" s="194"/>
      <c r="K42" s="195"/>
      <c r="L42" s="195"/>
      <c r="M42" s="195"/>
      <c r="N42" s="196"/>
      <c r="O42" s="238"/>
      <c r="P42" s="238"/>
      <c r="Q42" s="195"/>
      <c r="R42" s="275"/>
      <c r="S42" s="273"/>
      <c r="T42" s="275"/>
      <c r="U42" s="273"/>
      <c r="V42" s="275"/>
      <c r="W42" s="284"/>
      <c r="X42" s="273"/>
      <c r="Y42" s="284"/>
      <c r="Z42" s="273"/>
      <c r="AA42" s="275"/>
      <c r="AB42" s="273"/>
      <c r="AC42" s="275"/>
      <c r="AD42" s="273"/>
      <c r="AE42" s="275"/>
      <c r="AF42" s="273"/>
      <c r="AG42" s="275"/>
      <c r="AH42" s="273"/>
      <c r="AI42" s="275"/>
      <c r="AJ42" s="273"/>
      <c r="AK42" s="275"/>
      <c r="AL42" s="273"/>
      <c r="AM42" s="275"/>
      <c r="AN42" s="273"/>
      <c r="AO42" s="275"/>
      <c r="AP42" s="273"/>
    </row>
    <row r="43" spans="1:138" ht="18" customHeight="1" x14ac:dyDescent="0.2">
      <c r="B43" s="232" t="s">
        <v>375</v>
      </c>
      <c r="C43" s="203" t="e">
        <f>F27+G27+H27+I27+E27/3</f>
        <v>#DIV/0!</v>
      </c>
      <c r="D43" s="179" t="s">
        <v>38</v>
      </c>
      <c r="F43" s="198"/>
      <c r="H43" s="242"/>
      <c r="I43" s="242"/>
      <c r="J43" s="194"/>
      <c r="K43" s="195"/>
      <c r="L43" s="195"/>
      <c r="M43" s="195"/>
      <c r="N43" s="196"/>
      <c r="O43" s="195"/>
      <c r="P43" s="195"/>
      <c r="Q43" s="195"/>
      <c r="R43" s="272"/>
      <c r="S43" s="272"/>
      <c r="T43" s="272"/>
      <c r="U43" s="272"/>
      <c r="V43" s="285"/>
      <c r="W43" s="272"/>
      <c r="X43" s="272"/>
      <c r="Y43" s="272"/>
      <c r="Z43" s="272"/>
      <c r="AA43" s="272"/>
      <c r="AB43" s="272"/>
      <c r="AC43" s="272"/>
      <c r="AD43" s="272"/>
      <c r="AE43" s="272"/>
      <c r="AF43" s="272"/>
      <c r="AG43" s="272"/>
      <c r="AH43" s="272"/>
      <c r="AI43" s="272"/>
      <c r="AJ43" s="272"/>
      <c r="AK43" s="272"/>
      <c r="AL43" s="272"/>
      <c r="AM43" s="272"/>
      <c r="AN43" s="272"/>
      <c r="AO43" s="272"/>
      <c r="AP43" s="272"/>
    </row>
    <row r="44" spans="1:138" ht="18" customHeight="1" x14ac:dyDescent="0.2">
      <c r="B44" s="232" t="s">
        <v>376</v>
      </c>
      <c r="C44" s="203" t="e">
        <f>((F$25*F$27)+(G$25*G$27)+(H$25*H$27)+(I$25*I$27)+(E$25*E$27/3))/C$43</f>
        <v>#DIV/0!</v>
      </c>
      <c r="D44" s="179" t="s">
        <v>18</v>
      </c>
      <c r="F44" s="198"/>
      <c r="H44" s="194"/>
      <c r="I44" s="194"/>
      <c r="J44" s="224"/>
      <c r="K44" s="195"/>
      <c r="L44" s="195"/>
      <c r="M44" s="195"/>
      <c r="N44" s="196"/>
      <c r="O44" s="195"/>
      <c r="P44" s="195"/>
      <c r="Q44" s="195"/>
      <c r="R44" s="272"/>
      <c r="S44" s="272"/>
      <c r="T44" s="272"/>
      <c r="U44" s="272"/>
      <c r="V44" s="272"/>
      <c r="W44" s="272"/>
      <c r="X44" s="272"/>
      <c r="Y44" s="272"/>
      <c r="Z44" s="272"/>
      <c r="AA44" s="272"/>
      <c r="AB44" s="272"/>
      <c r="AC44" s="272"/>
      <c r="AD44" s="272"/>
      <c r="AE44" s="272"/>
      <c r="AF44" s="272"/>
      <c r="AG44" s="272"/>
      <c r="AH44" s="272"/>
      <c r="AI44" s="272"/>
      <c r="AJ44" s="272"/>
      <c r="AK44" s="272"/>
      <c r="AL44" s="272"/>
      <c r="AM44" s="272"/>
      <c r="AN44" s="272"/>
      <c r="AO44" s="272"/>
      <c r="AP44" s="272"/>
    </row>
    <row r="45" spans="1:138" ht="18" customHeight="1" x14ac:dyDescent="0.2">
      <c r="B45" s="232" t="s">
        <v>377</v>
      </c>
      <c r="C45" s="203" t="e">
        <f>(C44*(AVERAGE('Ev. Rebanho'!N16:P16)*30.3))</f>
        <v>#DIV/0!</v>
      </c>
      <c r="D45" s="179" t="s">
        <v>18</v>
      </c>
      <c r="F45" s="198"/>
      <c r="H45" s="194"/>
      <c r="I45" s="194"/>
      <c r="J45" s="224"/>
      <c r="K45" s="195"/>
      <c r="L45" s="195"/>
      <c r="M45" s="195"/>
      <c r="N45" s="196"/>
      <c r="O45" s="195"/>
      <c r="P45" s="195"/>
      <c r="Q45" s="195"/>
      <c r="R45" s="286"/>
      <c r="S45" s="274"/>
      <c r="T45" s="286"/>
      <c r="U45" s="274"/>
      <c r="V45" s="286"/>
      <c r="W45" s="287"/>
      <c r="X45" s="274"/>
      <c r="Y45" s="287"/>
      <c r="Z45" s="274"/>
      <c r="AA45" s="286"/>
      <c r="AB45" s="274"/>
      <c r="AC45" s="286"/>
      <c r="AD45" s="274"/>
      <c r="AE45" s="286"/>
      <c r="AF45" s="274"/>
      <c r="AG45" s="286"/>
      <c r="AH45" s="274"/>
      <c r="AI45" s="286"/>
      <c r="AJ45" s="274"/>
      <c r="AK45" s="286"/>
      <c r="AL45" s="274"/>
      <c r="AM45" s="286"/>
      <c r="AN45" s="274"/>
      <c r="AO45" s="286"/>
      <c r="AP45" s="274"/>
    </row>
    <row r="46" spans="1:138" ht="18" customHeight="1" x14ac:dyDescent="0.2">
      <c r="B46" s="232" t="s">
        <v>348</v>
      </c>
      <c r="C46" s="203" t="e">
        <f>((C44*C43)/(C40*C39))</f>
        <v>#DIV/0!</v>
      </c>
      <c r="D46" s="179" t="s">
        <v>174</v>
      </c>
      <c r="F46" s="198"/>
      <c r="H46" s="234"/>
      <c r="I46" s="234"/>
      <c r="J46" s="288"/>
      <c r="K46" s="220"/>
      <c r="L46" s="220"/>
      <c r="M46" s="220"/>
      <c r="N46" s="289"/>
      <c r="O46" s="205"/>
      <c r="P46" s="205"/>
      <c r="Q46" s="205"/>
      <c r="R46" s="243"/>
      <c r="S46" s="243"/>
      <c r="W46" s="243"/>
      <c r="X46" s="243"/>
      <c r="AA46" s="243"/>
      <c r="AB46" s="243"/>
    </row>
    <row r="47" spans="1:138" ht="18" customHeight="1" x14ac:dyDescent="0.2">
      <c r="B47" s="244" t="s">
        <v>379</v>
      </c>
      <c r="C47" s="203">
        <v>0.1</v>
      </c>
      <c r="D47" s="179" t="s">
        <v>174</v>
      </c>
      <c r="F47" s="198"/>
    </row>
    <row r="48" spans="1:138" ht="18" customHeight="1" x14ac:dyDescent="0.2">
      <c r="B48" s="244" t="s">
        <v>378</v>
      </c>
      <c r="C48" s="203" t="e">
        <f>(((F$25*F$27)+(G$25*G$27)+(H$25*H$27)+(I$25*I$27)+(E$25*E$27/3)))*30.3</f>
        <v>#DIV/0!</v>
      </c>
      <c r="D48" s="179" t="s">
        <v>18</v>
      </c>
      <c r="F48" s="198"/>
    </row>
    <row r="49" spans="2:6" ht="18" customHeight="1" x14ac:dyDescent="0.2">
      <c r="B49" s="244" t="s">
        <v>380</v>
      </c>
      <c r="C49" s="203" t="e">
        <f>((C40*C39)*C47)*30.3</f>
        <v>#DIV/0!</v>
      </c>
      <c r="D49" s="177" t="s">
        <v>18</v>
      </c>
      <c r="F49" s="198"/>
    </row>
  </sheetData>
  <sheetProtection password="8826" sheet="1" objects="1" scenarios="1"/>
  <mergeCells count="9">
    <mergeCell ref="O4:O5"/>
    <mergeCell ref="D5:E5"/>
    <mergeCell ref="F5:I5"/>
    <mergeCell ref="B29:D29"/>
    <mergeCell ref="B42:D42"/>
    <mergeCell ref="B4:B5"/>
    <mergeCell ref="C4:I4"/>
    <mergeCell ref="J4:L4"/>
    <mergeCell ref="M4:N4"/>
  </mergeCells>
  <pageMargins left="0.511811024" right="0.511811024" top="0.78740157499999996" bottom="0.78740157499999996" header="0.31496062000000002" footer="0.31496062000000002"/>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enableFormatConditionsCalculation="0">
    <tabColor theme="8" tint="0.499984740745262"/>
  </sheetPr>
  <dimension ref="A1:I38"/>
  <sheetViews>
    <sheetView zoomScale="106" zoomScaleNormal="94" zoomScalePageLayoutView="94" workbookViewId="0">
      <selection activeCell="B3" sqref="B3"/>
    </sheetView>
  </sheetViews>
  <sheetFormatPr baseColWidth="10" defaultColWidth="11.1640625" defaultRowHeight="18" customHeight="1" x14ac:dyDescent="0.2"/>
  <cols>
    <col min="1" max="1" width="7.1640625" style="599" customWidth="1"/>
    <col min="2" max="2" width="45.33203125" style="599" bestFit="1" customWidth="1"/>
    <col min="3" max="8" width="19.6640625" style="599" customWidth="1"/>
    <col min="9" max="9" width="3.5" style="599" customWidth="1"/>
    <col min="10" max="16384" width="11.1640625" style="599"/>
  </cols>
  <sheetData>
    <row r="1" spans="1:9" ht="18" customHeight="1" x14ac:dyDescent="0.2">
      <c r="A1" s="637"/>
      <c r="B1" s="343"/>
      <c r="C1" s="343"/>
      <c r="D1" s="343"/>
      <c r="E1" s="343"/>
      <c r="F1" s="343"/>
      <c r="G1" s="343"/>
      <c r="H1" s="343"/>
      <c r="I1" s="343"/>
    </row>
    <row r="2" spans="1:9" ht="18" customHeight="1" x14ac:dyDescent="0.2">
      <c r="A2" s="343"/>
      <c r="B2" s="343"/>
      <c r="C2" s="343"/>
      <c r="D2" s="343"/>
      <c r="E2" s="343"/>
      <c r="F2" s="343"/>
      <c r="G2" s="343"/>
      <c r="H2" s="343"/>
      <c r="I2" s="343"/>
    </row>
    <row r="3" spans="1:9" ht="18" customHeight="1" x14ac:dyDescent="0.2">
      <c r="A3" s="343"/>
      <c r="B3" s="343"/>
      <c r="C3" s="343"/>
      <c r="D3" s="343"/>
      <c r="E3" s="343"/>
      <c r="F3" s="343"/>
      <c r="G3" s="343"/>
      <c r="H3" s="343"/>
      <c r="I3" s="343"/>
    </row>
    <row r="4" spans="1:9" ht="18" customHeight="1" x14ac:dyDescent="0.2">
      <c r="A4" s="343"/>
      <c r="B4" s="1169" t="s">
        <v>412</v>
      </c>
      <c r="C4" s="1169" t="s">
        <v>295</v>
      </c>
      <c r="D4" s="1169"/>
      <c r="E4" s="1169"/>
      <c r="F4" s="1169"/>
      <c r="G4" s="1169"/>
      <c r="H4" s="1169"/>
      <c r="I4" s="343"/>
    </row>
    <row r="5" spans="1:9" ht="18" customHeight="1" x14ac:dyDescent="0.2">
      <c r="A5" s="343"/>
      <c r="B5" s="1169"/>
      <c r="C5" s="355">
        <f>'Input Zootecnico atual'!C4</f>
        <v>2016</v>
      </c>
      <c r="D5" s="355">
        <f>C5+1</f>
        <v>2017</v>
      </c>
      <c r="E5" s="355">
        <f>D5+1</f>
        <v>2018</v>
      </c>
      <c r="F5" s="355">
        <f>E5+1</f>
        <v>2019</v>
      </c>
      <c r="G5" s="355">
        <f>F5+1</f>
        <v>2020</v>
      </c>
      <c r="H5" s="355">
        <f>G5+1</f>
        <v>2021</v>
      </c>
      <c r="I5" s="343"/>
    </row>
    <row r="6" spans="1:9" ht="18" customHeight="1" x14ac:dyDescent="0.2">
      <c r="A6" s="343"/>
      <c r="B6" s="344" t="s">
        <v>394</v>
      </c>
      <c r="C6" s="345">
        <f>DRA!D14</f>
        <v>0</v>
      </c>
      <c r="D6" s="345" t="e">
        <f>DRA!F14</f>
        <v>#DIV/0!</v>
      </c>
      <c r="E6" s="345" t="e">
        <f>DRA!H14</f>
        <v>#DIV/0!</v>
      </c>
      <c r="F6" s="345" t="e">
        <f>DRA!J14</f>
        <v>#DIV/0!</v>
      </c>
      <c r="G6" s="345" t="e">
        <f>DRA!L14</f>
        <v>#DIV/0!</v>
      </c>
      <c r="H6" s="345" t="e">
        <f>DRA!N14</f>
        <v>#DIV/0!</v>
      </c>
    </row>
    <row r="7" spans="1:9" ht="18" customHeight="1" x14ac:dyDescent="0.2">
      <c r="A7" s="343"/>
      <c r="B7" s="344" t="s">
        <v>395</v>
      </c>
      <c r="C7" s="602">
        <f>DRA!D15</f>
        <v>0</v>
      </c>
      <c r="D7" s="602" t="e">
        <f>DRA!F15</f>
        <v>#DIV/0!</v>
      </c>
      <c r="E7" s="602" t="e">
        <f>DRA!H15</f>
        <v>#DIV/0!</v>
      </c>
      <c r="F7" s="602" t="e">
        <f>DRA!J15</f>
        <v>#DIV/0!</v>
      </c>
      <c r="G7" s="602" t="e">
        <f>DRA!L15</f>
        <v>#DIV/0!</v>
      </c>
      <c r="H7" s="602" t="e">
        <f>DRA!N15</f>
        <v>#DIV/0!</v>
      </c>
      <c r="I7" s="343"/>
    </row>
    <row r="8" spans="1:9" ht="18" customHeight="1" x14ac:dyDescent="0.2">
      <c r="A8" s="343"/>
      <c r="B8" s="346" t="s">
        <v>396</v>
      </c>
      <c r="C8" s="347">
        <f t="shared" ref="C8:H8" si="0">C6-C7</f>
        <v>0</v>
      </c>
      <c r="D8" s="347" t="e">
        <f t="shared" si="0"/>
        <v>#DIV/0!</v>
      </c>
      <c r="E8" s="347" t="e">
        <f t="shared" si="0"/>
        <v>#DIV/0!</v>
      </c>
      <c r="F8" s="347" t="e">
        <f t="shared" si="0"/>
        <v>#DIV/0!</v>
      </c>
      <c r="G8" s="347" t="e">
        <f t="shared" si="0"/>
        <v>#DIV/0!</v>
      </c>
      <c r="H8" s="347" t="e">
        <f t="shared" si="0"/>
        <v>#DIV/0!</v>
      </c>
      <c r="I8" s="343"/>
    </row>
    <row r="9" spans="1:9" ht="18" hidden="1" customHeight="1" x14ac:dyDescent="0.2">
      <c r="A9" s="343"/>
      <c r="B9" s="344" t="s">
        <v>397</v>
      </c>
      <c r="C9" s="348">
        <v>0</v>
      </c>
      <c r="D9" s="348">
        <f>C9+1</f>
        <v>1</v>
      </c>
      <c r="E9" s="348">
        <f>D9+1</f>
        <v>2</v>
      </c>
      <c r="F9" s="348">
        <f>E9+1</f>
        <v>3</v>
      </c>
      <c r="G9" s="348">
        <f>F9+1</f>
        <v>4</v>
      </c>
      <c r="H9" s="348">
        <f>G9+1</f>
        <v>5</v>
      </c>
      <c r="I9" s="343"/>
    </row>
    <row r="10" spans="1:9" ht="18" customHeight="1" x14ac:dyDescent="0.2">
      <c r="A10" s="343"/>
      <c r="B10" s="346" t="s">
        <v>398</v>
      </c>
      <c r="C10" s="347">
        <f t="shared" ref="C10:H10" si="1">C11+C12</f>
        <v>0</v>
      </c>
      <c r="D10" s="347">
        <f t="shared" si="1"/>
        <v>0</v>
      </c>
      <c r="E10" s="347">
        <f t="shared" si="1"/>
        <v>0</v>
      </c>
      <c r="F10" s="347">
        <f t="shared" si="1"/>
        <v>0</v>
      </c>
      <c r="G10" s="347">
        <f t="shared" si="1"/>
        <v>0</v>
      </c>
      <c r="H10" s="347">
        <f t="shared" si="1"/>
        <v>0</v>
      </c>
      <c r="I10" s="343"/>
    </row>
    <row r="11" spans="1:9" ht="18" customHeight="1" x14ac:dyDescent="0.2">
      <c r="A11" s="343"/>
      <c r="B11" s="344" t="s">
        <v>399</v>
      </c>
      <c r="C11" s="345">
        <f>'Input Financeiro atual'!C54</f>
        <v>0</v>
      </c>
      <c r="D11" s="345">
        <f>Inputs!I46</f>
        <v>0</v>
      </c>
      <c r="E11" s="345">
        <f>Inputs!J46</f>
        <v>0</v>
      </c>
      <c r="F11" s="345">
        <f>Inputs!K46</f>
        <v>0</v>
      </c>
      <c r="G11" s="345">
        <f>Inputs!L46</f>
        <v>0</v>
      </c>
      <c r="H11" s="345">
        <f>Inputs!M46</f>
        <v>0</v>
      </c>
      <c r="I11" s="343"/>
    </row>
    <row r="12" spans="1:9" ht="18" customHeight="1" x14ac:dyDescent="0.2">
      <c r="A12" s="343"/>
      <c r="B12" s="344" t="s">
        <v>400</v>
      </c>
      <c r="C12" s="345">
        <v>0</v>
      </c>
      <c r="D12" s="345">
        <f>Inputs!I47</f>
        <v>0</v>
      </c>
      <c r="E12" s="345">
        <f>Inputs!J47</f>
        <v>0</v>
      </c>
      <c r="F12" s="345">
        <f>Inputs!K47</f>
        <v>0</v>
      </c>
      <c r="G12" s="345">
        <f>Inputs!L47</f>
        <v>0</v>
      </c>
      <c r="H12" s="345">
        <f>Inputs!M47</f>
        <v>0</v>
      </c>
      <c r="I12" s="343"/>
    </row>
    <row r="13" spans="1:9" ht="18" customHeight="1" x14ac:dyDescent="0.2">
      <c r="A13" s="343"/>
      <c r="B13" s="352"/>
      <c r="C13" s="353"/>
      <c r="D13" s="354"/>
      <c r="E13" s="354"/>
      <c r="F13" s="354"/>
      <c r="G13" s="354"/>
      <c r="H13" s="354"/>
      <c r="I13" s="343"/>
    </row>
    <row r="14" spans="1:9" ht="18" customHeight="1" x14ac:dyDescent="0.2">
      <c r="A14" s="343"/>
      <c r="B14" s="344" t="s">
        <v>290</v>
      </c>
      <c r="C14" s="349">
        <f>Inputs!I49</f>
        <v>0.1</v>
      </c>
      <c r="D14" s="349">
        <f>Inputs!J49</f>
        <v>0.1</v>
      </c>
      <c r="E14" s="349">
        <f>Inputs!K49</f>
        <v>0.1</v>
      </c>
      <c r="F14" s="349">
        <f>Inputs!L49</f>
        <v>0.1</v>
      </c>
      <c r="G14" s="349">
        <f>Inputs!M49</f>
        <v>0.1</v>
      </c>
      <c r="H14" s="349">
        <f>Inputs!N49</f>
        <v>0</v>
      </c>
      <c r="I14" s="343"/>
    </row>
    <row r="15" spans="1:9" ht="18" customHeight="1" x14ac:dyDescent="0.2">
      <c r="A15" s="343"/>
      <c r="B15" s="344" t="s">
        <v>291</v>
      </c>
      <c r="C15" s="349">
        <f>Inputs!I50</f>
        <v>0.15</v>
      </c>
      <c r="D15" s="349">
        <f>Inputs!J50</f>
        <v>0.15</v>
      </c>
      <c r="E15" s="349">
        <f>Inputs!K50</f>
        <v>0.15</v>
      </c>
      <c r="F15" s="349">
        <f>Inputs!L50</f>
        <v>0.15</v>
      </c>
      <c r="G15" s="349">
        <f>Inputs!M50</f>
        <v>0.15</v>
      </c>
      <c r="H15" s="349">
        <f>Inputs!N50</f>
        <v>0</v>
      </c>
      <c r="I15" s="343"/>
    </row>
    <row r="16" spans="1:9" ht="18" customHeight="1" x14ac:dyDescent="0.2">
      <c r="A16" s="343"/>
      <c r="B16" s="344" t="s">
        <v>292</v>
      </c>
      <c r="C16" s="140" t="str">
        <f>IF(C10&gt;0,(C11*C14+C12*C15)/C10,"0")</f>
        <v>0</v>
      </c>
      <c r="D16" s="140" t="str">
        <f>IF(D10&gt;0,(D11*D14+D12*D15)/D10,C16)</f>
        <v>0</v>
      </c>
      <c r="E16" s="140" t="str">
        <f>IF(E10&gt;0,(E11*E14+E12*E15)/E10,D16)</f>
        <v>0</v>
      </c>
      <c r="F16" s="140" t="str">
        <f>IF(F10&gt;0,(F11*F14+F12*F15)/F10,E16)</f>
        <v>0</v>
      </c>
      <c r="G16" s="140" t="str">
        <f>IF(G10&gt;0,(G11*G14+G12*G15)/G10,F16)</f>
        <v>0</v>
      </c>
      <c r="H16" s="140" t="str">
        <f>IF(H10&gt;0,(H11*H14+H12*H15)/H10,G16)</f>
        <v>0</v>
      </c>
      <c r="I16" s="343"/>
    </row>
    <row r="17" spans="1:9" ht="18" customHeight="1" x14ac:dyDescent="0.2">
      <c r="A17" s="343"/>
      <c r="B17" s="344" t="s">
        <v>401</v>
      </c>
      <c r="C17" s="345">
        <f>'Input Financeiro atual'!C53</f>
        <v>0</v>
      </c>
      <c r="D17" s="1245"/>
      <c r="E17" s="1245"/>
      <c r="F17" s="1245"/>
      <c r="G17" s="1245"/>
      <c r="H17" s="1245"/>
      <c r="I17" s="343"/>
    </row>
    <row r="18" spans="1:9" ht="18" customHeight="1" x14ac:dyDescent="0.2">
      <c r="A18" s="343"/>
      <c r="B18" s="344" t="s">
        <v>402</v>
      </c>
      <c r="C18" s="345"/>
      <c r="D18" s="348">
        <f>C16*C20</f>
        <v>0</v>
      </c>
      <c r="E18" s="348">
        <f>D16*D20</f>
        <v>0</v>
      </c>
      <c r="F18" s="348">
        <f>E16*E20</f>
        <v>0</v>
      </c>
      <c r="G18" s="348">
        <f>F16*F20</f>
        <v>0</v>
      </c>
      <c r="H18" s="348">
        <f>G16*G20</f>
        <v>0</v>
      </c>
      <c r="I18" s="343"/>
    </row>
    <row r="19" spans="1:9" ht="18" customHeight="1" x14ac:dyDescent="0.2">
      <c r="A19" s="343"/>
      <c r="B19" s="344" t="s">
        <v>403</v>
      </c>
      <c r="C19" s="345"/>
      <c r="D19" s="348">
        <f>D17+D18</f>
        <v>0</v>
      </c>
      <c r="E19" s="348">
        <f>E17+E18</f>
        <v>0</v>
      </c>
      <c r="F19" s="348">
        <f>F17+F18</f>
        <v>0</v>
      </c>
      <c r="G19" s="348">
        <f>G17+G18</f>
        <v>0</v>
      </c>
      <c r="H19" s="348">
        <f>H17+H18</f>
        <v>0</v>
      </c>
      <c r="I19" s="343"/>
    </row>
    <row r="20" spans="1:9" ht="18" customHeight="1" x14ac:dyDescent="0.2">
      <c r="A20" s="343"/>
      <c r="B20" s="344" t="s">
        <v>404</v>
      </c>
      <c r="C20" s="345">
        <f>'Input Financeiro atual'!C54</f>
        <v>0</v>
      </c>
      <c r="D20" s="345">
        <f>(C20+D10)-D17</f>
        <v>0</v>
      </c>
      <c r="E20" s="345">
        <f>(D20+E10)-E17</f>
        <v>0</v>
      </c>
      <c r="F20" s="345">
        <f>(E20+F10)-F17</f>
        <v>0</v>
      </c>
      <c r="G20" s="345">
        <f>(F20+G10)-G17</f>
        <v>0</v>
      </c>
      <c r="H20" s="345">
        <f>G20-H17</f>
        <v>0</v>
      </c>
      <c r="I20" s="343"/>
    </row>
    <row r="21" spans="1:9" ht="18" customHeight="1" x14ac:dyDescent="0.2">
      <c r="A21" s="343"/>
      <c r="B21" s="352"/>
      <c r="C21" s="353"/>
      <c r="D21" s="354"/>
      <c r="E21" s="354"/>
      <c r="F21" s="354"/>
      <c r="G21" s="354"/>
      <c r="H21" s="354"/>
      <c r="I21" s="343"/>
    </row>
    <row r="22" spans="1:9" ht="18" customHeight="1" x14ac:dyDescent="0.2">
      <c r="A22" s="343"/>
      <c r="B22" s="350" t="s">
        <v>405</v>
      </c>
      <c r="C22" s="345">
        <f>'Input Financeiro atual'!C49</f>
        <v>0</v>
      </c>
      <c r="D22" s="345" t="e">
        <f>C22+D10+(('Ev. Rebanho'!P41-'Ev. Rebanho'!D41)*Inputs!E40)</f>
        <v>#DIV/0!</v>
      </c>
      <c r="E22" s="345" t="e">
        <f>D22+E10+(('Ev. Rebanho'!R41-'Ev. Rebanho'!P41)*Inputs!F40)</f>
        <v>#DIV/0!</v>
      </c>
      <c r="F22" s="345" t="e">
        <f>E22+F10+(('Ev. Rebanho'!S41-'Ev. Rebanho'!R41)*Inputs!G40)</f>
        <v>#DIV/0!</v>
      </c>
      <c r="G22" s="345" t="e">
        <f>F22+G10+(('Ev. Rebanho'!T41-'Ev. Rebanho'!S41)*Inputs!H40)</f>
        <v>#DIV/0!</v>
      </c>
      <c r="H22" s="345" t="e">
        <f>G22+H10+(('Ev. Rebanho'!U41-'Ev. Rebanho'!T41)*Inputs!I40)</f>
        <v>#DIV/0!</v>
      </c>
      <c r="I22" s="343"/>
    </row>
    <row r="23" spans="1:9" ht="18" customHeight="1" x14ac:dyDescent="0.2">
      <c r="A23" s="343"/>
      <c r="B23" s="352"/>
      <c r="C23" s="354"/>
      <c r="D23" s="354"/>
      <c r="E23" s="354"/>
      <c r="F23" s="354"/>
      <c r="G23" s="354"/>
      <c r="H23" s="354"/>
      <c r="I23" s="343"/>
    </row>
    <row r="24" spans="1:9" ht="18" customHeight="1" x14ac:dyDescent="0.2">
      <c r="A24" s="343"/>
      <c r="B24" s="344" t="s">
        <v>406</v>
      </c>
      <c r="C24" s="347">
        <f t="shared" ref="C24:H24" si="2">C8-C18</f>
        <v>0</v>
      </c>
      <c r="D24" s="347" t="e">
        <f t="shared" si="2"/>
        <v>#DIV/0!</v>
      </c>
      <c r="E24" s="347" t="e">
        <f t="shared" si="2"/>
        <v>#DIV/0!</v>
      </c>
      <c r="F24" s="347" t="e">
        <f t="shared" si="2"/>
        <v>#DIV/0!</v>
      </c>
      <c r="G24" s="347" t="e">
        <f t="shared" si="2"/>
        <v>#DIV/0!</v>
      </c>
      <c r="H24" s="347" t="e">
        <f t="shared" si="2"/>
        <v>#DIV/0!</v>
      </c>
      <c r="I24" s="343"/>
    </row>
    <row r="25" spans="1:9" ht="18" customHeight="1" x14ac:dyDescent="0.2">
      <c r="A25" s="343"/>
      <c r="B25" s="352"/>
      <c r="C25" s="353"/>
      <c r="D25" s="353"/>
      <c r="E25" s="353"/>
      <c r="F25" s="353"/>
      <c r="G25" s="353"/>
      <c r="H25" s="353"/>
      <c r="I25" s="343"/>
    </row>
    <row r="26" spans="1:9" ht="18" customHeight="1" x14ac:dyDescent="0.2">
      <c r="A26" s="343"/>
      <c r="B26" s="344" t="s">
        <v>407</v>
      </c>
      <c r="C26" s="351" t="e">
        <f t="shared" ref="C26:H26" si="3">C24/C6</f>
        <v>#DIV/0!</v>
      </c>
      <c r="D26" s="351" t="e">
        <f t="shared" si="3"/>
        <v>#DIV/0!</v>
      </c>
      <c r="E26" s="351" t="e">
        <f t="shared" si="3"/>
        <v>#DIV/0!</v>
      </c>
      <c r="F26" s="351" t="e">
        <f t="shared" si="3"/>
        <v>#DIV/0!</v>
      </c>
      <c r="G26" s="351" t="e">
        <f t="shared" si="3"/>
        <v>#DIV/0!</v>
      </c>
      <c r="H26" s="351" t="e">
        <f t="shared" si="3"/>
        <v>#DIV/0!</v>
      </c>
      <c r="I26" s="343"/>
    </row>
    <row r="27" spans="1:9" ht="18" customHeight="1" x14ac:dyDescent="0.2">
      <c r="A27" s="343"/>
      <c r="B27" s="344" t="s">
        <v>408</v>
      </c>
      <c r="C27" s="356" t="e">
        <f t="shared" ref="C27:H27" si="4">(C6/C22)</f>
        <v>#DIV/0!</v>
      </c>
      <c r="D27" s="356" t="e">
        <f t="shared" si="4"/>
        <v>#DIV/0!</v>
      </c>
      <c r="E27" s="356" t="e">
        <f t="shared" si="4"/>
        <v>#DIV/0!</v>
      </c>
      <c r="F27" s="356" t="e">
        <f t="shared" si="4"/>
        <v>#DIV/0!</v>
      </c>
      <c r="G27" s="356" t="e">
        <f t="shared" si="4"/>
        <v>#DIV/0!</v>
      </c>
      <c r="H27" s="356" t="e">
        <f t="shared" si="4"/>
        <v>#DIV/0!</v>
      </c>
      <c r="I27" s="343"/>
    </row>
    <row r="28" spans="1:9" ht="18" customHeight="1" x14ac:dyDescent="0.2">
      <c r="A28" s="343"/>
      <c r="B28" s="344" t="s">
        <v>409</v>
      </c>
      <c r="C28" s="351" t="e">
        <f t="shared" ref="C28:H28" si="5">C24/C22</f>
        <v>#DIV/0!</v>
      </c>
      <c r="D28" s="351" t="e">
        <f t="shared" si="5"/>
        <v>#DIV/0!</v>
      </c>
      <c r="E28" s="351" t="e">
        <f t="shared" si="5"/>
        <v>#DIV/0!</v>
      </c>
      <c r="F28" s="351" t="e">
        <f t="shared" si="5"/>
        <v>#DIV/0!</v>
      </c>
      <c r="G28" s="351" t="e">
        <f t="shared" si="5"/>
        <v>#DIV/0!</v>
      </c>
      <c r="H28" s="351" t="e">
        <f t="shared" si="5"/>
        <v>#DIV/0!</v>
      </c>
      <c r="I28" s="343"/>
    </row>
    <row r="29" spans="1:9" ht="18" customHeight="1" x14ac:dyDescent="0.2">
      <c r="A29" s="343"/>
      <c r="B29" s="344" t="s">
        <v>410</v>
      </c>
      <c r="C29" s="356"/>
      <c r="D29" s="356" t="e">
        <f>D33+(D22-C22)</f>
        <v>#DIV/0!</v>
      </c>
      <c r="E29" s="356" t="e">
        <f>E33+(E22-D22)</f>
        <v>#DIV/0!</v>
      </c>
      <c r="F29" s="356" t="e">
        <f>F33+(F22-E22)</f>
        <v>#DIV/0!</v>
      </c>
      <c r="G29" s="356" t="e">
        <f>G33+(G22-F22)</f>
        <v>#DIV/0!</v>
      </c>
      <c r="H29" s="356" t="e">
        <f>H33+(H22-G22)</f>
        <v>#DIV/0!</v>
      </c>
      <c r="I29" s="343"/>
    </row>
    <row r="30" spans="1:9" ht="18" hidden="1" customHeight="1" x14ac:dyDescent="0.2">
      <c r="A30" s="343"/>
      <c r="B30" s="344" t="s">
        <v>413</v>
      </c>
      <c r="C30" s="356" t="e">
        <f>((C24/(C10+C22))-((C15*(C12/(C10+C22)))+(C14*(C11/(C10+C22)))))*(C10+C22)</f>
        <v>#DIV/0!</v>
      </c>
      <c r="D30" s="356" t="e">
        <f>((D24/(D10+D22))-((D15*(E12/(D10+D22)))+(D14*(D11/(D10+D22)))))*(D10+D22)</f>
        <v>#DIV/0!</v>
      </c>
      <c r="E30" s="356" t="e">
        <f>((E24/(E10+E22))-((E15*(F12/(E10+E22)))+(E14*(E11/(E10+E22)))))*(E10+E22)</f>
        <v>#DIV/0!</v>
      </c>
      <c r="F30" s="356" t="e">
        <f>((F24/(F10+F22))-((F15*(G12/(F10+F22)))+(F14*(F11/(F10+F22)))))*(F10+F22)</f>
        <v>#DIV/0!</v>
      </c>
      <c r="G30" s="356" t="e">
        <f>((G24/(G10+G22))-((G15*(H12/(G10+G22)))+(G14*(G11/(G10+G22)))))*(G10+G22)</f>
        <v>#DIV/0!</v>
      </c>
      <c r="H30" s="356" t="e">
        <f>((H24/(H10+H22))-((H15*(#REF!/(H10+H22)))+(H14*(H11/(H10+H22)))))*(H10+H22)</f>
        <v>#DIV/0!</v>
      </c>
      <c r="I30" s="343"/>
    </row>
    <row r="31" spans="1:9" ht="18" hidden="1" customHeight="1" x14ac:dyDescent="0.2">
      <c r="A31" s="343"/>
      <c r="B31" s="344" t="s">
        <v>414</v>
      </c>
      <c r="C31" s="356">
        <f t="shared" ref="C31:H31" si="6">C24-(C22*(0.1^C34))</f>
        <v>0</v>
      </c>
      <c r="D31" s="356" t="e">
        <f t="shared" si="6"/>
        <v>#DIV/0!</v>
      </c>
      <c r="E31" s="356" t="e">
        <f t="shared" si="6"/>
        <v>#DIV/0!</v>
      </c>
      <c r="F31" s="356" t="e">
        <f t="shared" si="6"/>
        <v>#DIV/0!</v>
      </c>
      <c r="G31" s="356" t="e">
        <f t="shared" si="6"/>
        <v>#DIV/0!</v>
      </c>
      <c r="H31" s="356" t="e">
        <f t="shared" si="6"/>
        <v>#DIV/0!</v>
      </c>
      <c r="I31" s="343"/>
    </row>
    <row r="32" spans="1:9" ht="18" customHeight="1" x14ac:dyDescent="0.2">
      <c r="A32" s="343"/>
      <c r="B32" s="352"/>
      <c r="C32" s="352"/>
      <c r="D32" s="352"/>
      <c r="E32" s="352"/>
      <c r="F32" s="352"/>
      <c r="G32" s="352"/>
      <c r="H32" s="352"/>
      <c r="I32" s="343"/>
    </row>
    <row r="33" spans="2:8" ht="18" customHeight="1" x14ac:dyDescent="0.2">
      <c r="B33" s="346" t="s">
        <v>411</v>
      </c>
      <c r="C33" s="347">
        <f>C24-C19</f>
        <v>0</v>
      </c>
      <c r="D33" s="347" t="e">
        <f>Orçamento!P32</f>
        <v>#DIV/0!</v>
      </c>
      <c r="E33" s="347" t="e">
        <f>Orçamento!Q32</f>
        <v>#DIV/0!</v>
      </c>
      <c r="F33" s="347" t="e">
        <f>Orçamento!R32</f>
        <v>#DIV/0!</v>
      </c>
      <c r="G33" s="347" t="e">
        <f>Orçamento!S32</f>
        <v>#DIV/0!</v>
      </c>
      <c r="H33" s="347" t="e">
        <f>Orçamento!T32</f>
        <v>#DIV/0!</v>
      </c>
    </row>
    <row r="34" spans="2:8" ht="14" hidden="1" x14ac:dyDescent="0.2">
      <c r="B34" s="603"/>
      <c r="C34" s="603">
        <v>0</v>
      </c>
      <c r="D34" s="603">
        <v>1</v>
      </c>
      <c r="E34" s="603">
        <v>2</v>
      </c>
      <c r="F34" s="603">
        <v>3</v>
      </c>
      <c r="G34" s="603">
        <v>4</v>
      </c>
      <c r="H34" s="603">
        <v>5</v>
      </c>
    </row>
    <row r="35" spans="2:8" ht="14" hidden="1" x14ac:dyDescent="0.2"/>
    <row r="37" spans="2:8" ht="18" customHeight="1" x14ac:dyDescent="0.2">
      <c r="C37" s="604"/>
    </row>
    <row r="38" spans="2:8" ht="18" customHeight="1" x14ac:dyDescent="0.2">
      <c r="E38" s="606"/>
    </row>
  </sheetData>
  <sheetProtection password="8826" sheet="1" objects="1" scenarios="1"/>
  <mergeCells count="2">
    <mergeCell ref="B4:B5"/>
    <mergeCell ref="C4:H4"/>
  </mergeCells>
  <pageMargins left="0.511811024" right="0.511811024" top="0.78740157499999996" bottom="0.78740157499999996" header="0.31496062000000002" footer="0.31496062000000002"/>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enableFormatConditionsCalculation="0">
    <tabColor theme="8" tint="0.499984740745262"/>
  </sheetPr>
  <dimension ref="A1:DM53"/>
  <sheetViews>
    <sheetView workbookViewId="0">
      <selection activeCell="B3" sqref="B3"/>
    </sheetView>
  </sheetViews>
  <sheetFormatPr baseColWidth="10" defaultColWidth="12.5" defaultRowHeight="17.25" customHeight="1" x14ac:dyDescent="0.2"/>
  <cols>
    <col min="1" max="1" width="0.6640625" style="295" customWidth="1"/>
    <col min="2" max="2" width="41.6640625" style="295" customWidth="1"/>
    <col min="3" max="3" width="17.1640625" style="295" customWidth="1"/>
    <col min="4" max="15" width="12.1640625" style="295" customWidth="1"/>
    <col min="16" max="16" width="5.6640625" style="295" customWidth="1"/>
    <col min="17" max="17" width="12.6640625" style="295" customWidth="1"/>
    <col min="18" max="18" width="13.6640625" style="295" customWidth="1"/>
    <col min="19" max="19" width="14.5" style="295" customWidth="1"/>
    <col min="20" max="20" width="12.5" style="295"/>
    <col min="21" max="21" width="14.5" style="295" customWidth="1"/>
    <col min="22" max="22" width="12.5" style="295"/>
    <col min="23" max="23" width="16.33203125" style="600" customWidth="1"/>
    <col min="24" max="24" width="14" style="600" customWidth="1"/>
    <col min="25" max="25" width="19.6640625" style="600" customWidth="1"/>
    <col min="26" max="26" width="8.6640625" style="600" customWidth="1"/>
    <col min="27" max="27" width="8.1640625" style="600" customWidth="1"/>
    <col min="28" max="28" width="8.33203125" style="600" customWidth="1"/>
    <col min="29" max="29" width="7.5" style="600" customWidth="1"/>
    <col min="30" max="30" width="10.33203125" style="600" customWidth="1"/>
    <col min="31" max="31" width="7.5" style="600" customWidth="1"/>
    <col min="32" max="32" width="10.6640625" style="600" customWidth="1"/>
    <col min="33" max="33" width="11.1640625" style="600" customWidth="1"/>
    <col min="34" max="34" width="11.5" style="600" customWidth="1"/>
    <col min="35" max="35" width="9.1640625" style="600" customWidth="1"/>
    <col min="36" max="36" width="10.6640625" style="600" customWidth="1"/>
    <col min="37" max="37" width="8.5" style="600" customWidth="1"/>
    <col min="38" max="38" width="10.6640625" style="600" customWidth="1"/>
    <col min="39" max="39" width="7.33203125" style="600" customWidth="1"/>
    <col min="40" max="40" width="10.33203125" style="600" customWidth="1"/>
    <col min="41" max="41" width="9" style="600" customWidth="1"/>
    <col min="42" max="42" width="11.5" style="600" customWidth="1"/>
    <col min="43" max="43" width="7.33203125" style="600" customWidth="1"/>
    <col min="44" max="44" width="9.6640625" style="600" customWidth="1"/>
    <col min="45" max="45" width="8.5" style="600" customWidth="1"/>
    <col min="46" max="46" width="10.6640625" style="600" customWidth="1"/>
    <col min="47" max="47" width="7.33203125" style="600" customWidth="1"/>
    <col min="48" max="48" width="10.6640625" style="600" customWidth="1"/>
    <col min="49" max="49" width="9.5" style="600" customWidth="1"/>
    <col min="50" max="50" width="11.5" style="600" customWidth="1"/>
    <col min="51" max="51" width="7.33203125" style="600" customWidth="1"/>
    <col min="52" max="52" width="10.6640625" style="600" customWidth="1"/>
    <col min="53" max="53" width="8.5" style="600" customWidth="1"/>
    <col min="54" max="54" width="9.6640625" style="600" customWidth="1"/>
    <col min="55" max="55" width="8.33203125" style="600" customWidth="1"/>
    <col min="56" max="56" width="10.33203125" style="600" customWidth="1"/>
    <col min="57" max="57" width="8.33203125" style="600" customWidth="1"/>
    <col min="58" max="58" width="9.6640625" style="600" customWidth="1"/>
    <col min="59" max="59" width="8.33203125" style="600" customWidth="1"/>
    <col min="60" max="60" width="11" style="600" customWidth="1"/>
    <col min="61" max="61" width="9.5" style="600" customWidth="1"/>
    <col min="62" max="62" width="10.1640625" style="600" customWidth="1"/>
    <col min="63" max="63" width="8.33203125" style="600" customWidth="1"/>
    <col min="64" max="64" width="10.6640625" style="600" customWidth="1"/>
    <col min="65" max="65" width="8.33203125" style="600" customWidth="1"/>
    <col min="66" max="66" width="9.6640625" style="600" customWidth="1"/>
    <col min="67" max="67" width="8.33203125" style="600" customWidth="1"/>
    <col min="68" max="68" width="9.6640625" style="600" customWidth="1"/>
    <col min="69" max="69" width="8.33203125" style="600" customWidth="1"/>
    <col min="70" max="70" width="10.1640625" style="600" customWidth="1"/>
    <col min="71" max="71" width="8.33203125" style="600" customWidth="1"/>
    <col min="72" max="72" width="10.6640625" style="600" customWidth="1"/>
    <col min="73" max="75" width="8.33203125" style="600" customWidth="1"/>
    <col min="76" max="76" width="10.1640625" style="600" customWidth="1"/>
    <col min="77" max="78" width="8.33203125" style="600" customWidth="1"/>
    <col min="79" max="79" width="21" style="600" customWidth="1"/>
    <col min="80" max="107" width="0" style="600" hidden="1" customWidth="1"/>
    <col min="108" max="108" width="15.5" style="600" bestFit="1" customWidth="1"/>
    <col min="109" max="109" width="54.5" style="600" customWidth="1"/>
    <col min="110" max="110" width="8.33203125" style="600" hidden="1" customWidth="1"/>
    <col min="111" max="111" width="7.33203125" style="600" hidden="1" customWidth="1"/>
    <col min="112" max="112" width="8.33203125" style="600" hidden="1" customWidth="1"/>
    <col min="113" max="113" width="10.33203125" style="600" customWidth="1"/>
    <col min="114" max="114" width="8.5" style="600" customWidth="1"/>
    <col min="115" max="115" width="9.5" style="600" customWidth="1"/>
    <col min="116" max="116" width="7.33203125" style="600" customWidth="1"/>
    <col min="117" max="117" width="0.5" style="600" hidden="1" customWidth="1"/>
    <col min="118" max="137" width="8.33203125" style="600" customWidth="1"/>
    <col min="138" max="179" width="10.5" style="600" customWidth="1"/>
    <col min="180" max="16384" width="12.5" style="600"/>
  </cols>
  <sheetData>
    <row r="1" spans="1:22" ht="17.25" customHeight="1" x14ac:dyDescent="0.2">
      <c r="A1" s="636"/>
    </row>
    <row r="2" spans="1:22" ht="17.25" customHeight="1" x14ac:dyDescent="0.2">
      <c r="D2" s="296" t="s">
        <v>358</v>
      </c>
    </row>
    <row r="3" spans="1:22" ht="17.25" customHeight="1" x14ac:dyDescent="0.2">
      <c r="D3" s="296"/>
    </row>
    <row r="4" spans="1:22" ht="17.25" customHeight="1" x14ac:dyDescent="0.2">
      <c r="B4" s="1153" t="s">
        <v>35</v>
      </c>
      <c r="C4" s="1153" t="s">
        <v>37</v>
      </c>
      <c r="D4" s="1153" t="s">
        <v>36</v>
      </c>
      <c r="E4" s="1153"/>
      <c r="F4" s="1153"/>
      <c r="G4" s="1153"/>
      <c r="H4" s="1153"/>
      <c r="I4" s="1153"/>
      <c r="J4" s="1153"/>
      <c r="K4" s="1153"/>
      <c r="L4" s="1153"/>
      <c r="M4" s="1153"/>
      <c r="N4" s="1153"/>
      <c r="O4" s="1153"/>
    </row>
    <row r="5" spans="1:22" ht="17.25" customHeight="1" x14ac:dyDescent="0.2">
      <c r="B5" s="1153"/>
      <c r="C5" s="1153"/>
      <c r="D5" s="1175">
        <f>'Input Zootecnico atual'!C4</f>
        <v>2016</v>
      </c>
      <c r="E5" s="1176"/>
      <c r="F5" s="1175">
        <f>D5+1</f>
        <v>2017</v>
      </c>
      <c r="G5" s="1153"/>
      <c r="H5" s="1175">
        <f>F5+1</f>
        <v>2018</v>
      </c>
      <c r="I5" s="1153"/>
      <c r="J5" s="1175">
        <f>H5+1</f>
        <v>2019</v>
      </c>
      <c r="K5" s="1153"/>
      <c r="L5" s="1175">
        <f>J5+1</f>
        <v>2020</v>
      </c>
      <c r="M5" s="1153"/>
      <c r="N5" s="1175">
        <f>L5+1</f>
        <v>2021</v>
      </c>
      <c r="O5" s="1153"/>
      <c r="P5" s="310"/>
      <c r="R5" s="600"/>
      <c r="S5" s="600"/>
    </row>
    <row r="6" spans="1:22" ht="17.25" customHeight="1" x14ac:dyDescent="0.2">
      <c r="B6" s="340" t="str">
        <f>Orçamento!B6</f>
        <v>Vacas em lactação</v>
      </c>
      <c r="C6" s="601" t="str">
        <f>Orçamento!C6</f>
        <v>№</v>
      </c>
      <c r="D6" s="1178">
        <f>'Input Zootecnico atual'!C17</f>
        <v>0</v>
      </c>
      <c r="E6" s="1179"/>
      <c r="F6" s="1170" t="e">
        <f>Orçamento!P6</f>
        <v>#DIV/0!</v>
      </c>
      <c r="G6" s="1171"/>
      <c r="H6" s="1170" t="e">
        <f>Orçamento!Q6</f>
        <v>#DIV/0!</v>
      </c>
      <c r="I6" s="1171"/>
      <c r="J6" s="1170" t="e">
        <f>Orçamento!R6</f>
        <v>#DIV/0!</v>
      </c>
      <c r="K6" s="1171"/>
      <c r="L6" s="1170" t="e">
        <f>Orçamento!S6</f>
        <v>#DIV/0!</v>
      </c>
      <c r="M6" s="1171"/>
      <c r="N6" s="1170" t="e">
        <f>Orçamento!T6</f>
        <v>#DIV/0!</v>
      </c>
      <c r="O6" s="1171"/>
      <c r="P6" s="310"/>
      <c r="Q6" s="300"/>
      <c r="R6" s="300"/>
      <c r="S6" s="301"/>
    </row>
    <row r="7" spans="1:22" ht="17.25" customHeight="1" x14ac:dyDescent="0.2">
      <c r="B7" s="340" t="str">
        <f>Orçamento!B8</f>
        <v>Leite vendido</v>
      </c>
      <c r="C7" s="601" t="str">
        <f>Orçamento!C8</f>
        <v>L/VL/dia</v>
      </c>
      <c r="D7" s="1180" t="e">
        <f>'Input Financeiro atual'!C10/365/D6</f>
        <v>#DIV/0!</v>
      </c>
      <c r="E7" s="1180"/>
      <c r="F7" s="1177">
        <f>Orçamento!P8</f>
        <v>0</v>
      </c>
      <c r="G7" s="1177"/>
      <c r="H7" s="1177">
        <f>Orçamento!Q8</f>
        <v>0</v>
      </c>
      <c r="I7" s="1177"/>
      <c r="J7" s="1177">
        <f>Orçamento!R8</f>
        <v>0</v>
      </c>
      <c r="K7" s="1177"/>
      <c r="L7" s="1177">
        <f>Orçamento!S8</f>
        <v>0</v>
      </c>
      <c r="M7" s="1177"/>
      <c r="N7" s="1177">
        <f>Orçamento!T8</f>
        <v>0</v>
      </c>
      <c r="O7" s="1177"/>
      <c r="P7" s="310"/>
      <c r="Q7" s="300"/>
      <c r="R7" s="300"/>
      <c r="S7" s="302"/>
    </row>
    <row r="8" spans="1:22" ht="17.25" customHeight="1" x14ac:dyDescent="0.2">
      <c r="B8" s="340" t="str">
        <f>Orçamento!B9</f>
        <v>Preço bruto do leite</v>
      </c>
      <c r="C8" s="601" t="str">
        <f>Orçamento!C9</f>
        <v>R$</v>
      </c>
      <c r="D8" s="1180">
        <f>'Input Financeiro atual'!C11</f>
        <v>0</v>
      </c>
      <c r="E8" s="1180"/>
      <c r="F8" s="1177">
        <f>Orçamento!P9</f>
        <v>0</v>
      </c>
      <c r="G8" s="1177"/>
      <c r="H8" s="1177">
        <f>Orçamento!Q9</f>
        <v>0</v>
      </c>
      <c r="I8" s="1177"/>
      <c r="J8" s="1177">
        <f>Orçamento!R9</f>
        <v>0</v>
      </c>
      <c r="K8" s="1177"/>
      <c r="L8" s="1177">
        <f>Orçamento!S9</f>
        <v>0</v>
      </c>
      <c r="M8" s="1177"/>
      <c r="N8" s="1177">
        <f>Orçamento!T9</f>
        <v>0</v>
      </c>
      <c r="O8" s="1177"/>
      <c r="P8" s="310"/>
      <c r="Q8" s="300"/>
      <c r="R8" s="300"/>
      <c r="S8" s="303"/>
    </row>
    <row r="9" spans="1:22" ht="17.25" customHeight="1" x14ac:dyDescent="0.2">
      <c r="B9" s="163" t="str">
        <f>Orçamento!B10</f>
        <v>Leite vendido</v>
      </c>
      <c r="C9" s="601" t="str">
        <f>Orçamento!C10</f>
        <v>L/mês</v>
      </c>
      <c r="D9" s="1182">
        <f>'Input Financeiro atual'!C10</f>
        <v>0</v>
      </c>
      <c r="E9" s="1183"/>
      <c r="F9" s="1181" t="e">
        <f>Orçamento!P10</f>
        <v>#DIV/0!</v>
      </c>
      <c r="G9" s="1181"/>
      <c r="H9" s="1181" t="e">
        <f>Orçamento!Q10</f>
        <v>#DIV/0!</v>
      </c>
      <c r="I9" s="1181"/>
      <c r="J9" s="1181" t="e">
        <f>Orçamento!R10</f>
        <v>#DIV/0!</v>
      </c>
      <c r="K9" s="1181"/>
      <c r="L9" s="1181" t="e">
        <f>Orçamento!S10</f>
        <v>#DIV/0!</v>
      </c>
      <c r="M9" s="1181"/>
      <c r="N9" s="1181" t="e">
        <f>Orçamento!T10</f>
        <v>#DIV/0!</v>
      </c>
      <c r="O9" s="1181"/>
      <c r="P9" s="311"/>
      <c r="Q9" s="300"/>
      <c r="R9" s="304"/>
      <c r="S9" s="305"/>
    </row>
    <row r="10" spans="1:22" ht="17.25" customHeight="1" x14ac:dyDescent="0.2">
      <c r="B10" s="163" t="str">
        <f>Orçamento!B12</f>
        <v>Venda de animais</v>
      </c>
      <c r="C10" s="601" t="str">
        <f>Orçamento!C12</f>
        <v>R$</v>
      </c>
      <c r="D10" s="1182">
        <f>'Input Financeiro atual'!C20</f>
        <v>0</v>
      </c>
      <c r="E10" s="1182"/>
      <c r="F10" s="1181" t="e">
        <f>Orçamento!P12+Orçamento!P14</f>
        <v>#DIV/0!</v>
      </c>
      <c r="G10" s="1182"/>
      <c r="H10" s="1181" t="e">
        <f>Orçamento!Q12+Orçamento!Q14</f>
        <v>#DIV/0!</v>
      </c>
      <c r="I10" s="1182"/>
      <c r="J10" s="1181" t="e">
        <f>Orçamento!R12+Orçamento!R14</f>
        <v>#DIV/0!</v>
      </c>
      <c r="K10" s="1182"/>
      <c r="L10" s="1181" t="e">
        <f>Orçamento!S12+Orçamento!S14</f>
        <v>#DIV/0!</v>
      </c>
      <c r="M10" s="1182"/>
      <c r="N10" s="1181" t="e">
        <f>Orçamento!T12+Orçamento!T14</f>
        <v>#DIV/0!</v>
      </c>
      <c r="O10" s="1182"/>
      <c r="P10" s="311"/>
      <c r="Q10" s="304"/>
      <c r="R10" s="304"/>
      <c r="S10" s="303"/>
    </row>
    <row r="11" spans="1:22" ht="17.25" customHeight="1" x14ac:dyDescent="0.2">
      <c r="B11" s="163" t="s">
        <v>444</v>
      </c>
      <c r="C11" s="601" t="s">
        <v>18</v>
      </c>
      <c r="D11" s="1173">
        <f>'Input Financeiro atual'!C21</f>
        <v>0</v>
      </c>
      <c r="E11" s="1174"/>
      <c r="F11" s="1170">
        <f>Orçamento!P13</f>
        <v>0</v>
      </c>
      <c r="G11" s="1171"/>
      <c r="H11" s="1170">
        <f>Orçamento!Q13</f>
        <v>0</v>
      </c>
      <c r="I11" s="1171"/>
      <c r="J11" s="1170">
        <f>Orçamento!R13</f>
        <v>0</v>
      </c>
      <c r="K11" s="1171"/>
      <c r="L11" s="1170">
        <f>Orçamento!S13</f>
        <v>0</v>
      </c>
      <c r="M11" s="1171"/>
      <c r="N11" s="1170">
        <f>Orçamento!T13</f>
        <v>0</v>
      </c>
      <c r="O11" s="1171"/>
      <c r="P11" s="311"/>
      <c r="Q11" s="304"/>
      <c r="R11" s="304"/>
      <c r="S11" s="303"/>
    </row>
    <row r="12" spans="1:22" ht="17.25" customHeight="1" x14ac:dyDescent="0.2">
      <c r="B12" s="163" t="s">
        <v>474</v>
      </c>
      <c r="C12" s="601" t="str">
        <f>Orçamento!C15</f>
        <v>R$</v>
      </c>
      <c r="D12" s="1173">
        <f>'Input Financeiro atual'!C22</f>
        <v>0</v>
      </c>
      <c r="E12" s="1174"/>
      <c r="F12" s="1173" t="e">
        <f>((('Ev. Rebanho'!P41-'Ev. Rebanho'!D41+'Ev. Rebanho'!Q25+'Ev. Rebanho'!Q26+'Ev. Rebanho'!Q37+'Ev. Rebanho'!Q38)*Inputs!I40))+Inputs!I53</f>
        <v>#DIV/0!</v>
      </c>
      <c r="G12" s="1174"/>
      <c r="H12" s="1173" t="e">
        <f>((('Ev. Rebanho'!R41-'Ev. Rebanho'!P41+'Ev. Rebanho'!R25+'Ev. Rebanho'!R26+'Ev. Rebanho'!R37+'Ev. Rebanho'!R38)*Inputs!J40))+Inputs!J53</f>
        <v>#DIV/0!</v>
      </c>
      <c r="I12" s="1174"/>
      <c r="J12" s="1173" t="e">
        <f>((('Ev. Rebanho'!S41-'Ev. Rebanho'!R41+'Ev. Rebanho'!S25+'Ev. Rebanho'!S26+'Ev. Rebanho'!S37+'Ev. Rebanho'!S38)*Inputs!K40))+Inputs!K53</f>
        <v>#DIV/0!</v>
      </c>
      <c r="K12" s="1174"/>
      <c r="L12" s="1173" t="e">
        <f>((('Ev. Rebanho'!T41-'Ev. Rebanho'!S41+'Ev. Rebanho'!T25+'Ev. Rebanho'!T26+'Ev. Rebanho'!T37+'Ev. Rebanho'!T38)*Inputs!L40))+Inputs!L53</f>
        <v>#DIV/0!</v>
      </c>
      <c r="M12" s="1174"/>
      <c r="N12" s="1173" t="e">
        <f>((('Ev. Rebanho'!U41-'Ev. Rebanho'!T41+'Ev. Rebanho'!U25+'Ev. Rebanho'!U26+'Ev. Rebanho'!U37+'Ev. Rebanho'!U38)*Inputs!M40))+Inputs!M53</f>
        <v>#DIV/0!</v>
      </c>
      <c r="O12" s="1174"/>
      <c r="P12" s="311"/>
      <c r="Q12" s="304"/>
      <c r="R12" s="304"/>
      <c r="S12" s="302"/>
    </row>
    <row r="13" spans="1:22" ht="17.25" customHeight="1" x14ac:dyDescent="0.2">
      <c r="B13" s="336"/>
      <c r="C13" s="336"/>
      <c r="D13" s="318"/>
      <c r="E13" s="318"/>
      <c r="F13" s="319"/>
      <c r="G13" s="319"/>
      <c r="H13" s="320"/>
      <c r="I13" s="320"/>
      <c r="J13" s="320"/>
      <c r="K13" s="321"/>
      <c r="L13" s="322"/>
      <c r="M13" s="323"/>
      <c r="N13" s="323"/>
      <c r="O13" s="323"/>
      <c r="P13" s="311"/>
      <c r="Q13" s="304"/>
      <c r="R13" s="304"/>
      <c r="S13" s="302"/>
    </row>
    <row r="14" spans="1:22" ht="17.25" customHeight="1" x14ac:dyDescent="0.2">
      <c r="B14" s="337" t="s">
        <v>544</v>
      </c>
      <c r="C14" s="337" t="s">
        <v>18</v>
      </c>
      <c r="D14" s="1172">
        <f>(D8*D9)+D10+D12+D11</f>
        <v>0</v>
      </c>
      <c r="E14" s="1172"/>
      <c r="F14" s="1172" t="e">
        <f>(F8*F9)+(SUM(F10:G12))</f>
        <v>#DIV/0!</v>
      </c>
      <c r="G14" s="1172"/>
      <c r="H14" s="1172" t="e">
        <f>(H8*H9)+(SUM(H10:I12))</f>
        <v>#DIV/0!</v>
      </c>
      <c r="I14" s="1172"/>
      <c r="J14" s="1172" t="e">
        <f>(J8*J9)+(SUM(J10:K12))</f>
        <v>#DIV/0!</v>
      </c>
      <c r="K14" s="1172"/>
      <c r="L14" s="1172" t="e">
        <f>(L8*L9)+(SUM(L10:M12))</f>
        <v>#DIV/0!</v>
      </c>
      <c r="M14" s="1172"/>
      <c r="N14" s="1172" t="e">
        <f>(N8*N9)+(SUM(N10:O12))</f>
        <v>#DIV/0!</v>
      </c>
      <c r="O14" s="1172"/>
      <c r="P14" s="300"/>
      <c r="Q14" s="300"/>
      <c r="R14" s="300"/>
      <c r="S14" s="305"/>
      <c r="V14" s="296"/>
    </row>
    <row r="15" spans="1:22" ht="17.25" customHeight="1" x14ac:dyDescent="0.2">
      <c r="B15" s="642" t="s">
        <v>360</v>
      </c>
      <c r="C15" s="337" t="s">
        <v>18</v>
      </c>
      <c r="D15" s="1172">
        <f>'Input Financeiro atual'!C41</f>
        <v>0</v>
      </c>
      <c r="E15" s="1172"/>
      <c r="F15" s="1172" t="e">
        <f>SUM(G18:G31)</f>
        <v>#DIV/0!</v>
      </c>
      <c r="G15" s="1172"/>
      <c r="H15" s="1172" t="e">
        <f>SUM(I18:I31)</f>
        <v>#DIV/0!</v>
      </c>
      <c r="I15" s="1172"/>
      <c r="J15" s="1172" t="e">
        <f>SUM(K18:K31)</f>
        <v>#DIV/0!</v>
      </c>
      <c r="K15" s="1172"/>
      <c r="L15" s="1172" t="e">
        <f>SUM(M18:M31)</f>
        <v>#DIV/0!</v>
      </c>
      <c r="M15" s="1172"/>
      <c r="N15" s="1172" t="e">
        <f>SUM(O18:O31)</f>
        <v>#DIV/0!</v>
      </c>
      <c r="O15" s="1172"/>
      <c r="P15" s="308"/>
      <c r="Q15" s="600"/>
      <c r="R15" s="600"/>
      <c r="S15" s="600"/>
      <c r="T15" s="600"/>
    </row>
    <row r="16" spans="1:22" ht="17.25" customHeight="1" x14ac:dyDescent="0.2">
      <c r="B16" s="643" t="s">
        <v>359</v>
      </c>
      <c r="C16" s="641" t="s">
        <v>40</v>
      </c>
      <c r="D16" s="1172" t="e">
        <f>D14/D8</f>
        <v>#DIV/0!</v>
      </c>
      <c r="E16" s="1172"/>
      <c r="F16" s="1172" t="e">
        <f>F14/F8</f>
        <v>#DIV/0!</v>
      </c>
      <c r="G16" s="1172"/>
      <c r="H16" s="1172" t="e">
        <f>H14/H8</f>
        <v>#DIV/0!</v>
      </c>
      <c r="I16" s="1172"/>
      <c r="J16" s="1172" t="e">
        <f>J14/J8</f>
        <v>#DIV/0!</v>
      </c>
      <c r="K16" s="1172"/>
      <c r="L16" s="1172" t="e">
        <f>L14/L8</f>
        <v>#DIV/0!</v>
      </c>
      <c r="M16" s="1172"/>
      <c r="N16" s="1172" t="e">
        <f>N14/N8</f>
        <v>#DIV/0!</v>
      </c>
      <c r="O16" s="1172"/>
      <c r="P16" s="308"/>
      <c r="Q16" s="600"/>
      <c r="R16" s="600"/>
      <c r="S16" s="600"/>
      <c r="T16" s="600"/>
    </row>
    <row r="17" spans="2:21" ht="17.25" customHeight="1" x14ac:dyDescent="0.2">
      <c r="B17" s="1184"/>
      <c r="C17" s="1185"/>
      <c r="D17" s="324" t="s">
        <v>362</v>
      </c>
      <c r="E17" s="324" t="s">
        <v>11</v>
      </c>
      <c r="F17" s="324" t="s">
        <v>362</v>
      </c>
      <c r="G17" s="509" t="s">
        <v>8</v>
      </c>
      <c r="H17" s="324" t="s">
        <v>362</v>
      </c>
      <c r="I17" s="509" t="s">
        <v>8</v>
      </c>
      <c r="J17" s="324" t="s">
        <v>362</v>
      </c>
      <c r="K17" s="509" t="s">
        <v>8</v>
      </c>
      <c r="L17" s="324" t="s">
        <v>362</v>
      </c>
      <c r="M17" s="509" t="s">
        <v>8</v>
      </c>
      <c r="N17" s="324" t="s">
        <v>362</v>
      </c>
      <c r="O17" s="509" t="s">
        <v>8</v>
      </c>
      <c r="P17" s="306"/>
      <c r="Q17" s="600"/>
      <c r="R17" s="600"/>
      <c r="S17" s="600"/>
      <c r="T17" s="600"/>
      <c r="U17" s="306"/>
    </row>
    <row r="18" spans="2:21" ht="17.25" customHeight="1" x14ac:dyDescent="0.2">
      <c r="B18" s="338" t="str">
        <f>Orçamento!B17</f>
        <v>Alimentação</v>
      </c>
      <c r="C18" s="338" t="s">
        <v>477</v>
      </c>
      <c r="D18" s="330" t="e">
        <f>'Input Financeiro atual'!C27/'Input Financeiro atual'!F11</f>
        <v>#DIV/0!</v>
      </c>
      <c r="E18" s="316">
        <f>F39</f>
        <v>0.5</v>
      </c>
      <c r="F18" s="314" t="e">
        <f>(G18/F16)*100</f>
        <v>#DIV/0!</v>
      </c>
      <c r="G18" s="315" t="e">
        <f>Orçamento!P17</f>
        <v>#DIV/0!</v>
      </c>
      <c r="H18" s="314" t="e">
        <f>(I18/H16)*100</f>
        <v>#DIV/0!</v>
      </c>
      <c r="I18" s="315" t="e">
        <f>Orçamento!Q17</f>
        <v>#DIV/0!</v>
      </c>
      <c r="J18" s="314" t="e">
        <f>(K18/J16)*100</f>
        <v>#DIV/0!</v>
      </c>
      <c r="K18" s="315" t="e">
        <f>Orçamento!R17</f>
        <v>#DIV/0!</v>
      </c>
      <c r="L18" s="314" t="e">
        <f>(M18/L16)*100</f>
        <v>#DIV/0!</v>
      </c>
      <c r="M18" s="315" t="e">
        <f>Orçamento!S17</f>
        <v>#DIV/0!</v>
      </c>
      <c r="N18" s="314" t="e">
        <f>(O18/N16)*100</f>
        <v>#DIV/0!</v>
      </c>
      <c r="O18" s="315" t="e">
        <f>Orçamento!T17</f>
        <v>#DIV/0!</v>
      </c>
      <c r="P18" s="312"/>
      <c r="Q18" s="600"/>
      <c r="R18" s="600"/>
      <c r="S18" s="600"/>
      <c r="T18" s="600"/>
      <c r="U18" s="307"/>
    </row>
    <row r="19" spans="2:21" ht="17.25" customHeight="1" x14ac:dyDescent="0.2">
      <c r="B19" s="338" t="str">
        <f>Orçamento!B18</f>
        <v>Mão de obra</v>
      </c>
      <c r="C19" s="338" t="s">
        <v>478</v>
      </c>
      <c r="D19" s="316" t="e">
        <f>'Input Financeiro atual'!C28/'Input Financeiro atual'!$C$23</f>
        <v>#DIV/0!</v>
      </c>
      <c r="E19" s="316">
        <f t="shared" ref="E19:E28" si="0">F40</f>
        <v>0.1</v>
      </c>
      <c r="F19" s="316" t="e">
        <f>G19/F14</f>
        <v>#DIV/0!</v>
      </c>
      <c r="G19" s="315">
        <f>Orçamento!P18</f>
        <v>0</v>
      </c>
      <c r="H19" s="316" t="e">
        <f>I19/H14</f>
        <v>#DIV/0!</v>
      </c>
      <c r="I19" s="315">
        <f>Orçamento!Q18</f>
        <v>0</v>
      </c>
      <c r="J19" s="316" t="e">
        <f>K19/J14</f>
        <v>#DIV/0!</v>
      </c>
      <c r="K19" s="315">
        <f>Orçamento!R18</f>
        <v>0</v>
      </c>
      <c r="L19" s="316" t="e">
        <f>M19/L14</f>
        <v>#DIV/0!</v>
      </c>
      <c r="M19" s="315">
        <f>Orçamento!S18</f>
        <v>0</v>
      </c>
      <c r="N19" s="316" t="e">
        <f>O19/N14</f>
        <v>#DIV/0!</v>
      </c>
      <c r="O19" s="315">
        <f>Orçamento!T18</f>
        <v>0</v>
      </c>
      <c r="P19" s="312"/>
      <c r="Q19" s="600"/>
      <c r="R19" s="600"/>
      <c r="S19" s="600"/>
      <c r="T19" s="600"/>
      <c r="U19" s="307"/>
    </row>
    <row r="20" spans="2:21" ht="17.25" customHeight="1" x14ac:dyDescent="0.2">
      <c r="B20" s="338" t="str">
        <f>Orçamento!B19</f>
        <v>Sanidade</v>
      </c>
      <c r="C20" s="338" t="s">
        <v>479</v>
      </c>
      <c r="D20" s="313" t="e">
        <f>('Input Financeiro atual'!C29/'Input Zootecnico atual'!C17+'Input Zootecnico atual'!C23)/12</f>
        <v>#DIV/0!</v>
      </c>
      <c r="E20" s="316">
        <f t="shared" si="0"/>
        <v>2.5000000000000001E-2</v>
      </c>
      <c r="F20" s="314" t="str">
        <f>Inputs!I25</f>
        <v>-</v>
      </c>
      <c r="G20" s="315" t="e">
        <f>Orçamento!P19</f>
        <v>#DIV/0!</v>
      </c>
      <c r="H20" s="314" t="str">
        <f>Inputs!J25</f>
        <v>-</v>
      </c>
      <c r="I20" s="315" t="e">
        <f>Orçamento!Q19</f>
        <v>#VALUE!</v>
      </c>
      <c r="J20" s="314" t="str">
        <f>Inputs!K25</f>
        <v>-</v>
      </c>
      <c r="K20" s="315" t="e">
        <f>Orçamento!R19</f>
        <v>#VALUE!</v>
      </c>
      <c r="L20" s="314" t="str">
        <f>Inputs!L25</f>
        <v>-</v>
      </c>
      <c r="M20" s="315" t="e">
        <f>Orçamento!S19</f>
        <v>#VALUE!</v>
      </c>
      <c r="N20" s="314" t="str">
        <f>Inputs!M25</f>
        <v>-</v>
      </c>
      <c r="O20" s="315" t="e">
        <f>Orçamento!T19</f>
        <v>#VALUE!</v>
      </c>
      <c r="P20" s="312"/>
      <c r="Q20" s="600"/>
      <c r="R20" s="600"/>
      <c r="S20" s="600"/>
      <c r="T20" s="600"/>
      <c r="U20" s="307"/>
    </row>
    <row r="21" spans="2:21" ht="17.25" customHeight="1" x14ac:dyDescent="0.2">
      <c r="B21" s="338" t="str">
        <f>Orçamento!B20</f>
        <v>Reprodução</v>
      </c>
      <c r="C21" s="338" t="s">
        <v>448</v>
      </c>
      <c r="D21" s="313" t="e">
        <f>('Input Financeiro atual'!C30/'Input Zootecnico atual'!C17)/12</f>
        <v>#DIV/0!</v>
      </c>
      <c r="E21" s="316">
        <f t="shared" si="0"/>
        <v>1.4999999999999999E-2</v>
      </c>
      <c r="F21" s="314" t="str">
        <f>Inputs!I26</f>
        <v>-</v>
      </c>
      <c r="G21" s="315" t="e">
        <f>Orçamento!P20</f>
        <v>#DIV/0!</v>
      </c>
      <c r="H21" s="314" t="str">
        <f>Inputs!J26</f>
        <v>-</v>
      </c>
      <c r="I21" s="315" t="e">
        <f>Orçamento!Q20</f>
        <v>#VALUE!</v>
      </c>
      <c r="J21" s="314" t="str">
        <f>Inputs!K26</f>
        <v>-</v>
      </c>
      <c r="K21" s="315" t="e">
        <f>Orçamento!R20</f>
        <v>#VALUE!</v>
      </c>
      <c r="L21" s="314" t="str">
        <f>Inputs!L26</f>
        <v>-</v>
      </c>
      <c r="M21" s="315" t="e">
        <f>Orçamento!S20</f>
        <v>#VALUE!</v>
      </c>
      <c r="N21" s="314" t="str">
        <f>Inputs!M26</f>
        <v>-</v>
      </c>
      <c r="O21" s="315" t="e">
        <f>Orçamento!T20</f>
        <v>#VALUE!</v>
      </c>
      <c r="P21" s="312"/>
      <c r="Q21" s="600"/>
      <c r="R21" s="600"/>
      <c r="S21" s="600"/>
      <c r="T21" s="600"/>
      <c r="U21" s="307"/>
    </row>
    <row r="22" spans="2:21" ht="17.25" customHeight="1" x14ac:dyDescent="0.2">
      <c r="B22" s="338" t="str">
        <f>Orçamento!B21</f>
        <v>Material de consumo</v>
      </c>
      <c r="C22" s="338" t="s">
        <v>479</v>
      </c>
      <c r="D22" s="313" t="e">
        <f>('Input Financeiro atual'!C31/'Input Zootecnico atual'!C17+'Input Zootecnico atual'!C23)/12</f>
        <v>#DIV/0!</v>
      </c>
      <c r="E22" s="316">
        <f t="shared" si="0"/>
        <v>0.02</v>
      </c>
      <c r="F22" s="314" t="str">
        <f>Inputs!I27</f>
        <v>-</v>
      </c>
      <c r="G22" s="315" t="e">
        <f>Orçamento!P21</f>
        <v>#DIV/0!</v>
      </c>
      <c r="H22" s="314" t="str">
        <f>Inputs!J27</f>
        <v>-</v>
      </c>
      <c r="I22" s="315" t="e">
        <f>Orçamento!Q21</f>
        <v>#VALUE!</v>
      </c>
      <c r="J22" s="314" t="str">
        <f>Inputs!K27</f>
        <v>-</v>
      </c>
      <c r="K22" s="315" t="e">
        <f>Orçamento!R21</f>
        <v>#VALUE!</v>
      </c>
      <c r="L22" s="314" t="str">
        <f>Inputs!L27</f>
        <v>-</v>
      </c>
      <c r="M22" s="315" t="e">
        <f>Orçamento!S21</f>
        <v>#VALUE!</v>
      </c>
      <c r="N22" s="314" t="str">
        <f>Inputs!M27</f>
        <v>-</v>
      </c>
      <c r="O22" s="315" t="e">
        <f>Orçamento!T21</f>
        <v>#VALUE!</v>
      </c>
      <c r="P22" s="312"/>
      <c r="Q22" s="600"/>
      <c r="R22" s="600"/>
      <c r="S22" s="600"/>
      <c r="T22" s="600"/>
      <c r="U22" s="307"/>
    </row>
    <row r="23" spans="2:21" ht="17.25" customHeight="1" x14ac:dyDescent="0.2">
      <c r="B23" s="338" t="str">
        <f>Orçamento!B22</f>
        <v>BST</v>
      </c>
      <c r="C23" s="338" t="s">
        <v>448</v>
      </c>
      <c r="D23" s="313" t="e">
        <f>('Input Financeiro atual'!C32/'Input Zootecnico atual'!C17)/12</f>
        <v>#DIV/0!</v>
      </c>
      <c r="E23" s="316">
        <f t="shared" si="0"/>
        <v>0.03</v>
      </c>
      <c r="F23" s="314" t="str">
        <f>Inputs!I28</f>
        <v>-</v>
      </c>
      <c r="G23" s="315" t="e">
        <f>Orçamento!P22</f>
        <v>#DIV/0!</v>
      </c>
      <c r="H23" s="314" t="str">
        <f>Inputs!J28</f>
        <v>-</v>
      </c>
      <c r="I23" s="315" t="e">
        <f>Orçamento!Q22</f>
        <v>#VALUE!</v>
      </c>
      <c r="J23" s="314" t="str">
        <f>Inputs!K28</f>
        <v>-</v>
      </c>
      <c r="K23" s="315" t="e">
        <f>Orçamento!R22</f>
        <v>#VALUE!</v>
      </c>
      <c r="L23" s="314" t="str">
        <f>Inputs!L28</f>
        <v>-</v>
      </c>
      <c r="M23" s="315" t="e">
        <f>Orçamento!S22</f>
        <v>#VALUE!</v>
      </c>
      <c r="N23" s="314" t="str">
        <f>Inputs!M28</f>
        <v>-</v>
      </c>
      <c r="O23" s="315" t="e">
        <f>Orçamento!T22</f>
        <v>#VALUE!</v>
      </c>
      <c r="P23" s="312"/>
      <c r="Q23" s="600"/>
      <c r="R23" s="600"/>
      <c r="S23" s="600"/>
      <c r="T23" s="600"/>
      <c r="U23" s="307"/>
    </row>
    <row r="24" spans="2:21" ht="17.25" customHeight="1" x14ac:dyDescent="0.2">
      <c r="B24" s="338" t="str">
        <f>Orçamento!B23</f>
        <v>Controles</v>
      </c>
      <c r="C24" s="338" t="s">
        <v>479</v>
      </c>
      <c r="D24" s="313" t="e">
        <f>('Input Financeiro atual'!C33/'Input Zootecnico atual'!C17+'Input Zootecnico atual'!C23)/12</f>
        <v>#DIV/0!</v>
      </c>
      <c r="E24" s="316">
        <f t="shared" si="0"/>
        <v>5.0000000000000001E-3</v>
      </c>
      <c r="F24" s="314" t="str">
        <f>Inputs!I29</f>
        <v>-</v>
      </c>
      <c r="G24" s="315" t="e">
        <f>Orçamento!P23</f>
        <v>#DIV/0!</v>
      </c>
      <c r="H24" s="314" t="str">
        <f>Inputs!J29</f>
        <v>-</v>
      </c>
      <c r="I24" s="315" t="e">
        <f>Orçamento!Q23</f>
        <v>#VALUE!</v>
      </c>
      <c r="J24" s="314" t="str">
        <f>Inputs!K29</f>
        <v>-</v>
      </c>
      <c r="K24" s="315" t="e">
        <f>Orçamento!R23</f>
        <v>#VALUE!</v>
      </c>
      <c r="L24" s="314" t="str">
        <f>Inputs!L29</f>
        <v>-</v>
      </c>
      <c r="M24" s="315" t="e">
        <f>Orçamento!S23</f>
        <v>#VALUE!</v>
      </c>
      <c r="N24" s="314" t="str">
        <f>Inputs!M29</f>
        <v>-</v>
      </c>
      <c r="O24" s="315" t="e">
        <f>Orçamento!T23</f>
        <v>#VALUE!</v>
      </c>
      <c r="P24" s="312"/>
      <c r="Q24" s="600"/>
      <c r="R24" s="600"/>
      <c r="S24" s="600"/>
      <c r="T24" s="600"/>
      <c r="U24" s="307"/>
    </row>
    <row r="25" spans="2:21" ht="17.25" customHeight="1" x14ac:dyDescent="0.2">
      <c r="B25" s="338" t="str">
        <f>Orçamento!B24</f>
        <v>Energia elétrica e combustível</v>
      </c>
      <c r="C25" s="338" t="s">
        <v>448</v>
      </c>
      <c r="D25" s="313" t="e">
        <f>('Input Financeiro atual'!C34/'Input Zootecnico atual'!C17)/12</f>
        <v>#DIV/0!</v>
      </c>
      <c r="E25" s="316">
        <f t="shared" si="0"/>
        <v>0.03</v>
      </c>
      <c r="F25" s="314" t="str">
        <f>Inputs!I30</f>
        <v>-</v>
      </c>
      <c r="G25" s="315" t="e">
        <f>Orçamento!P24</f>
        <v>#DIV/0!</v>
      </c>
      <c r="H25" s="314" t="str">
        <f>Inputs!J30</f>
        <v>-</v>
      </c>
      <c r="I25" s="315" t="e">
        <f>Orçamento!Q24</f>
        <v>#VALUE!</v>
      </c>
      <c r="J25" s="314" t="str">
        <f>Inputs!K30</f>
        <v>-</v>
      </c>
      <c r="K25" s="315" t="e">
        <f>Orçamento!R24</f>
        <v>#VALUE!</v>
      </c>
      <c r="L25" s="314" t="str">
        <f>Inputs!L30</f>
        <v>-</v>
      </c>
      <c r="M25" s="315" t="e">
        <f>Orçamento!S24</f>
        <v>#VALUE!</v>
      </c>
      <c r="N25" s="314" t="str">
        <f>Inputs!M30</f>
        <v>-</v>
      </c>
      <c r="O25" s="315" t="e">
        <f>Orçamento!T24</f>
        <v>#VALUE!</v>
      </c>
      <c r="P25" s="312"/>
      <c r="Q25" s="600"/>
      <c r="R25" s="600"/>
      <c r="S25" s="600"/>
      <c r="T25" s="600"/>
      <c r="U25" s="307"/>
    </row>
    <row r="26" spans="2:21" ht="17.25" customHeight="1" x14ac:dyDescent="0.2">
      <c r="B26" s="338" t="str">
        <f>Orçamento!B25</f>
        <v>Manutenção de instalações</v>
      </c>
      <c r="C26" s="338" t="s">
        <v>478</v>
      </c>
      <c r="D26" s="316" t="e">
        <f>'Input Financeiro atual'!C35/'Input Financeiro atual'!$C$23</f>
        <v>#DIV/0!</v>
      </c>
      <c r="E26" s="316">
        <f t="shared" si="0"/>
        <v>0.01</v>
      </c>
      <c r="F26" s="330" t="e">
        <f t="shared" ref="F26:F31" si="1">G26/$F$14</f>
        <v>#DIV/0!</v>
      </c>
      <c r="G26" s="315">
        <f>Orçamento!P25</f>
        <v>0</v>
      </c>
      <c r="H26" s="316" t="e">
        <f t="shared" ref="H26:H31" si="2">I26/$H$14</f>
        <v>#DIV/0!</v>
      </c>
      <c r="I26" s="315">
        <f>Orçamento!Q25</f>
        <v>0</v>
      </c>
      <c r="J26" s="316" t="e">
        <f t="shared" ref="J26:J31" si="3">K26/$J$14</f>
        <v>#DIV/0!</v>
      </c>
      <c r="K26" s="315">
        <f>Orçamento!R25</f>
        <v>0</v>
      </c>
      <c r="L26" s="316" t="e">
        <f t="shared" ref="L26:L31" si="4">M26/$L$14</f>
        <v>#DIV/0!</v>
      </c>
      <c r="M26" s="315">
        <f>Orçamento!S25</f>
        <v>0</v>
      </c>
      <c r="N26" s="316" t="e">
        <f t="shared" ref="N26:N31" si="5">O26/$N$14</f>
        <v>#DIV/0!</v>
      </c>
      <c r="O26" s="315">
        <f>Orçamento!T25</f>
        <v>0</v>
      </c>
      <c r="P26" s="312"/>
      <c r="Q26" s="600"/>
      <c r="R26" s="600"/>
      <c r="S26" s="600"/>
      <c r="T26" s="600"/>
      <c r="U26" s="307"/>
    </row>
    <row r="27" spans="2:21" ht="17.25" customHeight="1" x14ac:dyDescent="0.2">
      <c r="B27" s="338" t="str">
        <f>Orçamento!B26</f>
        <v>Manutenção de maquinário</v>
      </c>
      <c r="C27" s="338" t="s">
        <v>478</v>
      </c>
      <c r="D27" s="316" t="e">
        <f>'Input Financeiro atual'!C36/'Input Financeiro atual'!$C$23</f>
        <v>#DIV/0!</v>
      </c>
      <c r="E27" s="316">
        <f t="shared" si="0"/>
        <v>6.5000000000000002E-2</v>
      </c>
      <c r="F27" s="330" t="e">
        <f t="shared" si="1"/>
        <v>#DIV/0!</v>
      </c>
      <c r="G27" s="315">
        <f>Orçamento!P26</f>
        <v>0</v>
      </c>
      <c r="H27" s="316" t="e">
        <f t="shared" si="2"/>
        <v>#DIV/0!</v>
      </c>
      <c r="I27" s="315">
        <f>Orçamento!Q26</f>
        <v>0</v>
      </c>
      <c r="J27" s="316" t="e">
        <f t="shared" si="3"/>
        <v>#DIV/0!</v>
      </c>
      <c r="K27" s="315">
        <f>Orçamento!R26</f>
        <v>0</v>
      </c>
      <c r="L27" s="316" t="e">
        <f t="shared" si="4"/>
        <v>#DIV/0!</v>
      </c>
      <c r="M27" s="315">
        <f>Orçamento!S26</f>
        <v>0</v>
      </c>
      <c r="N27" s="316" t="e">
        <f t="shared" si="5"/>
        <v>#DIV/0!</v>
      </c>
      <c r="O27" s="315">
        <f>Orçamento!T26</f>
        <v>0</v>
      </c>
      <c r="P27" s="312"/>
      <c r="Q27" s="600"/>
      <c r="R27" s="600"/>
      <c r="S27" s="600"/>
      <c r="T27" s="600"/>
      <c r="U27" s="307"/>
    </row>
    <row r="28" spans="2:21" ht="17.25" customHeight="1" x14ac:dyDescent="0.2">
      <c r="B28" s="338" t="str">
        <f>Orçamento!B27</f>
        <v>Arrendamento de terra para o leite</v>
      </c>
      <c r="C28" s="338" t="s">
        <v>478</v>
      </c>
      <c r="D28" s="316" t="e">
        <f>'Input Financeiro atual'!C37/'Input Financeiro atual'!$C$23</f>
        <v>#DIV/0!</v>
      </c>
      <c r="E28" s="316">
        <f t="shared" si="0"/>
        <v>0</v>
      </c>
      <c r="F28" s="330" t="e">
        <f t="shared" si="1"/>
        <v>#DIV/0!</v>
      </c>
      <c r="G28" s="315">
        <f>Orçamento!P27</f>
        <v>0</v>
      </c>
      <c r="H28" s="316" t="e">
        <f t="shared" si="2"/>
        <v>#DIV/0!</v>
      </c>
      <c r="I28" s="315">
        <f>Orçamento!Q27</f>
        <v>0</v>
      </c>
      <c r="J28" s="316" t="e">
        <f t="shared" si="3"/>
        <v>#DIV/0!</v>
      </c>
      <c r="K28" s="315">
        <f>Orçamento!R27</f>
        <v>0</v>
      </c>
      <c r="L28" s="316" t="e">
        <f t="shared" si="4"/>
        <v>#DIV/0!</v>
      </c>
      <c r="M28" s="315">
        <f>Orçamento!S27</f>
        <v>0</v>
      </c>
      <c r="N28" s="316" t="e">
        <f t="shared" si="5"/>
        <v>#DIV/0!</v>
      </c>
      <c r="O28" s="315">
        <f>Orçamento!T27</f>
        <v>0</v>
      </c>
      <c r="P28" s="312"/>
      <c r="Q28" s="600"/>
      <c r="R28" s="600"/>
      <c r="S28" s="600"/>
      <c r="T28" s="600"/>
      <c r="U28" s="307"/>
    </row>
    <row r="29" spans="2:21" ht="17.25" customHeight="1" x14ac:dyDescent="0.2">
      <c r="B29" s="338" t="str">
        <f>Orçamento!B28</f>
        <v>Depreciação</v>
      </c>
      <c r="C29" s="338" t="s">
        <v>478</v>
      </c>
      <c r="D29" s="316" t="e">
        <f>'Input Financeiro atual'!C38/'Input Financeiro atual'!$C$23</f>
        <v>#DIV/0!</v>
      </c>
      <c r="E29" s="316">
        <f>F50</f>
        <v>0</v>
      </c>
      <c r="F29" s="330" t="e">
        <f t="shared" si="1"/>
        <v>#DIV/0!</v>
      </c>
      <c r="G29" s="315">
        <f>Orçamento!P28</f>
        <v>0</v>
      </c>
      <c r="H29" s="316" t="e">
        <f t="shared" si="2"/>
        <v>#DIV/0!</v>
      </c>
      <c r="I29" s="315">
        <f>Orçamento!Q28</f>
        <v>0</v>
      </c>
      <c r="J29" s="316" t="e">
        <f t="shared" si="3"/>
        <v>#DIV/0!</v>
      </c>
      <c r="K29" s="315">
        <f>Orçamento!R28</f>
        <v>0</v>
      </c>
      <c r="L29" s="316" t="e">
        <f t="shared" si="4"/>
        <v>#DIV/0!</v>
      </c>
      <c r="M29" s="315">
        <f>Orçamento!S28</f>
        <v>0</v>
      </c>
      <c r="N29" s="316" t="e">
        <f t="shared" si="5"/>
        <v>#DIV/0!</v>
      </c>
      <c r="O29" s="315">
        <f>Orçamento!T28</f>
        <v>0</v>
      </c>
      <c r="P29" s="312"/>
      <c r="Q29" s="600"/>
      <c r="R29" s="600"/>
      <c r="S29" s="600"/>
      <c r="T29" s="600"/>
      <c r="U29" s="307"/>
    </row>
    <row r="30" spans="2:21" ht="17.25" customHeight="1" x14ac:dyDescent="0.2">
      <c r="B30" s="338" t="str">
        <f>Orçamento!B29</f>
        <v>Outras despesas</v>
      </c>
      <c r="C30" s="338" t="s">
        <v>478</v>
      </c>
      <c r="D30" s="316" t="e">
        <f>'Input Financeiro atual'!C39/'Input Financeiro atual'!$C$23</f>
        <v>#DIV/0!</v>
      </c>
      <c r="E30" s="316">
        <f>F51</f>
        <v>0</v>
      </c>
      <c r="F30" s="330" t="e">
        <f t="shared" si="1"/>
        <v>#DIV/0!</v>
      </c>
      <c r="G30" s="315">
        <f>Orçamento!P29</f>
        <v>0</v>
      </c>
      <c r="H30" s="316" t="e">
        <f t="shared" si="2"/>
        <v>#DIV/0!</v>
      </c>
      <c r="I30" s="315">
        <f>Orçamento!Q29</f>
        <v>0</v>
      </c>
      <c r="J30" s="316" t="e">
        <f t="shared" si="3"/>
        <v>#DIV/0!</v>
      </c>
      <c r="K30" s="315">
        <f>Orçamento!R29</f>
        <v>0</v>
      </c>
      <c r="L30" s="316" t="e">
        <f t="shared" si="4"/>
        <v>#DIV/0!</v>
      </c>
      <c r="M30" s="315">
        <f>Orçamento!S29</f>
        <v>0</v>
      </c>
      <c r="N30" s="316" t="e">
        <f t="shared" si="5"/>
        <v>#DIV/0!</v>
      </c>
      <c r="O30" s="315">
        <f>Orçamento!T29</f>
        <v>0</v>
      </c>
      <c r="P30" s="312"/>
      <c r="Q30" s="600"/>
      <c r="R30" s="600"/>
      <c r="S30" s="600"/>
      <c r="T30" s="600"/>
      <c r="U30" s="307"/>
    </row>
    <row r="31" spans="2:21" ht="17.25" customHeight="1" x14ac:dyDescent="0.2">
      <c r="B31" s="338" t="str">
        <f>Orçamento!B30</f>
        <v>Impostos de produção</v>
      </c>
      <c r="C31" s="338" t="s">
        <v>478</v>
      </c>
      <c r="D31" s="316" t="e">
        <f>'Input Financeiro atual'!C40/'Input Financeiro atual'!$C$23</f>
        <v>#DIV/0!</v>
      </c>
      <c r="E31" s="316">
        <f>F52</f>
        <v>0</v>
      </c>
      <c r="F31" s="330" t="e">
        <f t="shared" si="1"/>
        <v>#DIV/0!</v>
      </c>
      <c r="G31" s="315">
        <f>Orçamento!P30</f>
        <v>0</v>
      </c>
      <c r="H31" s="316" t="e">
        <f t="shared" si="2"/>
        <v>#DIV/0!</v>
      </c>
      <c r="I31" s="315">
        <f>Orçamento!Q30</f>
        <v>0</v>
      </c>
      <c r="J31" s="316" t="e">
        <f t="shared" si="3"/>
        <v>#DIV/0!</v>
      </c>
      <c r="K31" s="315">
        <f>Orçamento!R30</f>
        <v>0</v>
      </c>
      <c r="L31" s="316" t="e">
        <f t="shared" si="4"/>
        <v>#DIV/0!</v>
      </c>
      <c r="M31" s="315">
        <f>Orçamento!S30</f>
        <v>0</v>
      </c>
      <c r="N31" s="316" t="e">
        <f t="shared" si="5"/>
        <v>#DIV/0!</v>
      </c>
      <c r="O31" s="315">
        <f>Orçamento!T30</f>
        <v>0</v>
      </c>
      <c r="P31" s="312"/>
      <c r="Q31" s="600"/>
      <c r="R31" s="600"/>
      <c r="S31" s="600"/>
      <c r="T31" s="600"/>
      <c r="U31" s="307"/>
    </row>
    <row r="32" spans="2:21" ht="17.25" customHeight="1" x14ac:dyDescent="0.2">
      <c r="B32" s="339" t="s">
        <v>365</v>
      </c>
      <c r="C32" s="339" t="s">
        <v>18</v>
      </c>
      <c r="D32" s="1186">
        <f>D14-D15</f>
        <v>0</v>
      </c>
      <c r="E32" s="1187"/>
      <c r="F32" s="1186" t="e">
        <f>F14-F15</f>
        <v>#DIV/0!</v>
      </c>
      <c r="G32" s="1187"/>
      <c r="H32" s="1186" t="e">
        <f>H14-H15</f>
        <v>#DIV/0!</v>
      </c>
      <c r="I32" s="1187"/>
      <c r="J32" s="1186" t="e">
        <f>J14-J15</f>
        <v>#DIV/0!</v>
      </c>
      <c r="K32" s="1187"/>
      <c r="L32" s="1186" t="e">
        <f>L14-L15</f>
        <v>#DIV/0!</v>
      </c>
      <c r="M32" s="1187"/>
      <c r="N32" s="1186" t="e">
        <f>N14-N15</f>
        <v>#DIV/0!</v>
      </c>
      <c r="O32" s="1187"/>
      <c r="Q32" s="600"/>
      <c r="R32" s="600"/>
      <c r="S32" s="600"/>
      <c r="T32" s="600"/>
      <c r="U32" s="300"/>
    </row>
    <row r="33" spans="2:22" ht="17.25" customHeight="1" x14ac:dyDescent="0.2">
      <c r="B33" s="163" t="s">
        <v>366</v>
      </c>
      <c r="C33" s="163" t="s">
        <v>41</v>
      </c>
      <c r="D33" s="317" t="e">
        <f>'Input Financeiro atual'!F14</f>
        <v>#DIV/0!</v>
      </c>
      <c r="E33" s="317"/>
      <c r="F33" s="317" t="e">
        <f>(F15)/F16</f>
        <v>#DIV/0!</v>
      </c>
      <c r="G33" s="317" t="e">
        <f>(F15)/F9</f>
        <v>#DIV/0!</v>
      </c>
      <c r="H33" s="317" t="e">
        <f>(H15)/H16</f>
        <v>#DIV/0!</v>
      </c>
      <c r="I33" s="317" t="e">
        <f>(H15)/H9</f>
        <v>#DIV/0!</v>
      </c>
      <c r="J33" s="317" t="e">
        <f>(J15)/J16</f>
        <v>#DIV/0!</v>
      </c>
      <c r="K33" s="317" t="e">
        <f>(J15)/J9</f>
        <v>#DIV/0!</v>
      </c>
      <c r="L33" s="317" t="e">
        <f>(L15)/L16</f>
        <v>#DIV/0!</v>
      </c>
      <c r="M33" s="317" t="e">
        <f>(L15)/L9</f>
        <v>#DIV/0!</v>
      </c>
      <c r="N33" s="317" t="e">
        <f>(N15)/N16</f>
        <v>#DIV/0!</v>
      </c>
      <c r="O33" s="317" t="e">
        <f>(N15)/N9</f>
        <v>#DIV/0!</v>
      </c>
      <c r="Q33" s="600"/>
      <c r="R33" s="600"/>
      <c r="S33" s="600"/>
      <c r="T33" s="600"/>
      <c r="U33" s="309"/>
    </row>
    <row r="34" spans="2:22" ht="17.25" customHeight="1" x14ac:dyDescent="0.2">
      <c r="H34" s="308"/>
      <c r="I34" s="308"/>
      <c r="J34" s="308"/>
      <c r="K34" s="308"/>
      <c r="L34" s="308"/>
      <c r="M34" s="308"/>
      <c r="N34" s="308"/>
      <c r="O34" s="308"/>
    </row>
    <row r="36" spans="2:22" ht="17.25" customHeight="1" x14ac:dyDescent="0.2">
      <c r="B36" s="1188">
        <f>F5</f>
        <v>2017</v>
      </c>
      <c r="C36" s="1189"/>
      <c r="D36" s="1189"/>
      <c r="E36" s="1189"/>
      <c r="F36" s="1190"/>
    </row>
    <row r="37" spans="2:22" ht="17.25" customHeight="1" x14ac:dyDescent="0.2">
      <c r="B37" s="1153" t="s">
        <v>35</v>
      </c>
      <c r="C37" s="509" t="s">
        <v>361</v>
      </c>
      <c r="D37" s="331" t="s">
        <v>11</v>
      </c>
      <c r="E37" s="332" t="s">
        <v>361</v>
      </c>
      <c r="F37" s="331" t="s">
        <v>11</v>
      </c>
      <c r="V37" s="600"/>
    </row>
    <row r="38" spans="2:22" ht="17.25" customHeight="1" x14ac:dyDescent="0.2">
      <c r="B38" s="1153"/>
      <c r="C38" s="1153" t="s">
        <v>363</v>
      </c>
      <c r="D38" s="1153"/>
      <c r="E38" s="1153" t="s">
        <v>364</v>
      </c>
      <c r="F38" s="1153"/>
      <c r="H38" s="298" t="s">
        <v>359</v>
      </c>
      <c r="I38" s="299" t="e">
        <f>F14/F8</f>
        <v>#DIV/0!</v>
      </c>
      <c r="V38" s="600"/>
    </row>
    <row r="39" spans="2:22" ht="17.25" customHeight="1" x14ac:dyDescent="0.2">
      <c r="B39" s="338" t="str">
        <f t="shared" ref="B39:B52" si="6">B18</f>
        <v>Alimentação</v>
      </c>
      <c r="C39" s="334" t="e">
        <f t="shared" ref="C39:C52" si="7">(G18/I$38)*100</f>
        <v>#DIV/0!</v>
      </c>
      <c r="D39" s="334" t="e">
        <f t="shared" ref="D39:D52" si="8">(F39*$F$14)/$I$38*100</f>
        <v>#DIV/0!</v>
      </c>
      <c r="E39" s="335" t="e">
        <f t="shared" ref="E39:E52" si="9">G18/$F$14</f>
        <v>#DIV/0!</v>
      </c>
      <c r="F39" s="335">
        <f>'Input Financeiro atual'!I27</f>
        <v>0.5</v>
      </c>
      <c r="V39" s="600"/>
    </row>
    <row r="40" spans="2:22" ht="17.25" customHeight="1" x14ac:dyDescent="0.2">
      <c r="B40" s="338" t="str">
        <f t="shared" si="6"/>
        <v>Mão de obra</v>
      </c>
      <c r="C40" s="334" t="e">
        <f t="shared" si="7"/>
        <v>#DIV/0!</v>
      </c>
      <c r="D40" s="334" t="e">
        <f t="shared" si="8"/>
        <v>#DIV/0!</v>
      </c>
      <c r="E40" s="335" t="e">
        <f t="shared" si="9"/>
        <v>#DIV/0!</v>
      </c>
      <c r="F40" s="335">
        <f>'Input Financeiro atual'!I28</f>
        <v>0.1</v>
      </c>
      <c r="V40" s="600"/>
    </row>
    <row r="41" spans="2:22" ht="17.25" customHeight="1" x14ac:dyDescent="0.2">
      <c r="B41" s="338" t="str">
        <f t="shared" si="6"/>
        <v>Sanidade</v>
      </c>
      <c r="C41" s="334" t="e">
        <f t="shared" si="7"/>
        <v>#DIV/0!</v>
      </c>
      <c r="D41" s="334" t="e">
        <f t="shared" si="8"/>
        <v>#DIV/0!</v>
      </c>
      <c r="E41" s="335" t="e">
        <f t="shared" si="9"/>
        <v>#DIV/0!</v>
      </c>
      <c r="F41" s="335">
        <f>'Input Financeiro atual'!I29</f>
        <v>2.5000000000000001E-2</v>
      </c>
      <c r="V41" s="600"/>
    </row>
    <row r="42" spans="2:22" ht="17.25" customHeight="1" x14ac:dyDescent="0.2">
      <c r="B42" s="338" t="str">
        <f t="shared" si="6"/>
        <v>Reprodução</v>
      </c>
      <c r="C42" s="334" t="e">
        <f t="shared" si="7"/>
        <v>#DIV/0!</v>
      </c>
      <c r="D42" s="334" t="e">
        <f t="shared" si="8"/>
        <v>#DIV/0!</v>
      </c>
      <c r="E42" s="335" t="e">
        <f t="shared" si="9"/>
        <v>#DIV/0!</v>
      </c>
      <c r="F42" s="335">
        <f>'Input Financeiro atual'!I30</f>
        <v>1.4999999999999999E-2</v>
      </c>
      <c r="V42" s="600"/>
    </row>
    <row r="43" spans="2:22" ht="17.25" customHeight="1" x14ac:dyDescent="0.2">
      <c r="B43" s="338" t="str">
        <f t="shared" si="6"/>
        <v>Material de consumo</v>
      </c>
      <c r="C43" s="334" t="e">
        <f t="shared" si="7"/>
        <v>#DIV/0!</v>
      </c>
      <c r="D43" s="334" t="e">
        <f t="shared" si="8"/>
        <v>#DIV/0!</v>
      </c>
      <c r="E43" s="335" t="e">
        <f t="shared" si="9"/>
        <v>#DIV/0!</v>
      </c>
      <c r="F43" s="335">
        <f>'Input Financeiro atual'!I31</f>
        <v>0.02</v>
      </c>
      <c r="V43" s="600"/>
    </row>
    <row r="44" spans="2:22" ht="17.25" customHeight="1" x14ac:dyDescent="0.2">
      <c r="B44" s="338" t="str">
        <f t="shared" si="6"/>
        <v>BST</v>
      </c>
      <c r="C44" s="334" t="e">
        <f t="shared" si="7"/>
        <v>#DIV/0!</v>
      </c>
      <c r="D44" s="334" t="e">
        <f t="shared" si="8"/>
        <v>#DIV/0!</v>
      </c>
      <c r="E44" s="335" t="e">
        <f t="shared" si="9"/>
        <v>#DIV/0!</v>
      </c>
      <c r="F44" s="335">
        <f>'Input Financeiro atual'!I32</f>
        <v>0.03</v>
      </c>
      <c r="V44" s="600"/>
    </row>
    <row r="45" spans="2:22" ht="17.25" customHeight="1" x14ac:dyDescent="0.2">
      <c r="B45" s="338" t="str">
        <f t="shared" si="6"/>
        <v>Controles</v>
      </c>
      <c r="C45" s="334" t="e">
        <f t="shared" si="7"/>
        <v>#DIV/0!</v>
      </c>
      <c r="D45" s="334" t="e">
        <f t="shared" si="8"/>
        <v>#DIV/0!</v>
      </c>
      <c r="E45" s="335" t="e">
        <f t="shared" si="9"/>
        <v>#DIV/0!</v>
      </c>
      <c r="F45" s="335">
        <f>'Input Financeiro atual'!I33</f>
        <v>5.0000000000000001E-3</v>
      </c>
      <c r="V45" s="600"/>
    </row>
    <row r="46" spans="2:22" ht="17.25" customHeight="1" x14ac:dyDescent="0.2">
      <c r="B46" s="338" t="str">
        <f t="shared" si="6"/>
        <v>Energia elétrica e combustível</v>
      </c>
      <c r="C46" s="334" t="e">
        <f t="shared" si="7"/>
        <v>#DIV/0!</v>
      </c>
      <c r="D46" s="334" t="e">
        <f t="shared" si="8"/>
        <v>#DIV/0!</v>
      </c>
      <c r="E46" s="335" t="e">
        <f t="shared" si="9"/>
        <v>#DIV/0!</v>
      </c>
      <c r="F46" s="335">
        <f>'Input Financeiro atual'!I34</f>
        <v>0.03</v>
      </c>
      <c r="V46" s="600"/>
    </row>
    <row r="47" spans="2:22" ht="17.25" customHeight="1" x14ac:dyDescent="0.2">
      <c r="B47" s="338" t="str">
        <f t="shared" si="6"/>
        <v>Manutenção de instalações</v>
      </c>
      <c r="C47" s="334" t="e">
        <f t="shared" si="7"/>
        <v>#DIV/0!</v>
      </c>
      <c r="D47" s="334" t="e">
        <f t="shared" si="8"/>
        <v>#DIV/0!</v>
      </c>
      <c r="E47" s="335" t="e">
        <f t="shared" si="9"/>
        <v>#DIV/0!</v>
      </c>
      <c r="F47" s="335">
        <f>'Input Financeiro atual'!I35</f>
        <v>0.01</v>
      </c>
      <c r="V47" s="600"/>
    </row>
    <row r="48" spans="2:22" ht="17.25" customHeight="1" x14ac:dyDescent="0.2">
      <c r="B48" s="338" t="str">
        <f t="shared" si="6"/>
        <v>Manutenção de maquinário</v>
      </c>
      <c r="C48" s="334" t="e">
        <f t="shared" si="7"/>
        <v>#DIV/0!</v>
      </c>
      <c r="D48" s="334" t="e">
        <f t="shared" si="8"/>
        <v>#DIV/0!</v>
      </c>
      <c r="E48" s="335" t="e">
        <f t="shared" si="9"/>
        <v>#DIV/0!</v>
      </c>
      <c r="F48" s="335">
        <f>'Input Financeiro atual'!I36</f>
        <v>6.5000000000000002E-2</v>
      </c>
      <c r="V48" s="600"/>
    </row>
    <row r="49" spans="2:22" ht="17.25" customHeight="1" x14ac:dyDescent="0.2">
      <c r="B49" s="338" t="str">
        <f t="shared" si="6"/>
        <v>Arrendamento de terra para o leite</v>
      </c>
      <c r="C49" s="334" t="e">
        <f t="shared" si="7"/>
        <v>#DIV/0!</v>
      </c>
      <c r="D49" s="334" t="e">
        <f t="shared" si="8"/>
        <v>#DIV/0!</v>
      </c>
      <c r="E49" s="335" t="e">
        <f t="shared" si="9"/>
        <v>#DIV/0!</v>
      </c>
      <c r="F49" s="335">
        <f>'Input Financeiro atual'!I37</f>
        <v>0</v>
      </c>
      <c r="V49" s="600"/>
    </row>
    <row r="50" spans="2:22" ht="17.25" customHeight="1" x14ac:dyDescent="0.2">
      <c r="B50" s="338" t="str">
        <f t="shared" si="6"/>
        <v>Depreciação</v>
      </c>
      <c r="C50" s="334" t="e">
        <f t="shared" si="7"/>
        <v>#DIV/0!</v>
      </c>
      <c r="D50" s="334" t="e">
        <f t="shared" si="8"/>
        <v>#DIV/0!</v>
      </c>
      <c r="E50" s="335" t="e">
        <f t="shared" si="9"/>
        <v>#DIV/0!</v>
      </c>
      <c r="F50" s="335">
        <f>'Input Financeiro atual'!I38</f>
        <v>0</v>
      </c>
      <c r="V50" s="600"/>
    </row>
    <row r="51" spans="2:22" ht="17.25" customHeight="1" x14ac:dyDescent="0.2">
      <c r="B51" s="338" t="str">
        <f t="shared" si="6"/>
        <v>Outras despesas</v>
      </c>
      <c r="C51" s="334" t="e">
        <f t="shared" si="7"/>
        <v>#DIV/0!</v>
      </c>
      <c r="D51" s="334" t="e">
        <f t="shared" si="8"/>
        <v>#DIV/0!</v>
      </c>
      <c r="E51" s="335" t="e">
        <f t="shared" si="9"/>
        <v>#DIV/0!</v>
      </c>
      <c r="F51" s="335">
        <f>'Input Financeiro atual'!I39</f>
        <v>0</v>
      </c>
      <c r="V51" s="600"/>
    </row>
    <row r="52" spans="2:22" ht="17.25" customHeight="1" x14ac:dyDescent="0.2">
      <c r="B52" s="338" t="str">
        <f t="shared" si="6"/>
        <v>Impostos de produção</v>
      </c>
      <c r="C52" s="334" t="e">
        <f t="shared" si="7"/>
        <v>#DIV/0!</v>
      </c>
      <c r="D52" s="334" t="e">
        <f t="shared" si="8"/>
        <v>#DIV/0!</v>
      </c>
      <c r="E52" s="335" t="e">
        <f t="shared" si="9"/>
        <v>#DIV/0!</v>
      </c>
      <c r="F52" s="335">
        <f>'Input Financeiro atual'!I40</f>
        <v>0</v>
      </c>
      <c r="V52" s="600"/>
    </row>
    <row r="53" spans="2:22" ht="17.25" customHeight="1" x14ac:dyDescent="0.2">
      <c r="B53" s="341" t="s">
        <v>8</v>
      </c>
      <c r="C53" s="496" t="e">
        <f>SUM(C39:C52)</f>
        <v>#DIV/0!</v>
      </c>
      <c r="D53" s="496" t="e">
        <f>SUM(D39:D52)</f>
        <v>#DIV/0!</v>
      </c>
      <c r="E53" s="333" t="e">
        <f>SUM(E39:E52)</f>
        <v>#DIV/0!</v>
      </c>
      <c r="F53" s="333">
        <f>SUM(F39:F52)</f>
        <v>0.8</v>
      </c>
    </row>
  </sheetData>
  <sheetProtection password="8826" sheet="1" objects="1" scenarios="1"/>
  <mergeCells count="80">
    <mergeCell ref="L10:M10"/>
    <mergeCell ref="N10:O10"/>
    <mergeCell ref="L12:M12"/>
    <mergeCell ref="N12:O12"/>
    <mergeCell ref="B37:B38"/>
    <mergeCell ref="B36:F36"/>
    <mergeCell ref="L32:M32"/>
    <mergeCell ref="N32:O32"/>
    <mergeCell ref="F12:G12"/>
    <mergeCell ref="H12:I12"/>
    <mergeCell ref="J12:K12"/>
    <mergeCell ref="C38:D38"/>
    <mergeCell ref="E38:F38"/>
    <mergeCell ref="D32:E32"/>
    <mergeCell ref="D12:E12"/>
    <mergeCell ref="D14:E14"/>
    <mergeCell ref="B4:B5"/>
    <mergeCell ref="C4:C5"/>
    <mergeCell ref="D4:O4"/>
    <mergeCell ref="B17:C17"/>
    <mergeCell ref="F32:G32"/>
    <mergeCell ref="H32:I32"/>
    <mergeCell ref="J32:K32"/>
    <mergeCell ref="L14:M14"/>
    <mergeCell ref="N14:O14"/>
    <mergeCell ref="D15:E15"/>
    <mergeCell ref="F15:G15"/>
    <mergeCell ref="H15:I15"/>
    <mergeCell ref="J15:K15"/>
    <mergeCell ref="L15:M15"/>
    <mergeCell ref="N15:O15"/>
    <mergeCell ref="D10:E10"/>
    <mergeCell ref="F10:G10"/>
    <mergeCell ref="H10:I10"/>
    <mergeCell ref="J10:K10"/>
    <mergeCell ref="F14:G14"/>
    <mergeCell ref="H14:I14"/>
    <mergeCell ref="F11:G11"/>
    <mergeCell ref="H11:I11"/>
    <mergeCell ref="J11:K11"/>
    <mergeCell ref="L9:M9"/>
    <mergeCell ref="N9:O9"/>
    <mergeCell ref="N8:O8"/>
    <mergeCell ref="D8:E8"/>
    <mergeCell ref="F8:G8"/>
    <mergeCell ref="H8:I8"/>
    <mergeCell ref="J8:K8"/>
    <mergeCell ref="L8:M8"/>
    <mergeCell ref="D9:E9"/>
    <mergeCell ref="F9:G9"/>
    <mergeCell ref="H9:I9"/>
    <mergeCell ref="J9:K9"/>
    <mergeCell ref="N7:O7"/>
    <mergeCell ref="D6:E6"/>
    <mergeCell ref="F6:G6"/>
    <mergeCell ref="H6:I6"/>
    <mergeCell ref="J6:K6"/>
    <mergeCell ref="L6:M6"/>
    <mergeCell ref="N6:O6"/>
    <mergeCell ref="D7:E7"/>
    <mergeCell ref="F7:G7"/>
    <mergeCell ref="H7:I7"/>
    <mergeCell ref="J7:K7"/>
    <mergeCell ref="L7:M7"/>
    <mergeCell ref="N5:O5"/>
    <mergeCell ref="D5:E5"/>
    <mergeCell ref="F5:G5"/>
    <mergeCell ref="H5:I5"/>
    <mergeCell ref="J5:K5"/>
    <mergeCell ref="L5:M5"/>
    <mergeCell ref="L11:M11"/>
    <mergeCell ref="N11:O11"/>
    <mergeCell ref="D16:E16"/>
    <mergeCell ref="F16:G16"/>
    <mergeCell ref="H16:I16"/>
    <mergeCell ref="J16:K16"/>
    <mergeCell ref="L16:M16"/>
    <mergeCell ref="N16:O16"/>
    <mergeCell ref="J14:K14"/>
    <mergeCell ref="D11:E11"/>
  </mergeCells>
  <pageMargins left="0.511811024" right="0.511811024" top="0.78740157499999996" bottom="0.78740157499999996" header="0.31496062000000002" footer="0.31496062000000002"/>
  <pageSetup orientation="portrait" horizontalDpi="0"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enableFormatConditionsCalculation="0">
    <tabColor theme="8" tint="0.499984740745262"/>
  </sheetPr>
  <dimension ref="A1:EK34"/>
  <sheetViews>
    <sheetView zoomScale="75" zoomScaleNormal="90" zoomScalePageLayoutView="90" workbookViewId="0">
      <pane xSplit="3" ySplit="5" topLeftCell="M6" activePane="bottomRight" state="frozen"/>
      <selection pane="topRight"/>
      <selection pane="bottomLeft"/>
      <selection pane="bottomRight"/>
    </sheetView>
  </sheetViews>
  <sheetFormatPr baseColWidth="10" defaultColWidth="12.5" defaultRowHeight="18" customHeight="1" outlineLevelCol="1" x14ac:dyDescent="0.2"/>
  <cols>
    <col min="1" max="1" width="4.6640625" style="295" customWidth="1"/>
    <col min="2" max="2" width="41.6640625" style="295" customWidth="1"/>
    <col min="3" max="3" width="10" style="295" customWidth="1"/>
    <col min="4" max="14" width="15.6640625" style="414" customWidth="1" outlineLevel="1"/>
    <col min="15" max="15" width="16.6640625" style="414" customWidth="1" outlineLevel="1"/>
    <col min="16" max="16" width="15.6640625" style="414" customWidth="1"/>
    <col min="17" max="17" width="15.6640625" style="295" customWidth="1"/>
    <col min="18" max="20" width="15.6640625" style="297" customWidth="1"/>
    <col min="21" max="21" width="10.33203125" style="297" customWidth="1"/>
    <col min="22" max="22" width="8.5" style="297" customWidth="1"/>
    <col min="23" max="23" width="9.5" style="297" customWidth="1"/>
    <col min="24" max="24" width="7.33203125" style="297" customWidth="1"/>
    <col min="25" max="25" width="0.5" style="297" hidden="1" customWidth="1"/>
    <col min="26" max="45" width="8.33203125" style="297" customWidth="1"/>
    <col min="46" max="87" width="10.5" style="297" customWidth="1"/>
    <col min="88" max="16384" width="12.5" style="297"/>
  </cols>
  <sheetData>
    <row r="1" spans="1:45" ht="18" customHeight="1" x14ac:dyDescent="0.2">
      <c r="A1" s="636"/>
    </row>
    <row r="4" spans="1:45" ht="18" customHeight="1" x14ac:dyDescent="0.2">
      <c r="B4" s="1158" t="s">
        <v>35</v>
      </c>
      <c r="C4" s="1163" t="s">
        <v>37</v>
      </c>
      <c r="D4" s="1160">
        <f>'Input Zootecnico atual'!C4+1</f>
        <v>2017</v>
      </c>
      <c r="E4" s="1160"/>
      <c r="F4" s="1160"/>
      <c r="G4" s="1160"/>
      <c r="H4" s="1160"/>
      <c r="I4" s="1160"/>
      <c r="J4" s="1160"/>
      <c r="K4" s="1160"/>
      <c r="L4" s="1160"/>
      <c r="M4" s="1160"/>
      <c r="N4" s="1160"/>
      <c r="O4" s="1160"/>
      <c r="P4" s="1160"/>
      <c r="Q4" s="1160">
        <f>D4+1</f>
        <v>2018</v>
      </c>
      <c r="R4" s="1160">
        <f>Q4+1</f>
        <v>2019</v>
      </c>
      <c r="S4" s="1160">
        <f>R4+1</f>
        <v>2020</v>
      </c>
      <c r="T4" s="1160">
        <f>S4+1</f>
        <v>2021</v>
      </c>
    </row>
    <row r="5" spans="1:45" ht="18" customHeight="1" x14ac:dyDescent="0.2">
      <c r="B5" s="1071"/>
      <c r="C5" s="1163"/>
      <c r="D5" s="685" t="s">
        <v>298</v>
      </c>
      <c r="E5" s="685" t="s">
        <v>299</v>
      </c>
      <c r="F5" s="685" t="s">
        <v>300</v>
      </c>
      <c r="G5" s="685" t="s">
        <v>301</v>
      </c>
      <c r="H5" s="685" t="s">
        <v>302</v>
      </c>
      <c r="I5" s="685" t="s">
        <v>303</v>
      </c>
      <c r="J5" s="685" t="s">
        <v>304</v>
      </c>
      <c r="K5" s="685" t="s">
        <v>305</v>
      </c>
      <c r="L5" s="685" t="s">
        <v>306</v>
      </c>
      <c r="M5" s="685" t="s">
        <v>307</v>
      </c>
      <c r="N5" s="685" t="s">
        <v>308</v>
      </c>
      <c r="O5" s="685" t="s">
        <v>309</v>
      </c>
      <c r="P5" s="662" t="s">
        <v>473</v>
      </c>
      <c r="Q5" s="1160"/>
      <c r="R5" s="1160"/>
      <c r="S5" s="1160"/>
      <c r="T5" s="1160"/>
    </row>
    <row r="6" spans="1:45" ht="18" customHeight="1" x14ac:dyDescent="0.2">
      <c r="B6" s="325" t="s">
        <v>470</v>
      </c>
      <c r="C6" s="681" t="s">
        <v>428</v>
      </c>
      <c r="D6" s="686">
        <f>'Ev. Rebanho'!E30</f>
        <v>0</v>
      </c>
      <c r="E6" s="686">
        <f>'Ev. Rebanho'!F30</f>
        <v>0</v>
      </c>
      <c r="F6" s="686">
        <f>'Ev. Rebanho'!G30</f>
        <v>0</v>
      </c>
      <c r="G6" s="686">
        <f>'Ev. Rebanho'!H30</f>
        <v>0</v>
      </c>
      <c r="H6" s="686">
        <f>'Ev. Rebanho'!I30</f>
        <v>0</v>
      </c>
      <c r="I6" s="686">
        <f>'Ev. Rebanho'!J30</f>
        <v>0</v>
      </c>
      <c r="J6" s="686" t="e">
        <f>'Ev. Rebanho'!K30</f>
        <v>#DIV/0!</v>
      </c>
      <c r="K6" s="686" t="e">
        <f>'Ev. Rebanho'!L30</f>
        <v>#DIV/0!</v>
      </c>
      <c r="L6" s="686" t="e">
        <f>'Ev. Rebanho'!M30</f>
        <v>#DIV/0!</v>
      </c>
      <c r="M6" s="686" t="e">
        <f>'Ev. Rebanho'!N30</f>
        <v>#DIV/0!</v>
      </c>
      <c r="N6" s="686" t="e">
        <f>'Ev. Rebanho'!O30</f>
        <v>#DIV/0!</v>
      </c>
      <c r="O6" s="686" t="e">
        <f>'Ev. Rebanho'!P30</f>
        <v>#DIV/0!</v>
      </c>
      <c r="P6" s="686" t="e">
        <f>'Ev. Rebanho'!Q30</f>
        <v>#DIV/0!</v>
      </c>
      <c r="Q6" s="686" t="e">
        <f>('Ev. Rebanho'!R30+'Ev. Rebanho'!P30)/2</f>
        <v>#DIV/0!</v>
      </c>
      <c r="R6" s="686" t="e">
        <f>('Ev. Rebanho'!S30+'Ev. Rebanho'!R30)/2</f>
        <v>#DIV/0!</v>
      </c>
      <c r="S6" s="686" t="e">
        <f>('Ev. Rebanho'!T30+'Ev. Rebanho'!S30)/2</f>
        <v>#DIV/0!</v>
      </c>
      <c r="T6" s="686" t="e">
        <f>'Ev. Rebanho'!U30</f>
        <v>#DIV/0!</v>
      </c>
      <c r="U6" s="389"/>
      <c r="V6" s="390"/>
      <c r="W6" s="389"/>
      <c r="X6" s="390"/>
      <c r="Y6" s="389"/>
      <c r="Z6" s="391"/>
      <c r="AA6" s="390"/>
      <c r="AB6" s="389"/>
      <c r="AC6" s="390"/>
      <c r="AD6" s="389"/>
      <c r="AE6" s="390"/>
      <c r="AF6" s="389"/>
      <c r="AG6" s="390"/>
      <c r="AH6" s="389"/>
      <c r="AI6" s="390"/>
      <c r="AJ6" s="389"/>
      <c r="AK6" s="390"/>
      <c r="AL6" s="389"/>
      <c r="AM6" s="390"/>
      <c r="AN6" s="389"/>
      <c r="AO6" s="390"/>
      <c r="AP6" s="389"/>
      <c r="AQ6" s="390"/>
      <c r="AR6" s="389"/>
      <c r="AS6" s="390"/>
    </row>
    <row r="7" spans="1:45" ht="18" customHeight="1" x14ac:dyDescent="0.2">
      <c r="B7" s="325" t="s">
        <v>518</v>
      </c>
      <c r="C7" s="681" t="s">
        <v>428</v>
      </c>
      <c r="D7" s="686" t="e">
        <f>'Ev. Rebanho'!E39</f>
        <v>#DIV/0!</v>
      </c>
      <c r="E7" s="686" t="e">
        <f>'Ev. Rebanho'!F39</f>
        <v>#DIV/0!</v>
      </c>
      <c r="F7" s="686" t="e">
        <f>'Ev. Rebanho'!G39</f>
        <v>#DIV/0!</v>
      </c>
      <c r="G7" s="686" t="e">
        <f>'Ev. Rebanho'!H39</f>
        <v>#DIV/0!</v>
      </c>
      <c r="H7" s="686" t="e">
        <f>'Ev. Rebanho'!I39</f>
        <v>#DIV/0!</v>
      </c>
      <c r="I7" s="686" t="e">
        <f>'Ev. Rebanho'!J39</f>
        <v>#DIV/0!</v>
      </c>
      <c r="J7" s="686" t="e">
        <f>'Ev. Rebanho'!K39</f>
        <v>#DIV/0!</v>
      </c>
      <c r="K7" s="686" t="e">
        <f>'Ev. Rebanho'!L39</f>
        <v>#DIV/0!</v>
      </c>
      <c r="L7" s="686" t="e">
        <f>'Ev. Rebanho'!M39</f>
        <v>#DIV/0!</v>
      </c>
      <c r="M7" s="686" t="e">
        <f>'Ev. Rebanho'!N39</f>
        <v>#DIV/0!</v>
      </c>
      <c r="N7" s="686" t="e">
        <f>'Ev. Rebanho'!O39</f>
        <v>#DIV/0!</v>
      </c>
      <c r="O7" s="686" t="e">
        <f>'Ev. Rebanho'!P39</f>
        <v>#DIV/0!</v>
      </c>
      <c r="P7" s="686" t="e">
        <f>'Ev. Rebanho'!Q39</f>
        <v>#DIV/0!</v>
      </c>
      <c r="Q7" s="686" t="e">
        <f>('Ev. Rebanho'!R39+'Ev. Rebanho'!P39)/2</f>
        <v>#DIV/0!</v>
      </c>
      <c r="R7" s="686" t="e">
        <f>('Ev. Rebanho'!S39+'Ev. Rebanho'!R39)/2</f>
        <v>#DIV/0!</v>
      </c>
      <c r="S7" s="686" t="e">
        <f>('Ev. Rebanho'!T39+'Ev. Rebanho'!S39)/2</f>
        <v>#DIV/0!</v>
      </c>
      <c r="T7" s="686" t="e">
        <f>('Ev. Rebanho'!U39+'Ev. Rebanho'!T39)/2</f>
        <v>#DIV/0!</v>
      </c>
      <c r="U7" s="389"/>
      <c r="V7" s="390"/>
      <c r="W7" s="389"/>
      <c r="X7" s="390"/>
      <c r="Y7" s="389"/>
      <c r="Z7" s="391"/>
      <c r="AA7" s="390"/>
      <c r="AB7" s="389"/>
      <c r="AC7" s="390"/>
      <c r="AD7" s="389"/>
      <c r="AE7" s="390"/>
      <c r="AF7" s="389"/>
      <c r="AG7" s="390"/>
      <c r="AH7" s="389"/>
      <c r="AI7" s="390"/>
      <c r="AJ7" s="389"/>
      <c r="AK7" s="390"/>
      <c r="AL7" s="389"/>
      <c r="AM7" s="390"/>
      <c r="AN7" s="389"/>
      <c r="AO7" s="390"/>
      <c r="AP7" s="389"/>
      <c r="AQ7" s="390"/>
      <c r="AR7" s="389"/>
      <c r="AS7" s="390"/>
    </row>
    <row r="8" spans="1:45" ht="18" customHeight="1" x14ac:dyDescent="0.2">
      <c r="B8" s="325" t="s">
        <v>471</v>
      </c>
      <c r="C8" s="681" t="s">
        <v>320</v>
      </c>
      <c r="D8" s="687">
        <f>'Ev. Rebanho'!E32</f>
        <v>0</v>
      </c>
      <c r="E8" s="687">
        <f>'Ev. Rebanho'!F32</f>
        <v>0</v>
      </c>
      <c r="F8" s="687">
        <f>'Ev. Rebanho'!G32</f>
        <v>0</v>
      </c>
      <c r="G8" s="687">
        <f>'Ev. Rebanho'!H32</f>
        <v>0</v>
      </c>
      <c r="H8" s="687">
        <f>'Ev. Rebanho'!I32</f>
        <v>0</v>
      </c>
      <c r="I8" s="687">
        <f>'Ev. Rebanho'!J32</f>
        <v>0</v>
      </c>
      <c r="J8" s="687">
        <f>'Ev. Rebanho'!K32</f>
        <v>0</v>
      </c>
      <c r="K8" s="687">
        <f>'Ev. Rebanho'!L32</f>
        <v>0</v>
      </c>
      <c r="L8" s="687">
        <f>'Ev. Rebanho'!M32</f>
        <v>0</v>
      </c>
      <c r="M8" s="687">
        <f>'Ev. Rebanho'!N32</f>
        <v>0</v>
      </c>
      <c r="N8" s="687">
        <f>'Ev. Rebanho'!O32</f>
        <v>0</v>
      </c>
      <c r="O8" s="687">
        <f>'Ev. Rebanho'!P32</f>
        <v>0</v>
      </c>
      <c r="P8" s="687">
        <f>'Ev. Rebanho'!Q32</f>
        <v>0</v>
      </c>
      <c r="Q8" s="687">
        <f>'Ev. Rebanho'!R32</f>
        <v>0</v>
      </c>
      <c r="R8" s="687">
        <f>'Ev. Rebanho'!S32</f>
        <v>0</v>
      </c>
      <c r="S8" s="687">
        <f>'Ev. Rebanho'!T32</f>
        <v>0</v>
      </c>
      <c r="T8" s="687">
        <f>'Ev. Rebanho'!U32</f>
        <v>0</v>
      </c>
      <c r="U8" s="389"/>
      <c r="V8" s="390"/>
      <c r="W8" s="389"/>
      <c r="X8" s="390"/>
      <c r="Y8" s="389"/>
      <c r="Z8" s="391"/>
      <c r="AA8" s="390"/>
      <c r="AB8" s="389"/>
      <c r="AC8" s="390"/>
      <c r="AD8" s="389"/>
      <c r="AE8" s="390"/>
      <c r="AF8" s="389"/>
      <c r="AG8" s="390"/>
      <c r="AH8" s="389"/>
      <c r="AI8" s="390"/>
      <c r="AJ8" s="389"/>
      <c r="AK8" s="390"/>
      <c r="AL8" s="389"/>
      <c r="AM8" s="390"/>
      <c r="AN8" s="389"/>
      <c r="AO8" s="390"/>
      <c r="AP8" s="389"/>
      <c r="AQ8" s="390"/>
      <c r="AR8" s="389"/>
      <c r="AS8" s="390"/>
    </row>
    <row r="9" spans="1:45" ht="18" customHeight="1" x14ac:dyDescent="0.2">
      <c r="B9" s="325" t="s">
        <v>472</v>
      </c>
      <c r="C9" s="681" t="s">
        <v>18</v>
      </c>
      <c r="D9" s="688">
        <f>Inputs!$E$8</f>
        <v>0</v>
      </c>
      <c r="E9" s="688">
        <f>Inputs!$E$8</f>
        <v>0</v>
      </c>
      <c r="F9" s="688">
        <f>Inputs!$E$8</f>
        <v>0</v>
      </c>
      <c r="G9" s="688">
        <f>Inputs!$F$8</f>
        <v>0</v>
      </c>
      <c r="H9" s="688">
        <f>Inputs!$F$8</f>
        <v>0</v>
      </c>
      <c r="I9" s="688">
        <f>Inputs!$F$8</f>
        <v>0</v>
      </c>
      <c r="J9" s="688">
        <f>Inputs!$G$8</f>
        <v>0</v>
      </c>
      <c r="K9" s="688">
        <f>Inputs!$G$8</f>
        <v>0</v>
      </c>
      <c r="L9" s="688">
        <f>Inputs!$G$8</f>
        <v>0</v>
      </c>
      <c r="M9" s="688">
        <f>Inputs!$H$8</f>
        <v>0</v>
      </c>
      <c r="N9" s="688">
        <f>Inputs!$H$8</f>
        <v>0</v>
      </c>
      <c r="O9" s="688">
        <f>Inputs!$H$8</f>
        <v>0</v>
      </c>
      <c r="P9" s="688">
        <f>Inputs!I8</f>
        <v>0</v>
      </c>
      <c r="Q9" s="688">
        <f>Inputs!J8</f>
        <v>0</v>
      </c>
      <c r="R9" s="688">
        <f>Inputs!K8</f>
        <v>0</v>
      </c>
      <c r="S9" s="688">
        <f>Inputs!L8</f>
        <v>0</v>
      </c>
      <c r="T9" s="688">
        <f>Inputs!M8</f>
        <v>0</v>
      </c>
      <c r="U9" s="389"/>
      <c r="V9" s="390"/>
      <c r="W9" s="389"/>
      <c r="X9" s="390"/>
      <c r="Y9" s="389"/>
      <c r="Z9" s="391"/>
      <c r="AA9" s="390"/>
      <c r="AB9" s="389"/>
      <c r="AC9" s="390"/>
      <c r="AD9" s="389"/>
      <c r="AE9" s="390"/>
      <c r="AF9" s="389"/>
      <c r="AG9" s="390"/>
      <c r="AH9" s="389"/>
      <c r="AI9" s="390"/>
      <c r="AJ9" s="389"/>
      <c r="AK9" s="390"/>
      <c r="AL9" s="389"/>
      <c r="AM9" s="390"/>
      <c r="AN9" s="389"/>
      <c r="AO9" s="390"/>
      <c r="AP9" s="389"/>
      <c r="AQ9" s="390"/>
      <c r="AR9" s="389"/>
      <c r="AS9" s="390"/>
    </row>
    <row r="10" spans="1:45" ht="18" customHeight="1" x14ac:dyDescent="0.2">
      <c r="B10" s="325" t="s">
        <v>471</v>
      </c>
      <c r="C10" s="681" t="s">
        <v>393</v>
      </c>
      <c r="D10" s="686">
        <f>D6*D8*31</f>
        <v>0</v>
      </c>
      <c r="E10" s="686">
        <f>E6*E8*28</f>
        <v>0</v>
      </c>
      <c r="F10" s="686">
        <f>F6*F8*31</f>
        <v>0</v>
      </c>
      <c r="G10" s="686">
        <f>G6*G8*30</f>
        <v>0</v>
      </c>
      <c r="H10" s="686">
        <f t="shared" ref="H10:M10" si="0">H6*H8*31</f>
        <v>0</v>
      </c>
      <c r="I10" s="686">
        <f>I6*I8*30</f>
        <v>0</v>
      </c>
      <c r="J10" s="686" t="e">
        <f>J6*J8*31</f>
        <v>#DIV/0!</v>
      </c>
      <c r="K10" s="686" t="e">
        <f t="shared" si="0"/>
        <v>#DIV/0!</v>
      </c>
      <c r="L10" s="686" t="e">
        <f>L6*L8*30</f>
        <v>#DIV/0!</v>
      </c>
      <c r="M10" s="686" t="e">
        <f t="shared" si="0"/>
        <v>#DIV/0!</v>
      </c>
      <c r="N10" s="686" t="e">
        <f>N6*N8*30</f>
        <v>#DIV/0!</v>
      </c>
      <c r="O10" s="686" t="e">
        <f>O6*O8*31</f>
        <v>#DIV/0!</v>
      </c>
      <c r="P10" s="689" t="e">
        <f>SUM(D10:O10)</f>
        <v>#DIV/0!</v>
      </c>
      <c r="Q10" s="686" t="e">
        <f>Q6*Q8*365</f>
        <v>#DIV/0!</v>
      </c>
      <c r="R10" s="686" t="e">
        <f>R6*R8*365</f>
        <v>#DIV/0!</v>
      </c>
      <c r="S10" s="686" t="e">
        <f>S6*S8*365</f>
        <v>#DIV/0!</v>
      </c>
      <c r="T10" s="686" t="e">
        <f>T6*T8*365</f>
        <v>#DIV/0!</v>
      </c>
      <c r="U10" s="389"/>
      <c r="V10" s="390"/>
      <c r="W10" s="389"/>
      <c r="X10" s="390"/>
      <c r="Y10" s="389"/>
      <c r="Z10" s="391"/>
      <c r="AA10" s="390"/>
      <c r="AB10" s="389"/>
      <c r="AC10" s="390"/>
      <c r="AD10" s="389"/>
      <c r="AE10" s="390"/>
      <c r="AF10" s="389"/>
      <c r="AG10" s="390"/>
      <c r="AH10" s="389"/>
      <c r="AI10" s="390"/>
      <c r="AJ10" s="389"/>
      <c r="AK10" s="390"/>
      <c r="AL10" s="389"/>
      <c r="AM10" s="390"/>
      <c r="AN10" s="389"/>
      <c r="AO10" s="390"/>
      <c r="AP10" s="389"/>
      <c r="AQ10" s="390"/>
      <c r="AR10" s="389"/>
      <c r="AS10" s="390"/>
    </row>
    <row r="11" spans="1:45" ht="18" customHeight="1" x14ac:dyDescent="0.2">
      <c r="B11" s="325" t="s">
        <v>471</v>
      </c>
      <c r="C11" s="681" t="s">
        <v>540</v>
      </c>
      <c r="D11" s="1040">
        <f>D10/31</f>
        <v>0</v>
      </c>
      <c r="E11" s="686">
        <f>E10/28</f>
        <v>0</v>
      </c>
      <c r="F11" s="686">
        <f t="shared" ref="F11:O11" si="1">F10/31</f>
        <v>0</v>
      </c>
      <c r="G11" s="686">
        <f>G10/30</f>
        <v>0</v>
      </c>
      <c r="H11" s="686">
        <f t="shared" si="1"/>
        <v>0</v>
      </c>
      <c r="I11" s="686">
        <f>I10/30</f>
        <v>0</v>
      </c>
      <c r="J11" s="686" t="e">
        <f t="shared" si="1"/>
        <v>#DIV/0!</v>
      </c>
      <c r="K11" s="686" t="e">
        <f t="shared" si="1"/>
        <v>#DIV/0!</v>
      </c>
      <c r="L11" s="686" t="e">
        <f>L10/30</f>
        <v>#DIV/0!</v>
      </c>
      <c r="M11" s="686" t="e">
        <f t="shared" si="1"/>
        <v>#DIV/0!</v>
      </c>
      <c r="N11" s="686" t="e">
        <f>N10/30</f>
        <v>#DIV/0!</v>
      </c>
      <c r="O11" s="686" t="e">
        <f t="shared" si="1"/>
        <v>#DIV/0!</v>
      </c>
      <c r="P11" s="689" t="e">
        <f>AVERAGE(D11:O11)</f>
        <v>#DIV/0!</v>
      </c>
      <c r="Q11" s="686" t="e">
        <f>Q10/385</f>
        <v>#DIV/0!</v>
      </c>
      <c r="R11" s="686" t="e">
        <f>R10/385</f>
        <v>#DIV/0!</v>
      </c>
      <c r="S11" s="686" t="e">
        <f>S10/385</f>
        <v>#DIV/0!</v>
      </c>
      <c r="T11" s="686" t="e">
        <f>T10/385</f>
        <v>#DIV/0!</v>
      </c>
      <c r="U11" s="389"/>
      <c r="V11" s="390"/>
      <c r="W11" s="389"/>
      <c r="X11" s="390"/>
      <c r="Y11" s="389"/>
      <c r="Z11" s="391"/>
      <c r="AA11" s="390"/>
      <c r="AB11" s="389"/>
      <c r="AC11" s="390"/>
      <c r="AD11" s="389"/>
      <c r="AE11" s="390"/>
      <c r="AF11" s="389"/>
      <c r="AG11" s="390"/>
      <c r="AH11" s="389"/>
      <c r="AI11" s="390"/>
      <c r="AJ11" s="389"/>
      <c r="AK11" s="390"/>
      <c r="AL11" s="389"/>
      <c r="AM11" s="390"/>
      <c r="AN11" s="389"/>
      <c r="AO11" s="390"/>
      <c r="AP11" s="389"/>
      <c r="AQ11" s="390"/>
      <c r="AR11" s="389"/>
      <c r="AS11" s="390"/>
    </row>
    <row r="12" spans="1:45" ht="18" customHeight="1" x14ac:dyDescent="0.2">
      <c r="B12" s="495" t="s">
        <v>445</v>
      </c>
      <c r="C12" s="682" t="s">
        <v>18</v>
      </c>
      <c r="D12" s="1041">
        <f>((SUM('Ev. Rebanho'!E35:E35)*Inputs!$E$37)+(SUM('Ev. Rebanho'!E28:E29))*Inputs!$E$38)</f>
        <v>0</v>
      </c>
      <c r="E12" s="690">
        <f>((SUM('Ev. Rebanho'!F35:F35)*Inputs!$E$37)+(SUM('Ev. Rebanho'!F28:F29))*Inputs!$E$38)</f>
        <v>0</v>
      </c>
      <c r="F12" s="690">
        <f>((SUM('Ev. Rebanho'!G35:G35)*Inputs!$E$37)+(SUM('Ev. Rebanho'!G28:G29))*Inputs!$E$38)</f>
        <v>0</v>
      </c>
      <c r="G12" s="690">
        <f>((SUM('Ev. Rebanho'!H35:H35)*Inputs!$F$37)+(SUM('Ev. Rebanho'!H28:H29))*Inputs!$F$38)</f>
        <v>0</v>
      </c>
      <c r="H12" s="690">
        <f>((SUM('Ev. Rebanho'!I35:I35)*Inputs!$F$37)+(SUM('Ev. Rebanho'!I28:I29))*Inputs!$F$38)</f>
        <v>0</v>
      </c>
      <c r="I12" s="690">
        <f>((SUM('Ev. Rebanho'!J35:J35)*Inputs!$F$37)+(SUM('Ev. Rebanho'!J28:J29))*Inputs!$F$38)</f>
        <v>0</v>
      </c>
      <c r="J12" s="690" t="e">
        <f>((SUM('Ev. Rebanho'!K35:K35)*Inputs!$G$37)+(SUM('Ev. Rebanho'!K28:K29))*Inputs!$G$38)</f>
        <v>#DIV/0!</v>
      </c>
      <c r="K12" s="690" t="e">
        <f>((SUM('Ev. Rebanho'!L35:L35)*Inputs!$G$37)+(SUM('Ev. Rebanho'!L28:L29))*Inputs!$G$38)</f>
        <v>#DIV/0!</v>
      </c>
      <c r="L12" s="690" t="e">
        <f>((SUM('Ev. Rebanho'!M35:M35)*Inputs!$G$37)+(SUM('Ev. Rebanho'!M28:M29))*Inputs!$G$38)</f>
        <v>#DIV/0!</v>
      </c>
      <c r="M12" s="690" t="e">
        <f>((SUM('Ev. Rebanho'!N35:N35)*Inputs!$H$37)+(SUM('Ev. Rebanho'!N28:N29))*Inputs!$H$38)</f>
        <v>#DIV/0!</v>
      </c>
      <c r="N12" s="690" t="e">
        <f>((SUM('Ev. Rebanho'!O35:O35)*Inputs!$H$37)+(SUM('Ev. Rebanho'!O28:O29))*Inputs!$H$38)</f>
        <v>#DIV/0!</v>
      </c>
      <c r="O12" s="690" t="e">
        <f>((SUM('Ev. Rebanho'!P35:P35)*Inputs!$H$37)+(SUM('Ev. Rebanho'!P28:P29))*Inputs!$H$38)</f>
        <v>#DIV/0!</v>
      </c>
      <c r="P12" s="799" t="e">
        <f t="shared" ref="P12:P17" si="2">SUM(D12:O12)</f>
        <v>#DIV/0!</v>
      </c>
      <c r="Q12" s="800" t="e">
        <f>((SUM('Ev. Rebanho'!R35:R35)*Inputs!J37)+(SUM('Ev. Rebanho'!R28:R29))*Inputs!J38)</f>
        <v>#DIV/0!</v>
      </c>
      <c r="R12" s="798" t="e">
        <f>((SUM('Ev. Rebanho'!S35:S35)*Inputs!K37)+(SUM('Ev. Rebanho'!S28:S29))*Inputs!K38)</f>
        <v>#DIV/0!</v>
      </c>
      <c r="S12" s="798" t="e">
        <f>((SUM('Ev. Rebanho'!T35:T35)*Inputs!L37)+(SUM('Ev. Rebanho'!T28:T29))*Inputs!L38)</f>
        <v>#DIV/0!</v>
      </c>
      <c r="T12" s="798" t="e">
        <f>((SUM('Ev. Rebanho'!U35:U35)*Inputs!M37)+(SUM('Ev. Rebanho'!U28:U29))*Inputs!M38)</f>
        <v>#DIV/0!</v>
      </c>
      <c r="U12" s="392"/>
      <c r="V12" s="392"/>
      <c r="W12" s="392"/>
      <c r="X12" s="392"/>
      <c r="Y12" s="393"/>
      <c r="Z12" s="394"/>
      <c r="AA12" s="392"/>
      <c r="AB12" s="394"/>
      <c r="AC12" s="392"/>
      <c r="AD12" s="392"/>
      <c r="AE12" s="392"/>
      <c r="AF12" s="392"/>
      <c r="AG12" s="392"/>
      <c r="AH12" s="392"/>
      <c r="AI12" s="392"/>
      <c r="AJ12" s="392"/>
      <c r="AK12" s="392"/>
      <c r="AL12" s="392"/>
      <c r="AM12" s="392"/>
      <c r="AN12" s="392"/>
      <c r="AO12" s="392"/>
      <c r="AP12" s="392"/>
      <c r="AQ12" s="392"/>
      <c r="AR12" s="392"/>
      <c r="AS12" s="392"/>
    </row>
    <row r="13" spans="1:45" ht="18" customHeight="1" x14ac:dyDescent="0.2">
      <c r="B13" s="495" t="s">
        <v>444</v>
      </c>
      <c r="C13" s="682" t="s">
        <v>18</v>
      </c>
      <c r="D13" s="1042"/>
      <c r="E13" s="794"/>
      <c r="F13" s="794"/>
      <c r="G13" s="794"/>
      <c r="H13" s="794"/>
      <c r="I13" s="794"/>
      <c r="J13" s="794"/>
      <c r="K13" s="794"/>
      <c r="L13" s="794"/>
      <c r="M13" s="794"/>
      <c r="N13" s="794"/>
      <c r="O13" s="794"/>
      <c r="P13" s="691">
        <f t="shared" si="2"/>
        <v>0</v>
      </c>
      <c r="Q13" s="794"/>
      <c r="R13" s="794"/>
      <c r="S13" s="794"/>
      <c r="T13" s="794"/>
      <c r="U13" s="392"/>
      <c r="V13" s="392"/>
      <c r="W13" s="392"/>
      <c r="X13" s="392"/>
      <c r="Y13" s="393"/>
      <c r="Z13" s="394"/>
      <c r="AA13" s="392"/>
      <c r="AB13" s="394"/>
      <c r="AC13" s="392"/>
      <c r="AD13" s="392"/>
      <c r="AE13" s="392"/>
      <c r="AF13" s="392"/>
      <c r="AG13" s="392"/>
      <c r="AH13" s="392"/>
      <c r="AI13" s="392"/>
      <c r="AJ13" s="392"/>
      <c r="AK13" s="392"/>
      <c r="AL13" s="392"/>
      <c r="AM13" s="392"/>
      <c r="AN13" s="392"/>
      <c r="AO13" s="392"/>
      <c r="AP13" s="392"/>
      <c r="AQ13" s="392"/>
      <c r="AR13" s="392"/>
      <c r="AS13" s="392"/>
    </row>
    <row r="14" spans="1:45" ht="18" customHeight="1" x14ac:dyDescent="0.2">
      <c r="B14" s="495" t="s">
        <v>541</v>
      </c>
      <c r="C14" s="682" t="s">
        <v>18</v>
      </c>
      <c r="D14" s="794"/>
      <c r="E14" s="794"/>
      <c r="F14" s="794"/>
      <c r="G14" s="794"/>
      <c r="H14" s="794"/>
      <c r="I14" s="794"/>
      <c r="J14" s="794"/>
      <c r="K14" s="794"/>
      <c r="L14" s="794"/>
      <c r="M14" s="794"/>
      <c r="N14" s="794"/>
      <c r="O14" s="794"/>
      <c r="P14" s="691">
        <f t="shared" si="2"/>
        <v>0</v>
      </c>
      <c r="Q14" s="794"/>
      <c r="R14" s="794"/>
      <c r="S14" s="794"/>
      <c r="T14" s="794"/>
      <c r="U14" s="392"/>
      <c r="V14" s="392"/>
      <c r="W14" s="392"/>
      <c r="X14" s="392"/>
      <c r="Y14" s="393"/>
      <c r="Z14" s="394"/>
      <c r="AA14" s="392"/>
      <c r="AB14" s="394"/>
      <c r="AC14" s="392"/>
      <c r="AD14" s="392"/>
      <c r="AE14" s="392"/>
      <c r="AF14" s="392"/>
      <c r="AG14" s="392"/>
      <c r="AH14" s="392"/>
      <c r="AI14" s="392"/>
      <c r="AJ14" s="392"/>
      <c r="AK14" s="392"/>
      <c r="AL14" s="392"/>
      <c r="AM14" s="392"/>
      <c r="AN14" s="392"/>
      <c r="AO14" s="392"/>
      <c r="AP14" s="392"/>
      <c r="AQ14" s="392"/>
      <c r="AR14" s="392"/>
      <c r="AS14" s="392"/>
    </row>
    <row r="15" spans="1:45" ht="18" customHeight="1" x14ac:dyDescent="0.2">
      <c r="B15" s="326" t="s">
        <v>542</v>
      </c>
      <c r="C15" s="683" t="s">
        <v>18</v>
      </c>
      <c r="D15" s="692">
        <f>D10*D9</f>
        <v>0</v>
      </c>
      <c r="E15" s="692">
        <f t="shared" ref="E15:N15" si="3">E10*E9</f>
        <v>0</v>
      </c>
      <c r="F15" s="692">
        <f t="shared" si="3"/>
        <v>0</v>
      </c>
      <c r="G15" s="692">
        <f t="shared" si="3"/>
        <v>0</v>
      </c>
      <c r="H15" s="692">
        <f t="shared" si="3"/>
        <v>0</v>
      </c>
      <c r="I15" s="692">
        <f t="shared" si="3"/>
        <v>0</v>
      </c>
      <c r="J15" s="692" t="e">
        <f t="shared" si="3"/>
        <v>#DIV/0!</v>
      </c>
      <c r="K15" s="692" t="e">
        <f t="shared" si="3"/>
        <v>#DIV/0!</v>
      </c>
      <c r="L15" s="692" t="e">
        <f t="shared" si="3"/>
        <v>#DIV/0!</v>
      </c>
      <c r="M15" s="692" t="e">
        <f t="shared" si="3"/>
        <v>#DIV/0!</v>
      </c>
      <c r="N15" s="692" t="e">
        <f t="shared" si="3"/>
        <v>#DIV/0!</v>
      </c>
      <c r="O15" s="692" t="e">
        <f>O10*O9</f>
        <v>#DIV/0!</v>
      </c>
      <c r="P15" s="693" t="e">
        <f t="shared" si="2"/>
        <v>#DIV/0!</v>
      </c>
      <c r="Q15" s="692" t="e">
        <f>Q10*Q9</f>
        <v>#DIV/0!</v>
      </c>
      <c r="R15" s="692" t="e">
        <f>R10*R9</f>
        <v>#DIV/0!</v>
      </c>
      <c r="S15" s="692" t="e">
        <f>S10*S9</f>
        <v>#DIV/0!</v>
      </c>
      <c r="T15" s="692" t="e">
        <f>T10*T9</f>
        <v>#DIV/0!</v>
      </c>
      <c r="U15" s="395"/>
      <c r="V15" s="390"/>
      <c r="W15" s="395"/>
      <c r="X15" s="390"/>
      <c r="Y15" s="396"/>
      <c r="Z15" s="397"/>
      <c r="AA15" s="390"/>
      <c r="AB15" s="395"/>
      <c r="AC15" s="390"/>
      <c r="AD15" s="395"/>
      <c r="AE15" s="390"/>
      <c r="AF15" s="395"/>
      <c r="AG15" s="390"/>
      <c r="AH15" s="395"/>
      <c r="AI15" s="390"/>
      <c r="AJ15" s="395"/>
      <c r="AK15" s="390"/>
      <c r="AL15" s="395"/>
      <c r="AM15" s="390"/>
      <c r="AN15" s="395"/>
      <c r="AO15" s="390"/>
      <c r="AP15" s="395"/>
      <c r="AQ15" s="390"/>
      <c r="AR15" s="395"/>
      <c r="AS15" s="390"/>
    </row>
    <row r="16" spans="1:45" ht="18" customHeight="1" x14ac:dyDescent="0.2">
      <c r="B16" s="326" t="s">
        <v>543</v>
      </c>
      <c r="C16" s="683"/>
      <c r="D16" s="692">
        <f>SUM(D12:D15)</f>
        <v>0</v>
      </c>
      <c r="E16" s="692">
        <f t="shared" ref="E16:Q16" si="4">SUM(E12:E15)</f>
        <v>0</v>
      </c>
      <c r="F16" s="692">
        <f t="shared" si="4"/>
        <v>0</v>
      </c>
      <c r="G16" s="692">
        <f t="shared" si="4"/>
        <v>0</v>
      </c>
      <c r="H16" s="692">
        <f t="shared" si="4"/>
        <v>0</v>
      </c>
      <c r="I16" s="692">
        <f t="shared" si="4"/>
        <v>0</v>
      </c>
      <c r="J16" s="692" t="e">
        <f t="shared" si="4"/>
        <v>#DIV/0!</v>
      </c>
      <c r="K16" s="692" t="e">
        <f t="shared" si="4"/>
        <v>#DIV/0!</v>
      </c>
      <c r="L16" s="692" t="e">
        <f t="shared" si="4"/>
        <v>#DIV/0!</v>
      </c>
      <c r="M16" s="692" t="e">
        <f t="shared" si="4"/>
        <v>#DIV/0!</v>
      </c>
      <c r="N16" s="692" t="e">
        <f t="shared" si="4"/>
        <v>#DIV/0!</v>
      </c>
      <c r="O16" s="692" t="e">
        <f t="shared" si="4"/>
        <v>#DIV/0!</v>
      </c>
      <c r="P16" s="693" t="e">
        <f t="shared" si="2"/>
        <v>#DIV/0!</v>
      </c>
      <c r="Q16" s="692" t="e">
        <f t="shared" si="4"/>
        <v>#DIV/0!</v>
      </c>
      <c r="R16" s="692" t="e">
        <f>SUM(R12:R15)</f>
        <v>#DIV/0!</v>
      </c>
      <c r="S16" s="692" t="e">
        <f>SUM(S12:S15)</f>
        <v>#DIV/0!</v>
      </c>
      <c r="T16" s="692" t="e">
        <f>SUM(T12:T15)</f>
        <v>#DIV/0!</v>
      </c>
      <c r="U16" s="395"/>
      <c r="V16" s="390"/>
      <c r="W16" s="395"/>
      <c r="X16" s="390"/>
      <c r="Y16" s="396"/>
      <c r="Z16" s="397"/>
      <c r="AA16" s="390"/>
      <c r="AB16" s="395"/>
      <c r="AC16" s="390"/>
      <c r="AD16" s="395"/>
      <c r="AE16" s="390"/>
      <c r="AF16" s="395"/>
      <c r="AG16" s="390"/>
      <c r="AH16" s="395"/>
      <c r="AI16" s="390"/>
      <c r="AJ16" s="395"/>
      <c r="AK16" s="390"/>
      <c r="AL16" s="395"/>
      <c r="AM16" s="390"/>
      <c r="AN16" s="395"/>
      <c r="AO16" s="390"/>
      <c r="AP16" s="395"/>
      <c r="AQ16" s="390"/>
      <c r="AR16" s="395"/>
      <c r="AS16" s="390"/>
    </row>
    <row r="17" spans="2:141" ht="18" customHeight="1" x14ac:dyDescent="0.2">
      <c r="B17" s="325" t="str">
        <f>'Input Financeiro atual'!B27</f>
        <v>Alimentação</v>
      </c>
      <c r="C17" s="681" t="s">
        <v>18</v>
      </c>
      <c r="D17" s="694" t="e">
        <f>('Alim. 1 trim.'!$C$41/((SUM('Ev. Rebanho'!$E$41:$G$41)/3)))*'Ev. Rebanho'!E41</f>
        <v>#DIV/0!</v>
      </c>
      <c r="E17" s="694" t="e">
        <f>('Alim. 1 trim.'!$C$41/((SUM('Ev. Rebanho'!$E$41:$G$41)/3)))*'Ev. Rebanho'!F41</f>
        <v>#DIV/0!</v>
      </c>
      <c r="F17" s="694" t="e">
        <f>('Alim. 1 trim.'!$C$41/((SUM('Ev. Rebanho'!$E$41:$G$41)/3)))*'Ev. Rebanho'!G41</f>
        <v>#DIV/0!</v>
      </c>
      <c r="G17" s="694" t="e">
        <f>('Alim. 2 trim.'!$C$41/((SUM('Ev. Rebanho'!$H$41:$J$41)/3)))*'Ev. Rebanho'!H41</f>
        <v>#DIV/0!</v>
      </c>
      <c r="H17" s="694" t="e">
        <f>('Alim. 2 trim.'!$C$41/((SUM('Ev. Rebanho'!$H$41:$J$41)/3)))*'Ev. Rebanho'!I41</f>
        <v>#DIV/0!</v>
      </c>
      <c r="I17" s="694" t="e">
        <f>('Alim. 2 trim.'!$C$41/((SUM('Ev. Rebanho'!$H$41:$J$41)/3)))*'Ev. Rebanho'!J41</f>
        <v>#DIV/0!</v>
      </c>
      <c r="J17" s="694" t="e">
        <f>('Alim. 3 trim.'!$C$41/((SUM('Ev. Rebanho'!$K$41:$M$41)/3)))*'Ev. Rebanho'!K41</f>
        <v>#DIV/0!</v>
      </c>
      <c r="K17" s="694" t="e">
        <f>('Alim. 3 trim.'!$C$41/((SUM('Ev. Rebanho'!$K$41:$M$41)/3)))*'Ev. Rebanho'!L41</f>
        <v>#DIV/0!</v>
      </c>
      <c r="L17" s="694" t="e">
        <f>('Alim. 3 trim.'!$C$41/((SUM('Ev. Rebanho'!$K$41:$M$41)/3)))*'Ev. Rebanho'!M41</f>
        <v>#DIV/0!</v>
      </c>
      <c r="M17" s="694" t="e">
        <f>('Alim. 4 trim.'!$C$41/((SUM('Ev. Rebanho'!$N$41:$P$41)/3)))*'Ev. Rebanho'!N41</f>
        <v>#DIV/0!</v>
      </c>
      <c r="N17" s="694" t="e">
        <f>('Alim. 4 trim.'!$C$41/((SUM('Ev. Rebanho'!$N$41:$P$41)/3)))*'Ev. Rebanho'!O41</f>
        <v>#DIV/0!</v>
      </c>
      <c r="O17" s="694" t="e">
        <f>('Alim. 4 trim.'!$C$41/((SUM('Ev. Rebanho'!$N$41:$P$41)/3)))*'Ev. Rebanho'!P41</f>
        <v>#DIV/0!</v>
      </c>
      <c r="P17" s="689" t="e">
        <f t="shared" si="2"/>
        <v>#DIV/0!</v>
      </c>
      <c r="Q17" s="694" t="e">
        <f>($P$17/'Ev. Rebanho'!$Q$41)*(('Ev. Rebanho'!R41+'Ev. Rebanho'!P41)/2)</f>
        <v>#DIV/0!</v>
      </c>
      <c r="R17" s="694" t="e">
        <f>($P$17/'Ev. Rebanho'!$Q$41)*(('Ev. Rebanho'!S41+'Ev. Rebanho'!R41)/2)</f>
        <v>#DIV/0!</v>
      </c>
      <c r="S17" s="694" t="e">
        <f>($P$17/'Ev. Rebanho'!$Q$41)*(('Ev. Rebanho'!T41+'Ev. Rebanho'!S41)/2)</f>
        <v>#DIV/0!</v>
      </c>
      <c r="T17" s="694" t="e">
        <f>($P$17/'Ev. Rebanho'!$Q$41)*(('Ev. Rebanho'!U41+'Ev. Rebanho'!T41)/2)</f>
        <v>#DIV/0!</v>
      </c>
      <c r="U17" s="392"/>
      <c r="V17" s="398"/>
      <c r="W17" s="392"/>
      <c r="X17" s="398"/>
      <c r="Y17" s="393"/>
      <c r="Z17" s="394"/>
      <c r="AA17" s="398"/>
      <c r="AB17" s="394"/>
      <c r="AC17" s="398"/>
      <c r="AD17" s="392"/>
      <c r="AE17" s="398"/>
      <c r="AF17" s="392"/>
      <c r="AG17" s="398"/>
      <c r="AH17" s="392"/>
      <c r="AI17" s="398"/>
      <c r="AJ17" s="392"/>
      <c r="AK17" s="398"/>
      <c r="AL17" s="392"/>
      <c r="AM17" s="398"/>
      <c r="AN17" s="392"/>
      <c r="AO17" s="398"/>
      <c r="AP17" s="392"/>
      <c r="AQ17" s="398"/>
      <c r="AR17" s="392"/>
      <c r="AS17" s="398"/>
    </row>
    <row r="18" spans="2:141" ht="18" customHeight="1" x14ac:dyDescent="0.2">
      <c r="B18" s="325" t="str">
        <f>'Input Financeiro atual'!B28</f>
        <v>Mão de obra</v>
      </c>
      <c r="C18" s="681" t="s">
        <v>18</v>
      </c>
      <c r="D18" s="694">
        <f>Inputs!$E$24</f>
        <v>0</v>
      </c>
      <c r="E18" s="694">
        <f>Inputs!$E$24</f>
        <v>0</v>
      </c>
      <c r="F18" s="694">
        <f>Inputs!$E$24</f>
        <v>0</v>
      </c>
      <c r="G18" s="694">
        <f>Inputs!$E$24</f>
        <v>0</v>
      </c>
      <c r="H18" s="694">
        <f>Inputs!$E$24</f>
        <v>0</v>
      </c>
      <c r="I18" s="694">
        <f>Inputs!$E$24</f>
        <v>0</v>
      </c>
      <c r="J18" s="694">
        <f>Inputs!$E$24</f>
        <v>0</v>
      </c>
      <c r="K18" s="694">
        <f>Inputs!$E$24</f>
        <v>0</v>
      </c>
      <c r="L18" s="694">
        <f>Inputs!$E$24</f>
        <v>0</v>
      </c>
      <c r="M18" s="694">
        <f>Inputs!$E$24</f>
        <v>0</v>
      </c>
      <c r="N18" s="694">
        <f>Inputs!$E$24</f>
        <v>0</v>
      </c>
      <c r="O18" s="694">
        <f>Inputs!$E$24</f>
        <v>0</v>
      </c>
      <c r="P18" s="689">
        <f t="shared" ref="P18:P27" si="5">SUM(D18:O18)</f>
        <v>0</v>
      </c>
      <c r="Q18" s="694">
        <f>Inputs!J24*12</f>
        <v>0</v>
      </c>
      <c r="R18" s="694">
        <f>Inputs!K24*12</f>
        <v>0</v>
      </c>
      <c r="S18" s="694">
        <f>Inputs!L24*12</f>
        <v>0</v>
      </c>
      <c r="T18" s="694">
        <f>Inputs!M24*12</f>
        <v>0</v>
      </c>
      <c r="U18" s="399"/>
      <c r="V18" s="399"/>
      <c r="W18" s="399"/>
      <c r="X18" s="399"/>
      <c r="Y18" s="399"/>
      <c r="Z18" s="399"/>
      <c r="AA18" s="399"/>
      <c r="AB18" s="399"/>
      <c r="AC18" s="399"/>
      <c r="AD18" s="399"/>
      <c r="AE18" s="399"/>
      <c r="AF18" s="399"/>
      <c r="AG18" s="399"/>
      <c r="AH18" s="399"/>
      <c r="AI18" s="399"/>
      <c r="AJ18" s="399"/>
      <c r="AK18" s="399"/>
      <c r="AL18" s="399"/>
      <c r="AM18" s="399"/>
      <c r="AN18" s="399"/>
      <c r="AO18" s="399"/>
      <c r="AP18" s="399"/>
      <c r="AQ18" s="399"/>
      <c r="AR18" s="399"/>
      <c r="AS18" s="399"/>
    </row>
    <row r="19" spans="2:141" ht="18" customHeight="1" x14ac:dyDescent="0.2">
      <c r="B19" s="325" t="str">
        <f>'Input Financeiro atual'!B29</f>
        <v>Sanidade</v>
      </c>
      <c r="C19" s="681" t="s">
        <v>18</v>
      </c>
      <c r="D19" s="694" t="e">
        <f>Inputs!E25*(D$6+(D$7/4))</f>
        <v>#DIV/0!</v>
      </c>
      <c r="E19" s="694" t="e">
        <f>Inputs!$E25*(E$6+(E$7/4))</f>
        <v>#DIV/0!</v>
      </c>
      <c r="F19" s="694" t="e">
        <f>Inputs!$E25*(F$6+(F$7/4))</f>
        <v>#DIV/0!</v>
      </c>
      <c r="G19" s="694" t="e">
        <f>Inputs!$F25*(G$6+(G$7/4))</f>
        <v>#DIV/0!</v>
      </c>
      <c r="H19" s="694" t="e">
        <f>Inputs!$F25*(H$6+(H$7/4))</f>
        <v>#DIV/0!</v>
      </c>
      <c r="I19" s="694" t="e">
        <f>Inputs!$F25*(I$6+(I$7/4))</f>
        <v>#DIV/0!</v>
      </c>
      <c r="J19" s="694" t="e">
        <f>Inputs!$G25*(J$6+(J$7/4))</f>
        <v>#DIV/0!</v>
      </c>
      <c r="K19" s="694" t="e">
        <f>Inputs!$G25*(K$6+(K$7/4))</f>
        <v>#DIV/0!</v>
      </c>
      <c r="L19" s="694" t="e">
        <f>Inputs!$G25*(L$6+(L$7/4))</f>
        <v>#DIV/0!</v>
      </c>
      <c r="M19" s="694" t="e">
        <f>Inputs!$H25*(M$6+(M$7/4))</f>
        <v>#DIV/0!</v>
      </c>
      <c r="N19" s="694" t="e">
        <f>Inputs!$H25*(N$6+(N$7/4))</f>
        <v>#DIV/0!</v>
      </c>
      <c r="O19" s="694" t="e">
        <f>Inputs!$H25*(O$6+(O$7/4))</f>
        <v>#DIV/0!</v>
      </c>
      <c r="P19" s="689" t="e">
        <f t="shared" si="5"/>
        <v>#DIV/0!</v>
      </c>
      <c r="Q19" s="694" t="e">
        <f>Inputs!J25*12*(Q$6+Q$7/4)</f>
        <v>#VALUE!</v>
      </c>
      <c r="R19" s="694" t="e">
        <f>Inputs!K25*12*(R$6+R$7/4)</f>
        <v>#VALUE!</v>
      </c>
      <c r="S19" s="694" t="e">
        <f>Inputs!L25*12*(S$6+S$7/4)</f>
        <v>#VALUE!</v>
      </c>
      <c r="T19" s="694" t="e">
        <f>Inputs!M25*12*(T$6+T$7/4)</f>
        <v>#VALUE!</v>
      </c>
      <c r="U19" s="400"/>
      <c r="V19" s="401"/>
      <c r="W19" s="400"/>
      <c r="X19" s="401"/>
      <c r="Y19" s="402"/>
      <c r="Z19" s="403"/>
      <c r="AA19" s="401"/>
      <c r="AB19" s="403"/>
      <c r="AC19" s="401"/>
      <c r="AD19" s="400"/>
      <c r="AE19" s="401"/>
      <c r="AF19" s="400"/>
      <c r="AG19" s="401"/>
      <c r="AH19" s="400"/>
      <c r="AI19" s="401"/>
      <c r="AJ19" s="400"/>
      <c r="AK19" s="401"/>
      <c r="AL19" s="400"/>
      <c r="AM19" s="401"/>
      <c r="AN19" s="400"/>
      <c r="AO19" s="401"/>
      <c r="AP19" s="400"/>
      <c r="AQ19" s="401"/>
      <c r="AR19" s="400"/>
      <c r="AS19" s="401"/>
    </row>
    <row r="20" spans="2:141" ht="18" customHeight="1" x14ac:dyDescent="0.2">
      <c r="B20" s="325" t="str">
        <f>'Input Financeiro atual'!B30</f>
        <v>Reprodução</v>
      </c>
      <c r="C20" s="681" t="s">
        <v>18</v>
      </c>
      <c r="D20" s="694" t="e">
        <f>Inputs!E26*$D$6</f>
        <v>#DIV/0!</v>
      </c>
      <c r="E20" s="694" t="e">
        <f>Inputs!$E26*$E$6</f>
        <v>#DIV/0!</v>
      </c>
      <c r="F20" s="694" t="e">
        <f>Inputs!$E26*$F$6</f>
        <v>#DIV/0!</v>
      </c>
      <c r="G20" s="694" t="e">
        <f>Inputs!$F26*$G$6</f>
        <v>#DIV/0!</v>
      </c>
      <c r="H20" s="694" t="e">
        <f>Inputs!$F26*$H$6</f>
        <v>#DIV/0!</v>
      </c>
      <c r="I20" s="694" t="e">
        <f>Inputs!$F26*$I$6</f>
        <v>#DIV/0!</v>
      </c>
      <c r="J20" s="694" t="e">
        <f>Inputs!$G26*$J$6</f>
        <v>#DIV/0!</v>
      </c>
      <c r="K20" s="694" t="e">
        <f>Inputs!$G26*$K$6</f>
        <v>#DIV/0!</v>
      </c>
      <c r="L20" s="694" t="e">
        <f>Inputs!$G26*$L$6</f>
        <v>#DIV/0!</v>
      </c>
      <c r="M20" s="694" t="e">
        <f>Inputs!$H26*$M$6</f>
        <v>#DIV/0!</v>
      </c>
      <c r="N20" s="694" t="e">
        <f>Inputs!$H26*$N$6</f>
        <v>#DIV/0!</v>
      </c>
      <c r="O20" s="694" t="e">
        <f>Inputs!$H26*$O$6</f>
        <v>#DIV/0!</v>
      </c>
      <c r="P20" s="689" t="e">
        <f t="shared" si="5"/>
        <v>#DIV/0!</v>
      </c>
      <c r="Q20" s="694" t="e">
        <f>Inputs!J26*12*Q6</f>
        <v>#VALUE!</v>
      </c>
      <c r="R20" s="694" t="e">
        <f>Inputs!K26*12*R6</f>
        <v>#VALUE!</v>
      </c>
      <c r="S20" s="694" t="e">
        <f>Inputs!L26*12*S6</f>
        <v>#VALUE!</v>
      </c>
      <c r="T20" s="694" t="e">
        <f>Inputs!M26*12*T6</f>
        <v>#VALUE!</v>
      </c>
      <c r="U20" s="404"/>
      <c r="V20" s="405"/>
      <c r="W20" s="406"/>
      <c r="X20" s="405"/>
      <c r="Y20" s="401"/>
      <c r="Z20" s="407"/>
      <c r="AA20" s="405"/>
      <c r="AB20" s="406"/>
      <c r="AC20" s="405"/>
      <c r="AD20" s="406"/>
      <c r="AE20" s="405"/>
      <c r="AF20" s="406"/>
      <c r="AG20" s="405"/>
      <c r="AH20" s="406"/>
      <c r="AI20" s="405"/>
      <c r="AJ20" s="406"/>
      <c r="AK20" s="405"/>
      <c r="AL20" s="406"/>
      <c r="AM20" s="405"/>
      <c r="AN20" s="406"/>
      <c r="AO20" s="405"/>
      <c r="AP20" s="406"/>
      <c r="AQ20" s="405"/>
      <c r="AR20" s="406"/>
      <c r="AS20" s="405"/>
      <c r="AT20" s="408"/>
      <c r="AU20" s="408"/>
      <c r="AV20" s="408"/>
      <c r="AW20" s="408"/>
      <c r="AX20" s="408"/>
      <c r="AY20" s="408"/>
      <c r="AZ20" s="408"/>
      <c r="BA20" s="408"/>
      <c r="BB20" s="408"/>
      <c r="BC20" s="408"/>
      <c r="BD20" s="408"/>
      <c r="BE20" s="408"/>
      <c r="BF20" s="408"/>
      <c r="BG20" s="408"/>
      <c r="BH20" s="408"/>
      <c r="BI20" s="408"/>
      <c r="BJ20" s="408"/>
      <c r="BK20" s="408"/>
      <c r="BL20" s="408"/>
      <c r="BM20" s="408"/>
      <c r="BN20" s="408"/>
      <c r="BO20" s="408"/>
      <c r="BP20" s="408"/>
      <c r="BQ20" s="408"/>
      <c r="BR20" s="408"/>
      <c r="BS20" s="408"/>
      <c r="BT20" s="408"/>
      <c r="BU20" s="408"/>
      <c r="BV20" s="408"/>
      <c r="BW20" s="408"/>
      <c r="BX20" s="408"/>
      <c r="BY20" s="408"/>
      <c r="BZ20" s="408"/>
      <c r="CA20" s="408"/>
      <c r="CB20" s="408"/>
      <c r="CC20" s="408"/>
      <c r="CD20" s="408"/>
      <c r="CE20" s="408"/>
      <c r="CF20" s="408"/>
      <c r="CG20" s="408"/>
      <c r="CH20" s="408"/>
      <c r="CI20" s="408"/>
      <c r="CJ20" s="408"/>
      <c r="CK20" s="408"/>
      <c r="CL20" s="408"/>
      <c r="CM20" s="408"/>
      <c r="CN20" s="408"/>
      <c r="CO20" s="408"/>
      <c r="CP20" s="408"/>
      <c r="CQ20" s="408"/>
      <c r="CR20" s="408"/>
      <c r="CS20" s="408"/>
      <c r="CT20" s="408"/>
      <c r="CU20" s="408"/>
      <c r="CV20" s="408"/>
      <c r="CW20" s="408"/>
      <c r="CX20" s="408"/>
      <c r="CY20" s="408"/>
      <c r="CZ20" s="408"/>
      <c r="DA20" s="408"/>
      <c r="DB20" s="408"/>
      <c r="DC20" s="408"/>
      <c r="DD20" s="408"/>
      <c r="DE20" s="408"/>
      <c r="DF20" s="408"/>
      <c r="DG20" s="408"/>
      <c r="DH20" s="408"/>
      <c r="DI20" s="408"/>
      <c r="DJ20" s="408"/>
      <c r="DK20" s="408"/>
      <c r="DL20" s="408"/>
      <c r="DM20" s="408"/>
      <c r="DN20" s="408"/>
      <c r="DO20" s="408"/>
      <c r="DP20" s="408"/>
      <c r="DQ20" s="408"/>
      <c r="DR20" s="408"/>
      <c r="DS20" s="408"/>
      <c r="DT20" s="408"/>
      <c r="DU20" s="408"/>
      <c r="DV20" s="408"/>
      <c r="DW20" s="408"/>
      <c r="DX20" s="408"/>
      <c r="DY20" s="408"/>
      <c r="DZ20" s="408"/>
      <c r="EA20" s="408"/>
      <c r="EB20" s="408"/>
      <c r="EC20" s="408"/>
      <c r="ED20" s="408"/>
      <c r="EE20" s="408"/>
      <c r="EF20" s="408"/>
      <c r="EG20" s="408"/>
      <c r="EH20" s="408"/>
      <c r="EI20" s="408"/>
      <c r="EJ20" s="408"/>
      <c r="EK20" s="408"/>
    </row>
    <row r="21" spans="2:141" ht="18" customHeight="1" x14ac:dyDescent="0.2">
      <c r="B21" s="325" t="str">
        <f>'Input Financeiro atual'!B31</f>
        <v>Material de consumo</v>
      </c>
      <c r="C21" s="681" t="s">
        <v>18</v>
      </c>
      <c r="D21" s="694" t="e">
        <f>Inputs!E27*(D$6+(D$7/4))</f>
        <v>#DIV/0!</v>
      </c>
      <c r="E21" s="694" t="e">
        <f>Inputs!$E27*(E$6+(E$7/4))</f>
        <v>#DIV/0!</v>
      </c>
      <c r="F21" s="694" t="e">
        <f>Inputs!$E27*(F$6+(F$7/4))</f>
        <v>#DIV/0!</v>
      </c>
      <c r="G21" s="694" t="e">
        <f>Inputs!$F27*(G$6+(G$7/4))</f>
        <v>#DIV/0!</v>
      </c>
      <c r="H21" s="694" t="e">
        <f>Inputs!$F27*(H$6+(H$7/4))</f>
        <v>#DIV/0!</v>
      </c>
      <c r="I21" s="694" t="e">
        <f>Inputs!$F27*(I$6+(I$7/4))</f>
        <v>#DIV/0!</v>
      </c>
      <c r="J21" s="694" t="e">
        <f>Inputs!$G27*(J$6+(J$7/4))</f>
        <v>#DIV/0!</v>
      </c>
      <c r="K21" s="694" t="e">
        <f>Inputs!$G27*(K$6+(K$7/4))</f>
        <v>#DIV/0!</v>
      </c>
      <c r="L21" s="694" t="e">
        <f>Inputs!$G27*(L$6+(L$7/4))</f>
        <v>#DIV/0!</v>
      </c>
      <c r="M21" s="694" t="e">
        <f>Inputs!$H27*(M$6+(M$7/4))</f>
        <v>#DIV/0!</v>
      </c>
      <c r="N21" s="694" t="e">
        <f>Inputs!$H27*(N$6+(N$7/4))</f>
        <v>#DIV/0!</v>
      </c>
      <c r="O21" s="694" t="e">
        <f>Inputs!$H27*(O$6+(O$7/4))</f>
        <v>#DIV/0!</v>
      </c>
      <c r="P21" s="689" t="e">
        <f t="shared" si="5"/>
        <v>#DIV/0!</v>
      </c>
      <c r="Q21" s="694" t="e">
        <f>Inputs!J27*12*(Q$6+Q$7/4)</f>
        <v>#VALUE!</v>
      </c>
      <c r="R21" s="694" t="e">
        <f>Inputs!K27*12*(R$6+R$7/4)</f>
        <v>#VALUE!</v>
      </c>
      <c r="S21" s="694" t="e">
        <f>Inputs!L27*12*(S$6+S$7/4)</f>
        <v>#VALUE!</v>
      </c>
      <c r="T21" s="694" t="e">
        <f>Inputs!M27*12*(T$6+T$7/4)</f>
        <v>#VALUE!</v>
      </c>
      <c r="U21" s="409"/>
      <c r="V21" s="406"/>
      <c r="W21" s="409"/>
      <c r="X21" s="406"/>
      <c r="Y21" s="401"/>
      <c r="Z21" s="410"/>
      <c r="AA21" s="406"/>
      <c r="AB21" s="409"/>
      <c r="AC21" s="406"/>
      <c r="AD21" s="409"/>
      <c r="AE21" s="406"/>
      <c r="AF21" s="409"/>
      <c r="AG21" s="406"/>
      <c r="AH21" s="409"/>
      <c r="AI21" s="406"/>
      <c r="AJ21" s="409"/>
      <c r="AK21" s="406"/>
      <c r="AL21" s="409"/>
      <c r="AM21" s="406"/>
      <c r="AN21" s="409"/>
      <c r="AO21" s="406"/>
      <c r="AP21" s="409"/>
      <c r="AQ21" s="406"/>
      <c r="AR21" s="409"/>
      <c r="AS21" s="406"/>
    </row>
    <row r="22" spans="2:141" ht="18" customHeight="1" x14ac:dyDescent="0.2">
      <c r="B22" s="325" t="str">
        <f>'Input Financeiro atual'!B32</f>
        <v>BST</v>
      </c>
      <c r="C22" s="681" t="s">
        <v>18</v>
      </c>
      <c r="D22" s="694" t="e">
        <f>Inputs!E28*$D$6</f>
        <v>#DIV/0!</v>
      </c>
      <c r="E22" s="694" t="e">
        <f>Inputs!$E28*$E$6</f>
        <v>#DIV/0!</v>
      </c>
      <c r="F22" s="694" t="e">
        <f>Inputs!$E28*$F$6</f>
        <v>#DIV/0!</v>
      </c>
      <c r="G22" s="694" t="e">
        <f>Inputs!$F28*$G$6</f>
        <v>#DIV/0!</v>
      </c>
      <c r="H22" s="694" t="e">
        <f>Inputs!$F28*$H$6</f>
        <v>#DIV/0!</v>
      </c>
      <c r="I22" s="694" t="e">
        <f>Inputs!$F28*$I$6</f>
        <v>#DIV/0!</v>
      </c>
      <c r="J22" s="694" t="e">
        <f>Inputs!$G28*$J$6</f>
        <v>#DIV/0!</v>
      </c>
      <c r="K22" s="694" t="e">
        <f>Inputs!$G28*$K$6</f>
        <v>#DIV/0!</v>
      </c>
      <c r="L22" s="694" t="e">
        <f>Inputs!$G28*$L$6</f>
        <v>#DIV/0!</v>
      </c>
      <c r="M22" s="694" t="e">
        <f>Inputs!$H28*$M$6</f>
        <v>#DIV/0!</v>
      </c>
      <c r="N22" s="694" t="e">
        <f>Inputs!$H28*$N$6</f>
        <v>#DIV/0!</v>
      </c>
      <c r="O22" s="694" t="e">
        <f>Inputs!$H28*$O$6</f>
        <v>#DIV/0!</v>
      </c>
      <c r="P22" s="689" t="e">
        <f t="shared" si="5"/>
        <v>#DIV/0!</v>
      </c>
      <c r="Q22" s="694" t="e">
        <f>Inputs!J28*12*Q6</f>
        <v>#VALUE!</v>
      </c>
      <c r="R22" s="694" t="e">
        <f>Inputs!K28*12*R6</f>
        <v>#VALUE!</v>
      </c>
      <c r="S22" s="694" t="e">
        <f>Inputs!L28*12*S6</f>
        <v>#VALUE!</v>
      </c>
      <c r="T22" s="694" t="e">
        <f>Inputs!M28*12*T6</f>
        <v>#VALUE!</v>
      </c>
      <c r="U22" s="409"/>
      <c r="V22" s="406"/>
      <c r="W22" s="409"/>
      <c r="X22" s="406"/>
      <c r="Y22" s="401"/>
      <c r="Z22" s="410"/>
      <c r="AA22" s="406"/>
      <c r="AB22" s="409"/>
      <c r="AC22" s="406"/>
      <c r="AD22" s="409"/>
      <c r="AE22" s="406"/>
      <c r="AF22" s="409"/>
      <c r="AG22" s="406"/>
      <c r="AH22" s="409"/>
      <c r="AI22" s="406"/>
      <c r="AJ22" s="409"/>
      <c r="AK22" s="406"/>
      <c r="AL22" s="409"/>
      <c r="AM22" s="406"/>
      <c r="AN22" s="409"/>
      <c r="AO22" s="406"/>
      <c r="AP22" s="409"/>
      <c r="AQ22" s="406"/>
      <c r="AR22" s="409"/>
      <c r="AS22" s="406"/>
    </row>
    <row r="23" spans="2:141" ht="18" customHeight="1" x14ac:dyDescent="0.2">
      <c r="B23" s="325" t="str">
        <f>'Input Financeiro atual'!B33</f>
        <v>Controles</v>
      </c>
      <c r="C23" s="681" t="s">
        <v>18</v>
      </c>
      <c r="D23" s="694" t="e">
        <f>Inputs!E29*(D$6+(D$7/4))</f>
        <v>#DIV/0!</v>
      </c>
      <c r="E23" s="694" t="e">
        <f>Inputs!$E29*(E$6+(E$7/4))</f>
        <v>#DIV/0!</v>
      </c>
      <c r="F23" s="694" t="e">
        <f>Inputs!$E29*(F$6+(F$7/4))</f>
        <v>#DIV/0!</v>
      </c>
      <c r="G23" s="694" t="e">
        <f>Inputs!$F29*(G$6+(G$7/4))</f>
        <v>#DIV/0!</v>
      </c>
      <c r="H23" s="694" t="e">
        <f>Inputs!$F29*(H$6+(H$7/4))</f>
        <v>#DIV/0!</v>
      </c>
      <c r="I23" s="694" t="e">
        <f>Inputs!$F29*(I$6+(I$7/4))</f>
        <v>#DIV/0!</v>
      </c>
      <c r="J23" s="694" t="e">
        <f>Inputs!$G29*(J$6+(J$7/4))</f>
        <v>#DIV/0!</v>
      </c>
      <c r="K23" s="694" t="e">
        <f>Inputs!$G29*(K$6+(K$7/4))</f>
        <v>#DIV/0!</v>
      </c>
      <c r="L23" s="694" t="e">
        <f>Inputs!$G29*(L$6+(L$7/4))</f>
        <v>#DIV/0!</v>
      </c>
      <c r="M23" s="694" t="e">
        <f>Inputs!$H29*(M$6+(M$7/4))</f>
        <v>#DIV/0!</v>
      </c>
      <c r="N23" s="694" t="e">
        <f>Inputs!$H29*(N$6+(N$7/4))</f>
        <v>#DIV/0!</v>
      </c>
      <c r="O23" s="694" t="e">
        <f>Inputs!$H29*(O$6+(O$7/4))</f>
        <v>#DIV/0!</v>
      </c>
      <c r="P23" s="689" t="e">
        <f t="shared" si="5"/>
        <v>#DIV/0!</v>
      </c>
      <c r="Q23" s="694" t="e">
        <f>Inputs!J29*12*(Q$6+Q$7/4)</f>
        <v>#VALUE!</v>
      </c>
      <c r="R23" s="694" t="e">
        <f>Inputs!K29*12*(R$6+R$7/4)</f>
        <v>#VALUE!</v>
      </c>
      <c r="S23" s="694" t="e">
        <f>Inputs!L29*12*(S$6+S$7/4)</f>
        <v>#VALUE!</v>
      </c>
      <c r="T23" s="694" t="e">
        <f>Inputs!M29*12*(T$6+T$7/4)</f>
        <v>#VALUE!</v>
      </c>
      <c r="U23" s="409"/>
      <c r="V23" s="406"/>
      <c r="W23" s="409"/>
      <c r="X23" s="406"/>
      <c r="Y23" s="401"/>
      <c r="Z23" s="410"/>
      <c r="AA23" s="406"/>
      <c r="AB23" s="409"/>
      <c r="AC23" s="406"/>
      <c r="AD23" s="409"/>
      <c r="AE23" s="406"/>
      <c r="AF23" s="409"/>
      <c r="AG23" s="406"/>
      <c r="AH23" s="409"/>
      <c r="AI23" s="406"/>
      <c r="AJ23" s="409"/>
      <c r="AK23" s="406"/>
      <c r="AL23" s="409"/>
      <c r="AM23" s="406"/>
      <c r="AN23" s="409"/>
      <c r="AO23" s="406"/>
      <c r="AP23" s="409"/>
      <c r="AQ23" s="406"/>
      <c r="AR23" s="409"/>
      <c r="AS23" s="406"/>
    </row>
    <row r="24" spans="2:141" ht="18" customHeight="1" x14ac:dyDescent="0.2">
      <c r="B24" s="325" t="str">
        <f>'Input Financeiro atual'!B34</f>
        <v>Energia elétrica e combustível</v>
      </c>
      <c r="C24" s="681" t="s">
        <v>18</v>
      </c>
      <c r="D24" s="694" t="e">
        <f>Inputs!E30*$D$6</f>
        <v>#DIV/0!</v>
      </c>
      <c r="E24" s="694" t="e">
        <f>Inputs!$E30*$E$6</f>
        <v>#DIV/0!</v>
      </c>
      <c r="F24" s="694" t="e">
        <f>Inputs!$E30*$F$6</f>
        <v>#DIV/0!</v>
      </c>
      <c r="G24" s="694" t="e">
        <f>Inputs!$F30*$G$6</f>
        <v>#DIV/0!</v>
      </c>
      <c r="H24" s="694" t="e">
        <f>Inputs!$F30*$H$6</f>
        <v>#DIV/0!</v>
      </c>
      <c r="I24" s="694" t="e">
        <f>Inputs!$F30*$I$6</f>
        <v>#DIV/0!</v>
      </c>
      <c r="J24" s="694" t="e">
        <f>Inputs!$G30*$J$6</f>
        <v>#DIV/0!</v>
      </c>
      <c r="K24" s="694" t="e">
        <f>Inputs!$G30*$K$6</f>
        <v>#DIV/0!</v>
      </c>
      <c r="L24" s="694" t="e">
        <f>Inputs!$G30*$L$6</f>
        <v>#DIV/0!</v>
      </c>
      <c r="M24" s="694" t="e">
        <f>Inputs!$H30*$M$6</f>
        <v>#DIV/0!</v>
      </c>
      <c r="N24" s="694" t="e">
        <f>Inputs!$H30*$N$6</f>
        <v>#DIV/0!</v>
      </c>
      <c r="O24" s="694" t="e">
        <f>Inputs!$H30*$O$6</f>
        <v>#DIV/0!</v>
      </c>
      <c r="P24" s="689" t="e">
        <f t="shared" si="5"/>
        <v>#DIV/0!</v>
      </c>
      <c r="Q24" s="694" t="e">
        <f>Inputs!J30*12*Q6</f>
        <v>#VALUE!</v>
      </c>
      <c r="R24" s="694" t="e">
        <f>Inputs!K30*12*R6</f>
        <v>#VALUE!</v>
      </c>
      <c r="S24" s="694" t="e">
        <f>Inputs!L30*12*S6</f>
        <v>#VALUE!</v>
      </c>
      <c r="T24" s="694" t="e">
        <f>Inputs!M30*12*T6</f>
        <v>#VALUE!</v>
      </c>
      <c r="U24" s="409"/>
      <c r="V24" s="406"/>
      <c r="W24" s="409"/>
      <c r="X24" s="406"/>
      <c r="Y24" s="401"/>
      <c r="Z24" s="410"/>
      <c r="AA24" s="406"/>
      <c r="AB24" s="409"/>
      <c r="AC24" s="406"/>
      <c r="AD24" s="409"/>
      <c r="AE24" s="406"/>
      <c r="AF24" s="409"/>
      <c r="AG24" s="406"/>
      <c r="AH24" s="409"/>
      <c r="AI24" s="406"/>
      <c r="AJ24" s="409"/>
      <c r="AK24" s="406"/>
      <c r="AL24" s="409"/>
      <c r="AM24" s="406"/>
      <c r="AN24" s="409"/>
      <c r="AO24" s="406"/>
      <c r="AP24" s="409"/>
      <c r="AQ24" s="406"/>
      <c r="AR24" s="409"/>
      <c r="AS24" s="406"/>
    </row>
    <row r="25" spans="2:141" ht="18" customHeight="1" x14ac:dyDescent="0.2">
      <c r="B25" s="325" t="str">
        <f>'Input Financeiro atual'!B35</f>
        <v>Manutenção de instalações</v>
      </c>
      <c r="C25" s="681" t="s">
        <v>18</v>
      </c>
      <c r="D25" s="694">
        <f>Inputs!E31</f>
        <v>0</v>
      </c>
      <c r="E25" s="694">
        <f>Inputs!$E31</f>
        <v>0</v>
      </c>
      <c r="F25" s="694">
        <f>Inputs!$E31</f>
        <v>0</v>
      </c>
      <c r="G25" s="694">
        <f>Inputs!$F31</f>
        <v>0</v>
      </c>
      <c r="H25" s="694">
        <f>Inputs!$F31</f>
        <v>0</v>
      </c>
      <c r="I25" s="694">
        <f>Inputs!$F31</f>
        <v>0</v>
      </c>
      <c r="J25" s="694">
        <f>Inputs!$G31</f>
        <v>0</v>
      </c>
      <c r="K25" s="694">
        <f>Inputs!$G31</f>
        <v>0</v>
      </c>
      <c r="L25" s="694">
        <f>Inputs!$G31</f>
        <v>0</v>
      </c>
      <c r="M25" s="694">
        <f>Inputs!$H31</f>
        <v>0</v>
      </c>
      <c r="N25" s="694">
        <f>Inputs!$H31</f>
        <v>0</v>
      </c>
      <c r="O25" s="694">
        <f>Inputs!$H31</f>
        <v>0</v>
      </c>
      <c r="P25" s="689">
        <f t="shared" si="5"/>
        <v>0</v>
      </c>
      <c r="Q25" s="694">
        <f>Inputs!J31*12</f>
        <v>0</v>
      </c>
      <c r="R25" s="694">
        <f>Inputs!K31*12</f>
        <v>0</v>
      </c>
      <c r="S25" s="694">
        <f>Inputs!L31*12</f>
        <v>0</v>
      </c>
      <c r="T25" s="694">
        <f>Inputs!M31*12</f>
        <v>0</v>
      </c>
      <c r="U25" s="409"/>
      <c r="V25" s="406"/>
      <c r="W25" s="409"/>
      <c r="X25" s="406"/>
      <c r="Y25" s="401"/>
      <c r="Z25" s="410"/>
      <c r="AA25" s="406"/>
      <c r="AB25" s="409"/>
      <c r="AC25" s="406"/>
      <c r="AD25" s="409"/>
      <c r="AE25" s="406"/>
      <c r="AF25" s="409"/>
      <c r="AG25" s="406"/>
      <c r="AH25" s="409"/>
      <c r="AI25" s="406"/>
      <c r="AJ25" s="409"/>
      <c r="AK25" s="406"/>
      <c r="AL25" s="409"/>
      <c r="AM25" s="406"/>
      <c r="AN25" s="409"/>
      <c r="AO25" s="406"/>
      <c r="AP25" s="409"/>
      <c r="AQ25" s="406"/>
      <c r="AR25" s="409"/>
      <c r="AS25" s="406"/>
    </row>
    <row r="26" spans="2:141" ht="18" customHeight="1" x14ac:dyDescent="0.2">
      <c r="B26" s="325" t="str">
        <f>'Input Financeiro atual'!B36</f>
        <v>Manutenção de maquinário</v>
      </c>
      <c r="C26" s="681" t="s">
        <v>18</v>
      </c>
      <c r="D26" s="694">
        <f>Inputs!E32</f>
        <v>0</v>
      </c>
      <c r="E26" s="694">
        <f>Inputs!$E32</f>
        <v>0</v>
      </c>
      <c r="F26" s="694">
        <f>Inputs!$E32</f>
        <v>0</v>
      </c>
      <c r="G26" s="694">
        <f>Inputs!$F32</f>
        <v>0</v>
      </c>
      <c r="H26" s="694">
        <f>Inputs!$F32</f>
        <v>0</v>
      </c>
      <c r="I26" s="694">
        <f>Inputs!$F32</f>
        <v>0</v>
      </c>
      <c r="J26" s="694">
        <f>Inputs!$G32</f>
        <v>0</v>
      </c>
      <c r="K26" s="694">
        <f>Inputs!$G32</f>
        <v>0</v>
      </c>
      <c r="L26" s="694">
        <f>Inputs!$G32</f>
        <v>0</v>
      </c>
      <c r="M26" s="694">
        <f>Inputs!$H32</f>
        <v>0</v>
      </c>
      <c r="N26" s="694">
        <f>Inputs!$H32</f>
        <v>0</v>
      </c>
      <c r="O26" s="694">
        <f>Inputs!$H32</f>
        <v>0</v>
      </c>
      <c r="P26" s="689">
        <f>SUM(D26:O26)</f>
        <v>0</v>
      </c>
      <c r="Q26" s="694">
        <f>Inputs!J32*12</f>
        <v>0</v>
      </c>
      <c r="R26" s="694">
        <f>Inputs!K32*12</f>
        <v>0</v>
      </c>
      <c r="S26" s="694">
        <f>Inputs!L32*12</f>
        <v>0</v>
      </c>
      <c r="T26" s="694">
        <f>Inputs!M32*12</f>
        <v>0</v>
      </c>
      <c r="U26" s="409"/>
      <c r="V26" s="406"/>
      <c r="W26" s="409"/>
      <c r="X26" s="406"/>
      <c r="Y26" s="401"/>
      <c r="Z26" s="410"/>
      <c r="AA26" s="406"/>
      <c r="AB26" s="409"/>
      <c r="AC26" s="406"/>
      <c r="AD26" s="409"/>
      <c r="AE26" s="406"/>
      <c r="AF26" s="409"/>
      <c r="AG26" s="406"/>
      <c r="AH26" s="409"/>
      <c r="AI26" s="406"/>
      <c r="AJ26" s="409"/>
      <c r="AK26" s="406"/>
      <c r="AL26" s="409"/>
      <c r="AM26" s="406"/>
      <c r="AN26" s="409"/>
      <c r="AO26" s="406"/>
      <c r="AP26" s="409"/>
      <c r="AQ26" s="406"/>
      <c r="AR26" s="409"/>
      <c r="AS26" s="406"/>
    </row>
    <row r="27" spans="2:141" ht="18" customHeight="1" x14ac:dyDescent="0.2">
      <c r="B27" s="325" t="str">
        <f>'Input Financeiro atual'!B37</f>
        <v>Arrendamento de terra para o leite</v>
      </c>
      <c r="C27" s="681" t="s">
        <v>18</v>
      </c>
      <c r="D27" s="694">
        <f>Inputs!E33</f>
        <v>0</v>
      </c>
      <c r="E27" s="694">
        <f>Inputs!$E33</f>
        <v>0</v>
      </c>
      <c r="F27" s="694">
        <f>Inputs!$E33</f>
        <v>0</v>
      </c>
      <c r="G27" s="694">
        <f>Inputs!$F33</f>
        <v>0</v>
      </c>
      <c r="H27" s="694">
        <f>Inputs!$F33</f>
        <v>0</v>
      </c>
      <c r="I27" s="694">
        <f>Inputs!$F33</f>
        <v>0</v>
      </c>
      <c r="J27" s="694">
        <f>Inputs!$G33</f>
        <v>0</v>
      </c>
      <c r="K27" s="694">
        <f>Inputs!$G33</f>
        <v>0</v>
      </c>
      <c r="L27" s="694">
        <f>Inputs!$G33</f>
        <v>0</v>
      </c>
      <c r="M27" s="694">
        <f>Inputs!$H33</f>
        <v>0</v>
      </c>
      <c r="N27" s="694">
        <f>Inputs!$H33</f>
        <v>0</v>
      </c>
      <c r="O27" s="694">
        <f>Inputs!$H33</f>
        <v>0</v>
      </c>
      <c r="P27" s="689">
        <f t="shared" si="5"/>
        <v>0</v>
      </c>
      <c r="Q27" s="694">
        <f>Inputs!J33*12</f>
        <v>0</v>
      </c>
      <c r="R27" s="694">
        <f>Inputs!K33*12</f>
        <v>0</v>
      </c>
      <c r="S27" s="694">
        <f>Inputs!L33*12</f>
        <v>0</v>
      </c>
      <c r="T27" s="694">
        <f>Inputs!M33*12</f>
        <v>0</v>
      </c>
      <c r="U27" s="400"/>
      <c r="V27" s="400"/>
      <c r="W27" s="400"/>
      <c r="X27" s="400"/>
      <c r="Y27" s="402"/>
      <c r="Z27" s="403"/>
      <c r="AA27" s="400"/>
      <c r="AB27" s="403"/>
      <c r="AC27" s="400"/>
      <c r="AD27" s="400"/>
      <c r="AE27" s="400"/>
      <c r="AF27" s="400"/>
      <c r="AG27" s="400"/>
      <c r="AH27" s="400"/>
      <c r="AI27" s="400"/>
      <c r="AJ27" s="400"/>
      <c r="AK27" s="400"/>
      <c r="AL27" s="400"/>
      <c r="AM27" s="400"/>
      <c r="AN27" s="400"/>
      <c r="AO27" s="400"/>
      <c r="AP27" s="400"/>
      <c r="AQ27" s="400"/>
      <c r="AR27" s="400"/>
      <c r="AS27" s="400"/>
    </row>
    <row r="28" spans="2:141" ht="18" customHeight="1" x14ac:dyDescent="0.2">
      <c r="B28" s="325" t="str">
        <f>'Input Financeiro atual'!B38</f>
        <v>Depreciação</v>
      </c>
      <c r="C28" s="681" t="s">
        <v>18</v>
      </c>
      <c r="D28" s="694">
        <f>Inputs!E34</f>
        <v>0</v>
      </c>
      <c r="E28" s="694">
        <f>Inputs!$E34</f>
        <v>0</v>
      </c>
      <c r="F28" s="694">
        <f>Inputs!$E34</f>
        <v>0</v>
      </c>
      <c r="G28" s="694">
        <f>Inputs!$F34</f>
        <v>0</v>
      </c>
      <c r="H28" s="694">
        <f>Inputs!$F34</f>
        <v>0</v>
      </c>
      <c r="I28" s="694">
        <f>Inputs!$F34</f>
        <v>0</v>
      </c>
      <c r="J28" s="694">
        <f>Inputs!$G34</f>
        <v>0</v>
      </c>
      <c r="K28" s="694">
        <f>Inputs!$G34</f>
        <v>0</v>
      </c>
      <c r="L28" s="694">
        <f>Inputs!$G34</f>
        <v>0</v>
      </c>
      <c r="M28" s="694">
        <f>Inputs!$H34</f>
        <v>0</v>
      </c>
      <c r="N28" s="694">
        <f>Inputs!$H34</f>
        <v>0</v>
      </c>
      <c r="O28" s="694">
        <f>Inputs!$H34</f>
        <v>0</v>
      </c>
      <c r="P28" s="689">
        <f>SUM(D28:O28)</f>
        <v>0</v>
      </c>
      <c r="Q28" s="694">
        <f>Inputs!J34*12</f>
        <v>0</v>
      </c>
      <c r="R28" s="694">
        <f>Inputs!K34*12</f>
        <v>0</v>
      </c>
      <c r="S28" s="694">
        <f>Inputs!L34*12</f>
        <v>0</v>
      </c>
      <c r="T28" s="694">
        <f>Inputs!M34*12</f>
        <v>0</v>
      </c>
      <c r="U28" s="400"/>
      <c r="V28" s="400"/>
      <c r="W28" s="400"/>
      <c r="X28" s="400"/>
      <c r="Y28" s="402"/>
      <c r="Z28" s="403"/>
      <c r="AA28" s="400"/>
      <c r="AB28" s="403"/>
      <c r="AC28" s="400"/>
      <c r="AD28" s="400"/>
      <c r="AE28" s="400"/>
      <c r="AF28" s="400"/>
      <c r="AG28" s="400"/>
      <c r="AH28" s="400"/>
      <c r="AI28" s="400"/>
      <c r="AJ28" s="400"/>
      <c r="AK28" s="400"/>
      <c r="AL28" s="400"/>
      <c r="AM28" s="400"/>
      <c r="AN28" s="400"/>
      <c r="AO28" s="400"/>
      <c r="AP28" s="400"/>
      <c r="AQ28" s="400"/>
      <c r="AR28" s="400"/>
      <c r="AS28" s="400"/>
    </row>
    <row r="29" spans="2:141" ht="18" customHeight="1" x14ac:dyDescent="0.2">
      <c r="B29" s="325" t="str">
        <f>'Input Financeiro atual'!B39</f>
        <v>Outras despesas</v>
      </c>
      <c r="C29" s="681" t="s">
        <v>18</v>
      </c>
      <c r="D29" s="694">
        <f>Inputs!$E35</f>
        <v>0</v>
      </c>
      <c r="E29" s="694">
        <f>Inputs!$E35</f>
        <v>0</v>
      </c>
      <c r="F29" s="694">
        <f>Inputs!$E35</f>
        <v>0</v>
      </c>
      <c r="G29" s="694">
        <f>Inputs!$E35</f>
        <v>0</v>
      </c>
      <c r="H29" s="694">
        <f>Inputs!$E35</f>
        <v>0</v>
      </c>
      <c r="I29" s="694">
        <f>Inputs!$E35</f>
        <v>0</v>
      </c>
      <c r="J29" s="694">
        <f>Inputs!$E35</f>
        <v>0</v>
      </c>
      <c r="K29" s="694">
        <f>Inputs!$E35</f>
        <v>0</v>
      </c>
      <c r="L29" s="694">
        <f>Inputs!$E35</f>
        <v>0</v>
      </c>
      <c r="M29" s="694">
        <f>Inputs!$E35</f>
        <v>0</v>
      </c>
      <c r="N29" s="694">
        <f>Inputs!$E35</f>
        <v>0</v>
      </c>
      <c r="O29" s="694">
        <f>Inputs!$E35</f>
        <v>0</v>
      </c>
      <c r="P29" s="689">
        <f>SUM(D29:O29)</f>
        <v>0</v>
      </c>
      <c r="Q29" s="694">
        <f>Inputs!J35*12</f>
        <v>0</v>
      </c>
      <c r="R29" s="694">
        <f>Inputs!K35*12</f>
        <v>0</v>
      </c>
      <c r="S29" s="694">
        <f>Inputs!L35*12</f>
        <v>0</v>
      </c>
      <c r="T29" s="694">
        <f>Inputs!M35*12</f>
        <v>0</v>
      </c>
      <c r="U29" s="400"/>
      <c r="V29" s="400"/>
      <c r="W29" s="400"/>
      <c r="X29" s="400"/>
      <c r="Y29" s="402"/>
      <c r="Z29" s="403"/>
      <c r="AA29" s="400"/>
      <c r="AB29" s="403"/>
      <c r="AC29" s="400"/>
      <c r="AD29" s="400"/>
      <c r="AE29" s="400"/>
      <c r="AF29" s="400"/>
      <c r="AG29" s="400"/>
      <c r="AH29" s="400"/>
      <c r="AI29" s="400"/>
      <c r="AJ29" s="400"/>
      <c r="AK29" s="400"/>
      <c r="AL29" s="400"/>
      <c r="AM29" s="400"/>
      <c r="AN29" s="400"/>
      <c r="AO29" s="400"/>
      <c r="AP29" s="400"/>
      <c r="AQ29" s="400"/>
      <c r="AR29" s="400"/>
      <c r="AS29" s="400"/>
    </row>
    <row r="30" spans="2:141" ht="18" customHeight="1" x14ac:dyDescent="0.2">
      <c r="B30" s="325" t="str">
        <f>'Input Financeiro atual'!B40</f>
        <v>Impostos de produção</v>
      </c>
      <c r="C30" s="681" t="s">
        <v>18</v>
      </c>
      <c r="D30" s="694">
        <f>Inputs!$E36</f>
        <v>0</v>
      </c>
      <c r="E30" s="694">
        <f>Inputs!$E36</f>
        <v>0</v>
      </c>
      <c r="F30" s="694">
        <f>Inputs!$E36</f>
        <v>0</v>
      </c>
      <c r="G30" s="694">
        <f>Inputs!$E36</f>
        <v>0</v>
      </c>
      <c r="H30" s="694">
        <f>Inputs!$E36</f>
        <v>0</v>
      </c>
      <c r="I30" s="694">
        <f>Inputs!$E36</f>
        <v>0</v>
      </c>
      <c r="J30" s="694">
        <f>Inputs!$E36</f>
        <v>0</v>
      </c>
      <c r="K30" s="694">
        <f>Inputs!$E36</f>
        <v>0</v>
      </c>
      <c r="L30" s="694">
        <f>Inputs!$E36</f>
        <v>0</v>
      </c>
      <c r="M30" s="694">
        <f>Inputs!$E36</f>
        <v>0</v>
      </c>
      <c r="N30" s="694">
        <f>Inputs!$E36</f>
        <v>0</v>
      </c>
      <c r="O30" s="694">
        <f>Inputs!$E36</f>
        <v>0</v>
      </c>
      <c r="P30" s="689">
        <f>SUM(D30:O30)</f>
        <v>0</v>
      </c>
      <c r="Q30" s="694">
        <f>Inputs!J36*12</f>
        <v>0</v>
      </c>
      <c r="R30" s="694">
        <f>Inputs!K36*12</f>
        <v>0</v>
      </c>
      <c r="S30" s="694">
        <f>Inputs!L36*12</f>
        <v>0</v>
      </c>
      <c r="T30" s="694">
        <f>Inputs!M36*12</f>
        <v>0</v>
      </c>
      <c r="U30" s="400"/>
      <c r="V30" s="400"/>
      <c r="W30" s="400"/>
      <c r="X30" s="400"/>
      <c r="Y30" s="402"/>
      <c r="Z30" s="403"/>
      <c r="AA30" s="400"/>
      <c r="AB30" s="403"/>
      <c r="AC30" s="400"/>
      <c r="AD30" s="400"/>
      <c r="AE30" s="400"/>
      <c r="AF30" s="400"/>
      <c r="AG30" s="400"/>
      <c r="AH30" s="400"/>
      <c r="AI30" s="400"/>
      <c r="AJ30" s="400"/>
      <c r="AK30" s="400"/>
      <c r="AL30" s="400"/>
      <c r="AM30" s="400"/>
      <c r="AN30" s="400"/>
      <c r="AO30" s="400"/>
      <c r="AP30" s="400"/>
      <c r="AQ30" s="400"/>
      <c r="AR30" s="400"/>
      <c r="AS30" s="400"/>
    </row>
    <row r="31" spans="2:141" ht="18" customHeight="1" x14ac:dyDescent="0.2">
      <c r="B31" s="326" t="s">
        <v>483</v>
      </c>
      <c r="C31" s="683" t="s">
        <v>18</v>
      </c>
      <c r="D31" s="692" t="e">
        <f t="shared" ref="D31:T31" si="6">SUM(D17:D30)</f>
        <v>#DIV/0!</v>
      </c>
      <c r="E31" s="692" t="e">
        <f t="shared" si="6"/>
        <v>#DIV/0!</v>
      </c>
      <c r="F31" s="692" t="e">
        <f t="shared" si="6"/>
        <v>#DIV/0!</v>
      </c>
      <c r="G31" s="692" t="e">
        <f t="shared" si="6"/>
        <v>#DIV/0!</v>
      </c>
      <c r="H31" s="692" t="e">
        <f t="shared" si="6"/>
        <v>#DIV/0!</v>
      </c>
      <c r="I31" s="692" t="e">
        <f t="shared" si="6"/>
        <v>#DIV/0!</v>
      </c>
      <c r="J31" s="692" t="e">
        <f t="shared" si="6"/>
        <v>#DIV/0!</v>
      </c>
      <c r="K31" s="692" t="e">
        <f t="shared" si="6"/>
        <v>#DIV/0!</v>
      </c>
      <c r="L31" s="692" t="e">
        <f t="shared" si="6"/>
        <v>#DIV/0!</v>
      </c>
      <c r="M31" s="692" t="e">
        <f t="shared" si="6"/>
        <v>#DIV/0!</v>
      </c>
      <c r="N31" s="692" t="e">
        <f t="shared" si="6"/>
        <v>#DIV/0!</v>
      </c>
      <c r="O31" s="692" t="e">
        <f t="shared" si="6"/>
        <v>#DIV/0!</v>
      </c>
      <c r="P31" s="692" t="e">
        <f t="shared" si="6"/>
        <v>#DIV/0!</v>
      </c>
      <c r="Q31" s="692" t="e">
        <f t="shared" si="6"/>
        <v>#DIV/0!</v>
      </c>
      <c r="R31" s="692" t="e">
        <f t="shared" si="6"/>
        <v>#DIV/0!</v>
      </c>
      <c r="S31" s="692" t="e">
        <f t="shared" si="6"/>
        <v>#DIV/0!</v>
      </c>
      <c r="T31" s="692" t="e">
        <f t="shared" si="6"/>
        <v>#DIV/0!</v>
      </c>
      <c r="U31" s="399"/>
      <c r="V31" s="399"/>
      <c r="W31" s="399"/>
      <c r="X31" s="399"/>
      <c r="Y31" s="411"/>
      <c r="Z31" s="399"/>
      <c r="AA31" s="399"/>
      <c r="AB31" s="399"/>
      <c r="AC31" s="399"/>
      <c r="AD31" s="399"/>
      <c r="AE31" s="399"/>
      <c r="AF31" s="399"/>
      <c r="AG31" s="399"/>
      <c r="AH31" s="399"/>
      <c r="AI31" s="399"/>
      <c r="AJ31" s="399"/>
      <c r="AK31" s="399"/>
      <c r="AL31" s="399"/>
      <c r="AM31" s="399"/>
      <c r="AN31" s="399"/>
      <c r="AO31" s="399"/>
      <c r="AP31" s="399"/>
      <c r="AQ31" s="399"/>
      <c r="AR31" s="399"/>
      <c r="AS31" s="399"/>
    </row>
    <row r="32" spans="2:141" ht="18" customHeight="1" x14ac:dyDescent="0.2">
      <c r="B32" s="327" t="s">
        <v>484</v>
      </c>
      <c r="C32" s="684" t="s">
        <v>18</v>
      </c>
      <c r="D32" s="695" t="e">
        <f>D16-D31</f>
        <v>#DIV/0!</v>
      </c>
      <c r="E32" s="695" t="e">
        <f t="shared" ref="E32:O32" si="7">E16-E31</f>
        <v>#DIV/0!</v>
      </c>
      <c r="F32" s="695" t="e">
        <f t="shared" si="7"/>
        <v>#DIV/0!</v>
      </c>
      <c r="G32" s="695" t="e">
        <f t="shared" si="7"/>
        <v>#DIV/0!</v>
      </c>
      <c r="H32" s="695" t="e">
        <f t="shared" si="7"/>
        <v>#DIV/0!</v>
      </c>
      <c r="I32" s="695" t="e">
        <f t="shared" si="7"/>
        <v>#DIV/0!</v>
      </c>
      <c r="J32" s="695" t="e">
        <f t="shared" si="7"/>
        <v>#DIV/0!</v>
      </c>
      <c r="K32" s="695" t="e">
        <f t="shared" si="7"/>
        <v>#DIV/0!</v>
      </c>
      <c r="L32" s="695" t="e">
        <f t="shared" si="7"/>
        <v>#DIV/0!</v>
      </c>
      <c r="M32" s="695" t="e">
        <f t="shared" si="7"/>
        <v>#DIV/0!</v>
      </c>
      <c r="N32" s="695" t="e">
        <f t="shared" si="7"/>
        <v>#DIV/0!</v>
      </c>
      <c r="O32" s="695" t="e">
        <f t="shared" si="7"/>
        <v>#DIV/0!</v>
      </c>
      <c r="P32" s="695" t="e">
        <f>P15+P12-P31</f>
        <v>#DIV/0!</v>
      </c>
      <c r="Q32" s="695" t="e">
        <f>Q15+Q12-Q31</f>
        <v>#DIV/0!</v>
      </c>
      <c r="R32" s="695" t="e">
        <f>R15+R12-R31</f>
        <v>#DIV/0!</v>
      </c>
      <c r="S32" s="695" t="e">
        <f>S15+S12-S31</f>
        <v>#DIV/0!</v>
      </c>
      <c r="T32" s="695" t="e">
        <f>T15+T12-T31</f>
        <v>#DIV/0!</v>
      </c>
      <c r="U32" s="412"/>
      <c r="V32" s="401"/>
      <c r="W32" s="412"/>
      <c r="X32" s="401"/>
      <c r="Y32" s="412"/>
      <c r="Z32" s="413"/>
      <c r="AA32" s="401"/>
      <c r="AB32" s="413"/>
      <c r="AC32" s="401"/>
      <c r="AD32" s="412"/>
      <c r="AE32" s="401"/>
      <c r="AF32" s="412"/>
      <c r="AG32" s="401"/>
      <c r="AH32" s="412"/>
      <c r="AI32" s="401"/>
      <c r="AJ32" s="412"/>
      <c r="AK32" s="401"/>
      <c r="AL32" s="412"/>
      <c r="AM32" s="401"/>
      <c r="AN32" s="412"/>
      <c r="AO32" s="401"/>
      <c r="AP32" s="412"/>
      <c r="AQ32" s="401"/>
      <c r="AR32" s="412"/>
      <c r="AS32" s="401"/>
    </row>
    <row r="33" spans="18:19" ht="18" customHeight="1" x14ac:dyDescent="0.2">
      <c r="R33" s="295"/>
      <c r="S33" s="295"/>
    </row>
    <row r="34" spans="18:19" ht="18" customHeight="1" x14ac:dyDescent="0.2">
      <c r="R34" s="295"/>
      <c r="S34" s="295"/>
    </row>
  </sheetData>
  <sheetProtection password="8826" sheet="1" objects="1" scenarios="1"/>
  <mergeCells count="7">
    <mergeCell ref="R4:R5"/>
    <mergeCell ref="S4:S5"/>
    <mergeCell ref="T4:T5"/>
    <mergeCell ref="B4:B5"/>
    <mergeCell ref="C4:C5"/>
    <mergeCell ref="D4:P4"/>
    <mergeCell ref="Q4:Q5"/>
  </mergeCells>
  <pageMargins left="0.511811024" right="0.511811024" top="0.78740157499999996" bottom="0.78740157499999996" header="0.31496062000000002" footer="0.31496062000000002"/>
  <pageSetup paperSize="9" orientation="landscape" horizontalDpi="0" verticalDpi="0"/>
  <ignoredErrors>
    <ignoredError sqref="H10 E10 N10 L10 P11 P15" formula="1"/>
  </ignoredErrors>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enableFormatConditionsCalculation="0">
    <tabColor theme="8" tint="0.499984740745262"/>
  </sheetPr>
  <dimension ref="A1:EV33"/>
  <sheetViews>
    <sheetView zoomScale="90" zoomScaleNormal="90" zoomScalePageLayoutView="90" workbookViewId="0">
      <pane xSplit="3" ySplit="6" topLeftCell="D7" activePane="bottomRight" state="frozen"/>
      <selection pane="topRight"/>
      <selection pane="bottomLeft"/>
      <selection pane="bottomRight" activeCell="M36" sqref="M36"/>
    </sheetView>
  </sheetViews>
  <sheetFormatPr baseColWidth="10" defaultColWidth="12.5" defaultRowHeight="14" x14ac:dyDescent="0.2"/>
  <cols>
    <col min="1" max="1" width="2.33203125" style="174" customWidth="1"/>
    <col min="2" max="2" width="36.33203125" style="174" customWidth="1"/>
    <col min="3" max="27" width="11.5" style="342" customWidth="1"/>
    <col min="28" max="28" width="11.5" style="174" customWidth="1"/>
    <col min="29" max="29" width="14.6640625" style="613" customWidth="1"/>
    <col min="30" max="30" width="21" style="613" customWidth="1"/>
    <col min="31" max="31" width="10.33203125" style="613" customWidth="1"/>
    <col min="32" max="32" width="8.5" style="613" customWidth="1"/>
    <col min="33" max="33" width="9.5" style="613" customWidth="1"/>
    <col min="34" max="34" width="7.33203125" style="613" customWidth="1"/>
    <col min="35" max="35" width="0.5" style="613" hidden="1" customWidth="1"/>
    <col min="36" max="55" width="8.33203125" style="613" customWidth="1"/>
    <col min="56" max="97" width="10.5" style="613" customWidth="1"/>
    <col min="98" max="16384" width="12.5" style="613"/>
  </cols>
  <sheetData>
    <row r="1" spans="1:152" x14ac:dyDescent="0.2">
      <c r="A1" s="605"/>
      <c r="C1" s="245"/>
      <c r="D1" s="245"/>
      <c r="E1" s="245"/>
      <c r="F1" s="245"/>
      <c r="G1" s="245"/>
      <c r="H1" s="245"/>
      <c r="I1" s="245"/>
      <c r="J1" s="245"/>
      <c r="K1" s="245"/>
      <c r="L1" s="245"/>
      <c r="M1" s="245"/>
      <c r="N1" s="245"/>
      <c r="O1" s="245"/>
      <c r="P1" s="368"/>
      <c r="Q1" s="1193"/>
      <c r="R1" s="607"/>
      <c r="S1" s="607"/>
      <c r="T1" s="607"/>
      <c r="U1" s="607"/>
      <c r="V1" s="607"/>
      <c r="W1" s="607"/>
      <c r="X1" s="607"/>
      <c r="AC1" s="174"/>
    </row>
    <row r="2" spans="1:152" x14ac:dyDescent="0.2">
      <c r="C2" s="245"/>
      <c r="D2" s="245"/>
      <c r="E2" s="245"/>
      <c r="F2" s="245"/>
      <c r="G2" s="245"/>
      <c r="H2" s="245"/>
      <c r="I2" s="245"/>
      <c r="J2" s="245"/>
      <c r="K2" s="245"/>
      <c r="L2" s="245"/>
      <c r="M2" s="245"/>
      <c r="N2" s="245"/>
      <c r="O2" s="245"/>
      <c r="P2" s="368"/>
      <c r="Q2" s="1193"/>
      <c r="R2" s="607"/>
      <c r="S2" s="607"/>
      <c r="T2" s="607"/>
      <c r="U2" s="607"/>
      <c r="V2" s="607"/>
      <c r="W2" s="607"/>
      <c r="X2" s="607"/>
      <c r="AC2" s="174"/>
    </row>
    <row r="3" spans="1:152" x14ac:dyDescent="0.2">
      <c r="C3" s="245"/>
      <c r="D3" s="245"/>
      <c r="E3" s="245"/>
      <c r="F3" s="245"/>
      <c r="G3" s="245"/>
      <c r="H3" s="245"/>
      <c r="I3" s="245"/>
      <c r="J3" s="245"/>
      <c r="K3" s="245"/>
      <c r="L3" s="245"/>
      <c r="M3" s="245"/>
      <c r="N3" s="245"/>
      <c r="O3" s="245"/>
      <c r="P3" s="368"/>
      <c r="Q3" s="1193"/>
      <c r="R3" s="607"/>
      <c r="S3" s="607"/>
      <c r="T3" s="607"/>
      <c r="U3" s="607"/>
      <c r="V3" s="607"/>
      <c r="W3" s="607"/>
      <c r="X3" s="607"/>
      <c r="AC3" s="174"/>
    </row>
    <row r="4" spans="1:152" x14ac:dyDescent="0.2">
      <c r="B4" s="369"/>
      <c r="C4" s="245"/>
      <c r="D4" s="245"/>
      <c r="E4" s="245"/>
      <c r="F4" s="245"/>
      <c r="G4" s="245"/>
      <c r="H4" s="245"/>
      <c r="I4" s="245"/>
      <c r="J4" s="245"/>
      <c r="K4" s="245"/>
      <c r="L4" s="245"/>
      <c r="M4" s="245"/>
      <c r="N4" s="245"/>
      <c r="O4" s="245"/>
      <c r="P4" s="368"/>
      <c r="Q4" s="1193"/>
      <c r="R4" s="607"/>
      <c r="S4" s="607"/>
      <c r="T4" s="607"/>
      <c r="U4" s="607"/>
      <c r="V4" s="607"/>
      <c r="W4" s="607"/>
      <c r="X4" s="607"/>
      <c r="Y4" s="370"/>
      <c r="Z4" s="370"/>
      <c r="AA4" s="371"/>
      <c r="AC4" s="369"/>
      <c r="AD4" s="614"/>
      <c r="AE4" s="372"/>
      <c r="AF4" s="372"/>
      <c r="AG4" s="372"/>
      <c r="AH4" s="372"/>
      <c r="AI4" s="372"/>
      <c r="AJ4" s="615"/>
      <c r="AK4" s="372"/>
      <c r="AL4" s="615"/>
      <c r="AM4" s="372"/>
      <c r="AN4" s="372"/>
      <c r="AO4" s="372"/>
      <c r="AP4" s="372"/>
      <c r="AQ4" s="372"/>
      <c r="AR4" s="372"/>
      <c r="AS4" s="372"/>
      <c r="AT4" s="372"/>
      <c r="AU4" s="372"/>
      <c r="AV4" s="372"/>
      <c r="AW4" s="372"/>
      <c r="AX4" s="372"/>
      <c r="AY4" s="372"/>
      <c r="AZ4" s="372"/>
      <c r="BA4" s="372"/>
      <c r="BB4" s="372"/>
      <c r="BC4" s="372"/>
    </row>
    <row r="5" spans="1:152" x14ac:dyDescent="0.2">
      <c r="B5" s="1191" t="s">
        <v>412</v>
      </c>
      <c r="C5" s="1158" t="s">
        <v>37</v>
      </c>
      <c r="D5" s="1194" t="s">
        <v>381</v>
      </c>
      <c r="E5" s="1194"/>
      <c r="F5" s="1158" t="s">
        <v>382</v>
      </c>
      <c r="G5" s="1158"/>
      <c r="H5" s="1194" t="s">
        <v>383</v>
      </c>
      <c r="I5" s="1194"/>
      <c r="J5" s="1194" t="s">
        <v>384</v>
      </c>
      <c r="K5" s="1194"/>
      <c r="L5" s="1194" t="s">
        <v>385</v>
      </c>
      <c r="M5" s="1194"/>
      <c r="N5" s="1194" t="s">
        <v>386</v>
      </c>
      <c r="O5" s="1194"/>
      <c r="P5" s="1194" t="s">
        <v>387</v>
      </c>
      <c r="Q5" s="1194"/>
      <c r="R5" s="1194" t="s">
        <v>388</v>
      </c>
      <c r="S5" s="1194"/>
      <c r="T5" s="1194" t="s">
        <v>389</v>
      </c>
      <c r="U5" s="1194"/>
      <c r="V5" s="1194" t="s">
        <v>390</v>
      </c>
      <c r="W5" s="1194"/>
      <c r="X5" s="1194" t="s">
        <v>391</v>
      </c>
      <c r="Y5" s="1194"/>
      <c r="Z5" s="1158" t="s">
        <v>392</v>
      </c>
      <c r="AA5" s="1158"/>
      <c r="AB5" s="1158" t="s">
        <v>416</v>
      </c>
      <c r="AC5" s="1158"/>
      <c r="AD5" s="369"/>
      <c r="AE5" s="614"/>
      <c r="AF5" s="616"/>
      <c r="AG5" s="616"/>
      <c r="AH5" s="616"/>
      <c r="AI5" s="616"/>
      <c r="AJ5" s="616"/>
      <c r="AK5" s="617"/>
      <c r="AL5" s="616"/>
      <c r="AM5" s="617"/>
      <c r="AN5" s="616"/>
      <c r="AO5" s="616"/>
      <c r="AP5" s="616"/>
      <c r="AQ5" s="616"/>
      <c r="AR5" s="616"/>
      <c r="AS5" s="616"/>
      <c r="AT5" s="616"/>
      <c r="AU5" s="616"/>
      <c r="AV5" s="616"/>
      <c r="AW5" s="616"/>
      <c r="AX5" s="616"/>
      <c r="AY5" s="616"/>
      <c r="AZ5" s="616"/>
      <c r="BA5" s="616"/>
      <c r="BB5" s="616"/>
      <c r="BC5" s="616"/>
      <c r="BD5" s="616"/>
    </row>
    <row r="6" spans="1:152" x14ac:dyDescent="0.2">
      <c r="B6" s="1192"/>
      <c r="C6" s="1158"/>
      <c r="D6" s="608" t="s">
        <v>417</v>
      </c>
      <c r="E6" s="608" t="s">
        <v>418</v>
      </c>
      <c r="F6" s="608" t="s">
        <v>417</v>
      </c>
      <c r="G6" s="608" t="s">
        <v>418</v>
      </c>
      <c r="H6" s="608" t="s">
        <v>417</v>
      </c>
      <c r="I6" s="608" t="s">
        <v>418</v>
      </c>
      <c r="J6" s="608" t="s">
        <v>417</v>
      </c>
      <c r="K6" s="608" t="s">
        <v>418</v>
      </c>
      <c r="L6" s="608" t="s">
        <v>417</v>
      </c>
      <c r="M6" s="608" t="s">
        <v>418</v>
      </c>
      <c r="N6" s="608" t="s">
        <v>417</v>
      </c>
      <c r="O6" s="608" t="s">
        <v>418</v>
      </c>
      <c r="P6" s="608" t="s">
        <v>417</v>
      </c>
      <c r="Q6" s="608" t="s">
        <v>418</v>
      </c>
      <c r="R6" s="608" t="s">
        <v>417</v>
      </c>
      <c r="S6" s="608" t="s">
        <v>418</v>
      </c>
      <c r="T6" s="608" t="s">
        <v>417</v>
      </c>
      <c r="U6" s="608" t="s">
        <v>418</v>
      </c>
      <c r="V6" s="608" t="s">
        <v>417</v>
      </c>
      <c r="W6" s="608" t="s">
        <v>418</v>
      </c>
      <c r="X6" s="608" t="s">
        <v>417</v>
      </c>
      <c r="Y6" s="608" t="s">
        <v>418</v>
      </c>
      <c r="Z6" s="608" t="s">
        <v>417</v>
      </c>
      <c r="AA6" s="608" t="s">
        <v>418</v>
      </c>
      <c r="AB6" s="608" t="s">
        <v>417</v>
      </c>
      <c r="AC6" s="608" t="s">
        <v>418</v>
      </c>
      <c r="AD6" s="369"/>
      <c r="AE6" s="614"/>
      <c r="AF6" s="616"/>
      <c r="AG6" s="616"/>
      <c r="AH6" s="616"/>
      <c r="AI6" s="616"/>
      <c r="AJ6" s="616"/>
      <c r="AK6" s="617"/>
      <c r="AL6" s="616"/>
      <c r="AM6" s="617"/>
      <c r="AN6" s="616"/>
      <c r="AO6" s="616"/>
      <c r="AP6" s="616"/>
      <c r="AQ6" s="616"/>
      <c r="AR6" s="616"/>
      <c r="AS6" s="616"/>
      <c r="AT6" s="616"/>
      <c r="AU6" s="616"/>
      <c r="AV6" s="616"/>
      <c r="AW6" s="616"/>
      <c r="AX6" s="616"/>
      <c r="AY6" s="616"/>
      <c r="AZ6" s="616"/>
      <c r="BA6" s="616"/>
      <c r="BB6" s="616"/>
      <c r="BC6" s="616"/>
      <c r="BD6" s="616"/>
    </row>
    <row r="7" spans="1:152" x14ac:dyDescent="0.2">
      <c r="B7" s="373" t="str">
        <f>Orçamento!B6</f>
        <v>Vacas em lactação</v>
      </c>
      <c r="C7" s="328" t="str">
        <f>Orçamento!C6</f>
        <v>№</v>
      </c>
      <c r="D7" s="374">
        <f>Orçamento!D6</f>
        <v>0</v>
      </c>
      <c r="E7" s="1246"/>
      <c r="F7" s="374">
        <f>Orçamento!E6</f>
        <v>0</v>
      </c>
      <c r="G7" s="1246"/>
      <c r="H7" s="374">
        <f>Orçamento!F6</f>
        <v>0</v>
      </c>
      <c r="I7" s="1246"/>
      <c r="J7" s="374">
        <f>Orçamento!G6</f>
        <v>0</v>
      </c>
      <c r="K7" s="1246"/>
      <c r="L7" s="374">
        <f>Orçamento!H6</f>
        <v>0</v>
      </c>
      <c r="M7" s="1246"/>
      <c r="N7" s="374">
        <f>Orçamento!I6</f>
        <v>0</v>
      </c>
      <c r="O7" s="1246"/>
      <c r="P7" s="374" t="e">
        <f>Orçamento!J6</f>
        <v>#DIV/0!</v>
      </c>
      <c r="Q7" s="1246"/>
      <c r="R7" s="374" t="e">
        <f>Orçamento!K6</f>
        <v>#DIV/0!</v>
      </c>
      <c r="S7" s="1246"/>
      <c r="T7" s="374" t="e">
        <f>Orçamento!L6</f>
        <v>#DIV/0!</v>
      </c>
      <c r="U7" s="1246"/>
      <c r="V7" s="374" t="e">
        <f>Orçamento!M6</f>
        <v>#DIV/0!</v>
      </c>
      <c r="W7" s="1246"/>
      <c r="X7" s="374" t="e">
        <f>Orçamento!N6</f>
        <v>#DIV/0!</v>
      </c>
      <c r="Y7" s="1246"/>
      <c r="Z7" s="374" t="e">
        <f>Orçamento!O6</f>
        <v>#DIV/0!</v>
      </c>
      <c r="AA7" s="1246"/>
      <c r="AB7" s="375" t="e">
        <f>AVERAGE(Z7,X7,V7,T7,R7,P7,N7,L7,J7,H7,F7,D7)</f>
        <v>#DIV/0!</v>
      </c>
      <c r="AC7" s="375" t="str">
        <f>IFERROR(AVERAGE(AA7,Y7,W7,U7,S7,Q7,O7,M7,K7,I7,G7,E7),"-")</f>
        <v>-</v>
      </c>
      <c r="AD7" s="57"/>
      <c r="AE7" s="618"/>
      <c r="AF7" s="619"/>
      <c r="AG7" s="620"/>
      <c r="AH7" s="619"/>
      <c r="AI7" s="620"/>
      <c r="AJ7" s="619"/>
      <c r="AK7" s="621"/>
      <c r="AL7" s="620"/>
      <c r="AM7" s="619"/>
      <c r="AN7" s="620"/>
      <c r="AO7" s="619"/>
      <c r="AP7" s="620"/>
      <c r="AQ7" s="619"/>
      <c r="AR7" s="620"/>
      <c r="AS7" s="619"/>
      <c r="AT7" s="620"/>
      <c r="AU7" s="619"/>
      <c r="AV7" s="620"/>
      <c r="AW7" s="619"/>
      <c r="AX7" s="620"/>
      <c r="AY7" s="619"/>
      <c r="AZ7" s="620"/>
      <c r="BA7" s="619"/>
      <c r="BB7" s="620"/>
      <c r="BC7" s="619"/>
      <c r="BD7" s="620"/>
    </row>
    <row r="8" spans="1:152" x14ac:dyDescent="0.2">
      <c r="B8" s="373" t="str">
        <f>Orçamento!B8</f>
        <v>Leite vendido</v>
      </c>
      <c r="C8" s="328" t="str">
        <f>Orçamento!C8</f>
        <v>L/VL/dia</v>
      </c>
      <c r="D8" s="374">
        <f>Orçamento!D8</f>
        <v>0</v>
      </c>
      <c r="E8" s="1247"/>
      <c r="F8" s="374">
        <f>Orçamento!E8</f>
        <v>0</v>
      </c>
      <c r="G8" s="1247"/>
      <c r="H8" s="374">
        <f>Orçamento!F8</f>
        <v>0</v>
      </c>
      <c r="I8" s="1247"/>
      <c r="J8" s="374">
        <f>Orçamento!G8</f>
        <v>0</v>
      </c>
      <c r="K8" s="1247"/>
      <c r="L8" s="374">
        <f>Orçamento!H8</f>
        <v>0</v>
      </c>
      <c r="M8" s="1247"/>
      <c r="N8" s="374">
        <f>Orçamento!I8</f>
        <v>0</v>
      </c>
      <c r="O8" s="1247"/>
      <c r="P8" s="374">
        <f>Orçamento!J8</f>
        <v>0</v>
      </c>
      <c r="Q8" s="1247"/>
      <c r="R8" s="374">
        <f>Orçamento!K8</f>
        <v>0</v>
      </c>
      <c r="S8" s="1247"/>
      <c r="T8" s="374">
        <f>Orçamento!L8</f>
        <v>0</v>
      </c>
      <c r="U8" s="1247"/>
      <c r="V8" s="374">
        <f>Orçamento!M8</f>
        <v>0</v>
      </c>
      <c r="W8" s="1247"/>
      <c r="X8" s="374">
        <f>Orçamento!N8</f>
        <v>0</v>
      </c>
      <c r="Y8" s="1247"/>
      <c r="Z8" s="374">
        <f>Orçamento!O8</f>
        <v>0</v>
      </c>
      <c r="AA8" s="1247"/>
      <c r="AB8" s="375">
        <f t="shared" ref="AB8:AB30" si="0">AVERAGE(Z8,X8,V8,T8,R8,P8,N8,L8,J8,H8,F8,D8)</f>
        <v>0</v>
      </c>
      <c r="AC8" s="375" t="str">
        <f t="shared" ref="AC8:AC30" si="1">IFERROR(AVERAGE(AA8,Y8,W8,U8,S8,Q8,O8,M8,K8,I8,G8,E8),"-")</f>
        <v>-</v>
      </c>
      <c r="AD8" s="57"/>
      <c r="AE8" s="618"/>
      <c r="AF8" s="619"/>
      <c r="AG8" s="620"/>
      <c r="AH8" s="619"/>
      <c r="AI8" s="620"/>
      <c r="AJ8" s="619"/>
      <c r="AK8" s="621"/>
      <c r="AL8" s="620"/>
      <c r="AM8" s="619"/>
      <c r="AN8" s="620"/>
      <c r="AO8" s="619"/>
      <c r="AP8" s="620"/>
      <c r="AQ8" s="619"/>
      <c r="AR8" s="620"/>
      <c r="AS8" s="619"/>
      <c r="AT8" s="620"/>
      <c r="AU8" s="619"/>
      <c r="AV8" s="620"/>
      <c r="AW8" s="619"/>
      <c r="AX8" s="620"/>
      <c r="AY8" s="619"/>
      <c r="AZ8" s="620"/>
      <c r="BA8" s="619"/>
      <c r="BB8" s="620"/>
      <c r="BC8" s="619"/>
      <c r="BD8" s="620"/>
    </row>
    <row r="9" spans="1:152" x14ac:dyDescent="0.2">
      <c r="B9" s="373" t="str">
        <f>Orçamento!B9</f>
        <v>Preço bruto do leite</v>
      </c>
      <c r="C9" s="328" t="str">
        <f>Orçamento!C9</f>
        <v>R$</v>
      </c>
      <c r="D9" s="374">
        <f>Orçamento!D9</f>
        <v>0</v>
      </c>
      <c r="E9" s="1248"/>
      <c r="F9" s="374">
        <f>Orçamento!E9</f>
        <v>0</v>
      </c>
      <c r="G9" s="1248"/>
      <c r="H9" s="374">
        <f>Orçamento!F9</f>
        <v>0</v>
      </c>
      <c r="I9" s="1248"/>
      <c r="J9" s="374">
        <f>Orçamento!G9</f>
        <v>0</v>
      </c>
      <c r="K9" s="1248"/>
      <c r="L9" s="374">
        <f>Orçamento!H9</f>
        <v>0</v>
      </c>
      <c r="M9" s="1248"/>
      <c r="N9" s="374">
        <f>Orçamento!I9</f>
        <v>0</v>
      </c>
      <c r="O9" s="1248"/>
      <c r="P9" s="374">
        <f>Orçamento!J9</f>
        <v>0</v>
      </c>
      <c r="Q9" s="1248"/>
      <c r="R9" s="374">
        <f>Orçamento!K9</f>
        <v>0</v>
      </c>
      <c r="S9" s="1248"/>
      <c r="T9" s="374">
        <f>Orçamento!L9</f>
        <v>0</v>
      </c>
      <c r="U9" s="1248"/>
      <c r="V9" s="374">
        <f>Orçamento!M9</f>
        <v>0</v>
      </c>
      <c r="W9" s="1248"/>
      <c r="X9" s="374">
        <f>Orçamento!N9</f>
        <v>0</v>
      </c>
      <c r="Y9" s="1248"/>
      <c r="Z9" s="374">
        <f>Orçamento!O9</f>
        <v>0</v>
      </c>
      <c r="AA9" s="1248"/>
      <c r="AB9" s="375">
        <f t="shared" si="0"/>
        <v>0</v>
      </c>
      <c r="AC9" s="375" t="str">
        <f t="shared" si="1"/>
        <v>-</v>
      </c>
      <c r="AD9" s="57"/>
      <c r="AE9" s="618"/>
      <c r="AF9" s="619"/>
      <c r="AG9" s="620"/>
      <c r="AH9" s="619"/>
      <c r="AI9" s="620"/>
      <c r="AJ9" s="619"/>
      <c r="AK9" s="621"/>
      <c r="AL9" s="620"/>
      <c r="AM9" s="619"/>
      <c r="AN9" s="620"/>
      <c r="AO9" s="619"/>
      <c r="AP9" s="620"/>
      <c r="AQ9" s="619"/>
      <c r="AR9" s="620"/>
      <c r="AS9" s="619"/>
      <c r="AT9" s="620"/>
      <c r="AU9" s="619"/>
      <c r="AV9" s="620"/>
      <c r="AW9" s="619"/>
      <c r="AX9" s="620"/>
      <c r="AY9" s="619"/>
      <c r="AZ9" s="620"/>
      <c r="BA9" s="619"/>
      <c r="BB9" s="620"/>
      <c r="BC9" s="619"/>
      <c r="BD9" s="620"/>
    </row>
    <row r="10" spans="1:152" x14ac:dyDescent="0.2">
      <c r="B10" s="373" t="str">
        <f>Orçamento!B10</f>
        <v>Leite vendido</v>
      </c>
      <c r="C10" s="329" t="str">
        <f>Orçamento!C10</f>
        <v>L/mês</v>
      </c>
      <c r="D10" s="609">
        <f>Orçamento!D10</f>
        <v>0</v>
      </c>
      <c r="E10" s="609">
        <f>E7*E8*31</f>
        <v>0</v>
      </c>
      <c r="F10" s="609">
        <f>Orçamento!E10</f>
        <v>0</v>
      </c>
      <c r="G10" s="609">
        <f>G7*G8*28</f>
        <v>0</v>
      </c>
      <c r="H10" s="609">
        <f>Orçamento!F10</f>
        <v>0</v>
      </c>
      <c r="I10" s="609">
        <f>I7*I8*31</f>
        <v>0</v>
      </c>
      <c r="J10" s="609">
        <f>Orçamento!G10</f>
        <v>0</v>
      </c>
      <c r="K10" s="609">
        <f>K7*K8*30</f>
        <v>0</v>
      </c>
      <c r="L10" s="609">
        <f>Orçamento!H10</f>
        <v>0</v>
      </c>
      <c r="M10" s="609">
        <f>M7*M8*31</f>
        <v>0</v>
      </c>
      <c r="N10" s="609">
        <f>Orçamento!I10</f>
        <v>0</v>
      </c>
      <c r="O10" s="609">
        <f>O7*O8*30</f>
        <v>0</v>
      </c>
      <c r="P10" s="609" t="e">
        <f>Orçamento!J10</f>
        <v>#DIV/0!</v>
      </c>
      <c r="Q10" s="609">
        <f>Q7*Q8*31</f>
        <v>0</v>
      </c>
      <c r="R10" s="609" t="e">
        <f>Orçamento!K10</f>
        <v>#DIV/0!</v>
      </c>
      <c r="S10" s="609">
        <f>S7*S8*31</f>
        <v>0</v>
      </c>
      <c r="T10" s="609" t="e">
        <f>Orçamento!L10</f>
        <v>#DIV/0!</v>
      </c>
      <c r="U10" s="609">
        <f>U7*U8*30</f>
        <v>0</v>
      </c>
      <c r="V10" s="609" t="e">
        <f>Orçamento!M10</f>
        <v>#DIV/0!</v>
      </c>
      <c r="W10" s="609">
        <f>W7*W8*31</f>
        <v>0</v>
      </c>
      <c r="X10" s="609" t="e">
        <f>Orçamento!N10</f>
        <v>#DIV/0!</v>
      </c>
      <c r="Y10" s="609">
        <f>Y7*Y8*30</f>
        <v>0</v>
      </c>
      <c r="Z10" s="609" t="e">
        <f>Orçamento!O10</f>
        <v>#DIV/0!</v>
      </c>
      <c r="AA10" s="609">
        <f>AA7*AA8*31</f>
        <v>0</v>
      </c>
      <c r="AB10" s="610" t="e">
        <f t="shared" si="0"/>
        <v>#DIV/0!</v>
      </c>
      <c r="AC10" s="610">
        <f t="shared" si="1"/>
        <v>0</v>
      </c>
      <c r="AD10" s="57"/>
      <c r="AE10" s="618"/>
      <c r="AF10" s="619"/>
      <c r="AG10" s="620"/>
      <c r="AH10" s="619"/>
      <c r="AI10" s="620"/>
      <c r="AJ10" s="619"/>
      <c r="AK10" s="621"/>
      <c r="AL10" s="620"/>
      <c r="AM10" s="619"/>
      <c r="AN10" s="620"/>
      <c r="AO10" s="619"/>
      <c r="AP10" s="620"/>
      <c r="AQ10" s="619"/>
      <c r="AR10" s="620"/>
      <c r="AS10" s="619"/>
      <c r="AT10" s="620"/>
      <c r="AU10" s="619"/>
      <c r="AV10" s="620"/>
      <c r="AW10" s="619"/>
      <c r="AX10" s="620"/>
      <c r="AY10" s="619"/>
      <c r="AZ10" s="620"/>
      <c r="BA10" s="619"/>
      <c r="BB10" s="620"/>
      <c r="BC10" s="619"/>
      <c r="BD10" s="620"/>
    </row>
    <row r="11" spans="1:152" x14ac:dyDescent="0.2">
      <c r="B11" s="373" t="str">
        <f>Orçamento!B12</f>
        <v>Venda de animais</v>
      </c>
      <c r="C11" s="329" t="str">
        <f>Orçamento!C12</f>
        <v>R$</v>
      </c>
      <c r="D11" s="377">
        <f>Orçamento!D12</f>
        <v>0</v>
      </c>
      <c r="E11" s="1246"/>
      <c r="F11" s="377">
        <f>Orçamento!E12</f>
        <v>0</v>
      </c>
      <c r="G11" s="1246"/>
      <c r="H11" s="377">
        <f>Orçamento!F12</f>
        <v>0</v>
      </c>
      <c r="I11" s="1246"/>
      <c r="J11" s="377">
        <f>Orçamento!G12</f>
        <v>0</v>
      </c>
      <c r="K11" s="1246"/>
      <c r="L11" s="377">
        <f>Orçamento!H12</f>
        <v>0</v>
      </c>
      <c r="M11" s="1246"/>
      <c r="N11" s="377">
        <f>Orçamento!I12</f>
        <v>0</v>
      </c>
      <c r="O11" s="1246"/>
      <c r="P11" s="377" t="e">
        <f>Orçamento!J12</f>
        <v>#DIV/0!</v>
      </c>
      <c r="Q11" s="1246"/>
      <c r="R11" s="377" t="e">
        <f>Orçamento!K12</f>
        <v>#DIV/0!</v>
      </c>
      <c r="S11" s="1246"/>
      <c r="T11" s="377" t="e">
        <f>Orçamento!L12</f>
        <v>#DIV/0!</v>
      </c>
      <c r="U11" s="1246"/>
      <c r="V11" s="377" t="e">
        <f>Orçamento!M12</f>
        <v>#DIV/0!</v>
      </c>
      <c r="W11" s="1246"/>
      <c r="X11" s="377" t="e">
        <f>Orçamento!N12</f>
        <v>#DIV/0!</v>
      </c>
      <c r="Y11" s="1246"/>
      <c r="Z11" s="377" t="e">
        <f>Orçamento!O12</f>
        <v>#DIV/0!</v>
      </c>
      <c r="AA11" s="1246"/>
      <c r="AB11" s="378" t="e">
        <f t="shared" si="0"/>
        <v>#DIV/0!</v>
      </c>
      <c r="AC11" s="378" t="str">
        <f>IFERROR(AVERAGE(AA11,Y11,W11,U11,S11,Q11,O11,M11,K11,I11,G11,E11),"-")</f>
        <v>-</v>
      </c>
      <c r="AD11" s="57"/>
      <c r="AE11" s="618"/>
      <c r="AF11" s="622"/>
      <c r="AG11" s="622"/>
      <c r="AH11" s="622"/>
      <c r="AI11" s="622"/>
      <c r="AJ11" s="372"/>
      <c r="AK11" s="623"/>
      <c r="AL11" s="622"/>
      <c r="AM11" s="623"/>
      <c r="AN11" s="622"/>
      <c r="AO11" s="622"/>
      <c r="AP11" s="622"/>
      <c r="AQ11" s="622"/>
      <c r="AR11" s="622"/>
      <c r="AS11" s="622"/>
      <c r="AT11" s="622"/>
      <c r="AU11" s="622"/>
      <c r="AV11" s="622"/>
      <c r="AW11" s="622"/>
      <c r="AX11" s="622"/>
      <c r="AY11" s="622"/>
      <c r="AZ11" s="622"/>
      <c r="BA11" s="622"/>
      <c r="BB11" s="622"/>
      <c r="BC11" s="622"/>
      <c r="BD11" s="622"/>
    </row>
    <row r="12" spans="1:152" x14ac:dyDescent="0.2">
      <c r="B12" s="373" t="str">
        <f>Orçamento!B15</f>
        <v>Receita  (venda leite)</v>
      </c>
      <c r="C12" s="329" t="str">
        <f>Orçamento!C15</f>
        <v>R$</v>
      </c>
      <c r="D12" s="609">
        <f>Orçamento!D15</f>
        <v>0</v>
      </c>
      <c r="E12" s="609">
        <f>E10*E9</f>
        <v>0</v>
      </c>
      <c r="F12" s="609">
        <f>Orçamento!E15</f>
        <v>0</v>
      </c>
      <c r="G12" s="609">
        <f>G10*G9</f>
        <v>0</v>
      </c>
      <c r="H12" s="609">
        <f>Orçamento!F15</f>
        <v>0</v>
      </c>
      <c r="I12" s="609">
        <f>I10*I9</f>
        <v>0</v>
      </c>
      <c r="J12" s="609">
        <f>Orçamento!G15</f>
        <v>0</v>
      </c>
      <c r="K12" s="609">
        <f>K10*K9</f>
        <v>0</v>
      </c>
      <c r="L12" s="609">
        <f>Orçamento!H15</f>
        <v>0</v>
      </c>
      <c r="M12" s="609">
        <f>M10*M9</f>
        <v>0</v>
      </c>
      <c r="N12" s="609">
        <f>Orçamento!I15</f>
        <v>0</v>
      </c>
      <c r="O12" s="609">
        <f>O10*O9</f>
        <v>0</v>
      </c>
      <c r="P12" s="609" t="e">
        <f>Orçamento!J15</f>
        <v>#DIV/0!</v>
      </c>
      <c r="Q12" s="609">
        <f>Q10*Q9</f>
        <v>0</v>
      </c>
      <c r="R12" s="609" t="e">
        <f>Orçamento!K15</f>
        <v>#DIV/0!</v>
      </c>
      <c r="S12" s="609">
        <f>S10*S9</f>
        <v>0</v>
      </c>
      <c r="T12" s="609" t="e">
        <f>Orçamento!L15</f>
        <v>#DIV/0!</v>
      </c>
      <c r="U12" s="609">
        <f>U10*U9</f>
        <v>0</v>
      </c>
      <c r="V12" s="609" t="e">
        <f>Orçamento!M15</f>
        <v>#DIV/0!</v>
      </c>
      <c r="W12" s="609">
        <f>W10*W9</f>
        <v>0</v>
      </c>
      <c r="X12" s="609" t="e">
        <f>Orçamento!N15</f>
        <v>#DIV/0!</v>
      </c>
      <c r="Y12" s="609">
        <f>Y10*Y9</f>
        <v>0</v>
      </c>
      <c r="Z12" s="609" t="e">
        <f>Orçamento!O15</f>
        <v>#DIV/0!</v>
      </c>
      <c r="AA12" s="609">
        <f>AA10*AA9</f>
        <v>0</v>
      </c>
      <c r="AB12" s="610" t="e">
        <f t="shared" si="0"/>
        <v>#DIV/0!</v>
      </c>
      <c r="AC12" s="610">
        <f t="shared" si="1"/>
        <v>0</v>
      </c>
      <c r="AD12" s="357"/>
      <c r="AE12" s="614"/>
      <c r="AF12" s="624"/>
      <c r="AG12" s="620"/>
      <c r="AH12" s="624"/>
      <c r="AI12" s="620"/>
      <c r="AJ12" s="614"/>
      <c r="AK12" s="625"/>
      <c r="AL12" s="620"/>
      <c r="AM12" s="624"/>
      <c r="AN12" s="620"/>
      <c r="AO12" s="624"/>
      <c r="AP12" s="620"/>
      <c r="AQ12" s="624"/>
      <c r="AR12" s="620"/>
      <c r="AS12" s="624"/>
      <c r="AT12" s="620"/>
      <c r="AU12" s="624"/>
      <c r="AV12" s="620"/>
      <c r="AW12" s="624"/>
      <c r="AX12" s="620"/>
      <c r="AY12" s="624"/>
      <c r="AZ12" s="620"/>
      <c r="BA12" s="624"/>
      <c r="BB12" s="620"/>
      <c r="BC12" s="624"/>
      <c r="BD12" s="620"/>
    </row>
    <row r="13" spans="1:152" x14ac:dyDescent="0.2">
      <c r="B13" s="373" t="str">
        <f>Orçamento!B17</f>
        <v>Alimentação</v>
      </c>
      <c r="C13" s="328" t="str">
        <f>Orçamento!C17</f>
        <v>R$</v>
      </c>
      <c r="D13" s="374" t="e">
        <f>Orçamento!D17</f>
        <v>#DIV/0!</v>
      </c>
      <c r="E13" s="1249"/>
      <c r="F13" s="374" t="e">
        <f>Orçamento!E17</f>
        <v>#DIV/0!</v>
      </c>
      <c r="G13" s="1249"/>
      <c r="H13" s="374" t="e">
        <f>Orçamento!F17</f>
        <v>#DIV/0!</v>
      </c>
      <c r="I13" s="1249"/>
      <c r="J13" s="374" t="e">
        <f>Orçamento!G17</f>
        <v>#DIV/0!</v>
      </c>
      <c r="K13" s="1249"/>
      <c r="L13" s="374" t="e">
        <f>Orçamento!H17</f>
        <v>#DIV/0!</v>
      </c>
      <c r="M13" s="1249"/>
      <c r="N13" s="374" t="e">
        <f>Orçamento!I17</f>
        <v>#DIV/0!</v>
      </c>
      <c r="O13" s="1249"/>
      <c r="P13" s="374" t="e">
        <f>Orçamento!J17</f>
        <v>#DIV/0!</v>
      </c>
      <c r="Q13" s="1249"/>
      <c r="R13" s="374" t="e">
        <f>Orçamento!K17</f>
        <v>#DIV/0!</v>
      </c>
      <c r="S13" s="1249"/>
      <c r="T13" s="374" t="e">
        <f>Orçamento!L17</f>
        <v>#DIV/0!</v>
      </c>
      <c r="U13" s="1249"/>
      <c r="V13" s="374" t="e">
        <f>Orçamento!M17</f>
        <v>#DIV/0!</v>
      </c>
      <c r="W13" s="1249"/>
      <c r="X13" s="374" t="e">
        <f>Orçamento!N17</f>
        <v>#DIV/0!</v>
      </c>
      <c r="Y13" s="1249"/>
      <c r="Z13" s="374" t="e">
        <f>Orçamento!O17</f>
        <v>#DIV/0!</v>
      </c>
      <c r="AA13" s="1249"/>
      <c r="AB13" s="375" t="e">
        <f t="shared" si="0"/>
        <v>#DIV/0!</v>
      </c>
      <c r="AC13" s="375" t="str">
        <f t="shared" si="1"/>
        <v>-</v>
      </c>
      <c r="AD13" s="57"/>
      <c r="AE13" s="618"/>
      <c r="AF13" s="622"/>
      <c r="AG13" s="358"/>
      <c r="AH13" s="622"/>
      <c r="AI13" s="358"/>
      <c r="AJ13" s="372"/>
      <c r="AK13" s="623"/>
      <c r="AL13" s="358"/>
      <c r="AM13" s="623"/>
      <c r="AN13" s="358"/>
      <c r="AO13" s="622"/>
      <c r="AP13" s="358"/>
      <c r="AQ13" s="622"/>
      <c r="AR13" s="358"/>
      <c r="AS13" s="622"/>
      <c r="AT13" s="358"/>
      <c r="AU13" s="622"/>
      <c r="AV13" s="358"/>
      <c r="AW13" s="622"/>
      <c r="AX13" s="358"/>
      <c r="AY13" s="622"/>
      <c r="AZ13" s="358"/>
      <c r="BA13" s="622"/>
      <c r="BB13" s="358"/>
      <c r="BC13" s="622"/>
      <c r="BD13" s="358"/>
    </row>
    <row r="14" spans="1:152" x14ac:dyDescent="0.2">
      <c r="B14" s="373" t="str">
        <f>Orçamento!B18</f>
        <v>Mão de obra</v>
      </c>
      <c r="C14" s="328" t="str">
        <f>Orçamento!C18</f>
        <v>R$</v>
      </c>
      <c r="D14" s="374">
        <f>Orçamento!D18</f>
        <v>0</v>
      </c>
      <c r="E14" s="1249"/>
      <c r="F14" s="374">
        <f>Orçamento!E18</f>
        <v>0</v>
      </c>
      <c r="G14" s="1249"/>
      <c r="H14" s="374">
        <f>Orçamento!F18</f>
        <v>0</v>
      </c>
      <c r="I14" s="1249"/>
      <c r="J14" s="374">
        <f>Orçamento!G18</f>
        <v>0</v>
      </c>
      <c r="K14" s="1249"/>
      <c r="L14" s="374">
        <f>Orçamento!H18</f>
        <v>0</v>
      </c>
      <c r="M14" s="1249"/>
      <c r="N14" s="374">
        <f>Orçamento!I18</f>
        <v>0</v>
      </c>
      <c r="O14" s="1249"/>
      <c r="P14" s="374">
        <f>Orçamento!J18</f>
        <v>0</v>
      </c>
      <c r="Q14" s="1249"/>
      <c r="R14" s="374">
        <f>Orçamento!K18</f>
        <v>0</v>
      </c>
      <c r="S14" s="1249"/>
      <c r="T14" s="374">
        <f>Orçamento!L18</f>
        <v>0</v>
      </c>
      <c r="U14" s="1249"/>
      <c r="V14" s="374">
        <f>Orçamento!M18</f>
        <v>0</v>
      </c>
      <c r="W14" s="1249"/>
      <c r="X14" s="374">
        <f>Orçamento!N18</f>
        <v>0</v>
      </c>
      <c r="Y14" s="1249"/>
      <c r="Z14" s="374">
        <f>Orçamento!O18</f>
        <v>0</v>
      </c>
      <c r="AA14" s="1249"/>
      <c r="AB14" s="375">
        <f t="shared" si="0"/>
        <v>0</v>
      </c>
      <c r="AC14" s="375" t="str">
        <f t="shared" si="1"/>
        <v>-</v>
      </c>
      <c r="AD14" s="191"/>
      <c r="AE14" s="626"/>
      <c r="AF14" s="626"/>
      <c r="AG14" s="626"/>
      <c r="AH14" s="626"/>
      <c r="AI14" s="626"/>
      <c r="AJ14" s="626"/>
      <c r="AK14" s="627"/>
      <c r="AL14" s="626"/>
      <c r="AM14" s="626"/>
      <c r="AN14" s="626"/>
      <c r="AO14" s="626"/>
      <c r="AP14" s="626"/>
      <c r="AQ14" s="626"/>
      <c r="AR14" s="626"/>
      <c r="AS14" s="626"/>
      <c r="AT14" s="626"/>
      <c r="AU14" s="626"/>
      <c r="AV14" s="626"/>
      <c r="AW14" s="626"/>
      <c r="AX14" s="626"/>
      <c r="AY14" s="626"/>
      <c r="AZ14" s="626"/>
      <c r="BA14" s="626"/>
      <c r="BB14" s="626"/>
      <c r="BC14" s="626"/>
      <c r="BD14" s="626"/>
    </row>
    <row r="15" spans="1:152" x14ac:dyDescent="0.2">
      <c r="B15" s="373" t="str">
        <f>Orçamento!B19</f>
        <v>Sanidade</v>
      </c>
      <c r="C15" s="328" t="str">
        <f>Orçamento!C19</f>
        <v>R$</v>
      </c>
      <c r="D15" s="374" t="e">
        <f>Orçamento!D19</f>
        <v>#DIV/0!</v>
      </c>
      <c r="E15" s="1249"/>
      <c r="F15" s="374" t="e">
        <f>Orçamento!E19</f>
        <v>#DIV/0!</v>
      </c>
      <c r="G15" s="1249"/>
      <c r="H15" s="374" t="e">
        <f>Orçamento!F19</f>
        <v>#DIV/0!</v>
      </c>
      <c r="I15" s="1249"/>
      <c r="J15" s="374" t="e">
        <f>Orçamento!G19</f>
        <v>#DIV/0!</v>
      </c>
      <c r="K15" s="1249"/>
      <c r="L15" s="374" t="e">
        <f>Orçamento!H19</f>
        <v>#DIV/0!</v>
      </c>
      <c r="M15" s="1249"/>
      <c r="N15" s="374" t="e">
        <f>Orçamento!I19</f>
        <v>#DIV/0!</v>
      </c>
      <c r="O15" s="1249"/>
      <c r="P15" s="374" t="e">
        <f>Orçamento!J19</f>
        <v>#DIV/0!</v>
      </c>
      <c r="Q15" s="1249"/>
      <c r="R15" s="374" t="e">
        <f>Orçamento!K19</f>
        <v>#DIV/0!</v>
      </c>
      <c r="S15" s="1249"/>
      <c r="T15" s="374" t="e">
        <f>Orçamento!L19</f>
        <v>#DIV/0!</v>
      </c>
      <c r="U15" s="1249"/>
      <c r="V15" s="374" t="e">
        <f>Orçamento!M19</f>
        <v>#DIV/0!</v>
      </c>
      <c r="W15" s="1249"/>
      <c r="X15" s="374" t="e">
        <f>Orçamento!N19</f>
        <v>#DIV/0!</v>
      </c>
      <c r="Y15" s="1249"/>
      <c r="Z15" s="374" t="e">
        <f>Orçamento!O19</f>
        <v>#DIV/0!</v>
      </c>
      <c r="AA15" s="1249"/>
      <c r="AB15" s="375" t="e">
        <f t="shared" si="0"/>
        <v>#DIV/0!</v>
      </c>
      <c r="AC15" s="375" t="str">
        <f t="shared" si="1"/>
        <v>-</v>
      </c>
      <c r="AD15" s="191"/>
      <c r="AE15" s="626"/>
      <c r="AF15" s="628"/>
      <c r="AG15" s="629"/>
      <c r="AH15" s="628"/>
      <c r="AI15" s="629"/>
      <c r="AJ15" s="359"/>
      <c r="AK15" s="630"/>
      <c r="AL15" s="629"/>
      <c r="AM15" s="630"/>
      <c r="AN15" s="629"/>
      <c r="AO15" s="628"/>
      <c r="AP15" s="629"/>
      <c r="AQ15" s="628"/>
      <c r="AR15" s="629"/>
      <c r="AS15" s="628"/>
      <c r="AT15" s="629"/>
      <c r="AU15" s="628"/>
      <c r="AV15" s="629"/>
      <c r="AW15" s="628"/>
      <c r="AX15" s="629"/>
      <c r="AY15" s="628"/>
      <c r="AZ15" s="629"/>
      <c r="BA15" s="628"/>
      <c r="BB15" s="629"/>
      <c r="BC15" s="628"/>
      <c r="BD15" s="629"/>
    </row>
    <row r="16" spans="1:152" x14ac:dyDescent="0.2">
      <c r="B16" s="373" t="str">
        <f>Orçamento!B20</f>
        <v>Reprodução</v>
      </c>
      <c r="C16" s="328" t="str">
        <f>Orçamento!C20</f>
        <v>R$</v>
      </c>
      <c r="D16" s="374" t="e">
        <f>Orçamento!D20</f>
        <v>#DIV/0!</v>
      </c>
      <c r="E16" s="1249"/>
      <c r="F16" s="374" t="e">
        <f>Orçamento!E20</f>
        <v>#DIV/0!</v>
      </c>
      <c r="G16" s="1249"/>
      <c r="H16" s="374" t="e">
        <f>Orçamento!F20</f>
        <v>#DIV/0!</v>
      </c>
      <c r="I16" s="1249"/>
      <c r="J16" s="374" t="e">
        <f>Orçamento!G20</f>
        <v>#DIV/0!</v>
      </c>
      <c r="K16" s="1249"/>
      <c r="L16" s="374" t="e">
        <f>Orçamento!H20</f>
        <v>#DIV/0!</v>
      </c>
      <c r="M16" s="1249"/>
      <c r="N16" s="374" t="e">
        <f>Orçamento!I20</f>
        <v>#DIV/0!</v>
      </c>
      <c r="O16" s="1249"/>
      <c r="P16" s="374" t="e">
        <f>Orçamento!J20</f>
        <v>#DIV/0!</v>
      </c>
      <c r="Q16" s="1249"/>
      <c r="R16" s="374" t="e">
        <f>Orçamento!K20</f>
        <v>#DIV/0!</v>
      </c>
      <c r="S16" s="1249"/>
      <c r="T16" s="374" t="e">
        <f>Orçamento!L20</f>
        <v>#DIV/0!</v>
      </c>
      <c r="U16" s="1249"/>
      <c r="V16" s="374" t="e">
        <f>Orçamento!M20</f>
        <v>#DIV/0!</v>
      </c>
      <c r="W16" s="1249"/>
      <c r="X16" s="374" t="e">
        <f>Orçamento!N20</f>
        <v>#DIV/0!</v>
      </c>
      <c r="Y16" s="1249"/>
      <c r="Z16" s="374" t="e">
        <f>Orçamento!O20</f>
        <v>#DIV/0!</v>
      </c>
      <c r="AA16" s="1249"/>
      <c r="AB16" s="375" t="e">
        <f t="shared" si="0"/>
        <v>#DIV/0!</v>
      </c>
      <c r="AC16" s="375" t="str">
        <f t="shared" si="1"/>
        <v>-</v>
      </c>
      <c r="AD16" s="360"/>
      <c r="AE16" s="361"/>
      <c r="AF16" s="362"/>
      <c r="AG16" s="363"/>
      <c r="AH16" s="364"/>
      <c r="AI16" s="363"/>
      <c r="AJ16" s="629"/>
      <c r="AK16" s="365"/>
      <c r="AL16" s="363"/>
      <c r="AM16" s="364"/>
      <c r="AN16" s="363"/>
      <c r="AO16" s="364"/>
      <c r="AP16" s="363"/>
      <c r="AQ16" s="364"/>
      <c r="AR16" s="363"/>
      <c r="AS16" s="364"/>
      <c r="AT16" s="363"/>
      <c r="AU16" s="364"/>
      <c r="AV16" s="363"/>
      <c r="AW16" s="364"/>
      <c r="AX16" s="363"/>
      <c r="AY16" s="364"/>
      <c r="AZ16" s="363"/>
      <c r="BA16" s="364"/>
      <c r="BB16" s="363"/>
      <c r="BC16" s="364"/>
      <c r="BD16" s="363"/>
      <c r="BE16" s="631"/>
      <c r="BF16" s="631"/>
      <c r="BG16" s="631"/>
      <c r="BH16" s="631"/>
      <c r="BI16" s="631"/>
      <c r="BJ16" s="631"/>
      <c r="BK16" s="631"/>
      <c r="BL16" s="631"/>
      <c r="BM16" s="631"/>
      <c r="BN16" s="631"/>
      <c r="BO16" s="631"/>
      <c r="BP16" s="631"/>
      <c r="BQ16" s="631"/>
      <c r="BR16" s="631"/>
      <c r="BS16" s="631"/>
      <c r="BT16" s="631"/>
      <c r="BU16" s="631"/>
      <c r="BV16" s="631"/>
      <c r="BW16" s="631"/>
      <c r="BX16" s="631"/>
      <c r="BY16" s="631"/>
      <c r="BZ16" s="631"/>
      <c r="CA16" s="631"/>
      <c r="CB16" s="631"/>
      <c r="CC16" s="631"/>
      <c r="CD16" s="631"/>
      <c r="CE16" s="631"/>
      <c r="CF16" s="631"/>
      <c r="CG16" s="631"/>
      <c r="CH16" s="631"/>
      <c r="CI16" s="631"/>
      <c r="CJ16" s="631"/>
      <c r="CK16" s="631"/>
      <c r="CL16" s="631"/>
      <c r="CM16" s="631"/>
      <c r="CN16" s="631"/>
      <c r="CO16" s="631"/>
      <c r="CP16" s="631"/>
      <c r="CQ16" s="631"/>
      <c r="CR16" s="631"/>
      <c r="CS16" s="631"/>
      <c r="CT16" s="631"/>
      <c r="CU16" s="631"/>
      <c r="CV16" s="631"/>
      <c r="CW16" s="631"/>
      <c r="CX16" s="631"/>
      <c r="CY16" s="631"/>
      <c r="CZ16" s="631"/>
      <c r="DA16" s="631"/>
      <c r="DB16" s="631"/>
      <c r="DC16" s="631"/>
      <c r="DD16" s="631"/>
      <c r="DE16" s="631"/>
      <c r="DF16" s="631"/>
      <c r="DG16" s="631"/>
      <c r="DH16" s="631"/>
      <c r="DI16" s="631"/>
      <c r="DJ16" s="631"/>
      <c r="DK16" s="631"/>
      <c r="DL16" s="631"/>
      <c r="DM16" s="631"/>
      <c r="DN16" s="631"/>
      <c r="DO16" s="631"/>
      <c r="DP16" s="631"/>
      <c r="DQ16" s="631"/>
      <c r="DR16" s="631"/>
      <c r="DS16" s="631"/>
      <c r="DT16" s="631"/>
      <c r="DU16" s="631"/>
      <c r="DV16" s="631"/>
      <c r="DW16" s="631"/>
      <c r="DX16" s="631"/>
      <c r="DY16" s="631"/>
      <c r="DZ16" s="631"/>
      <c r="EA16" s="631"/>
      <c r="EB16" s="631"/>
      <c r="EC16" s="631"/>
      <c r="ED16" s="631"/>
      <c r="EE16" s="631"/>
      <c r="EF16" s="631"/>
      <c r="EG16" s="631"/>
      <c r="EH16" s="631"/>
      <c r="EI16" s="631"/>
      <c r="EJ16" s="631"/>
      <c r="EK16" s="631"/>
      <c r="EL16" s="631"/>
      <c r="EM16" s="631"/>
      <c r="EN16" s="631"/>
      <c r="EO16" s="631"/>
      <c r="EP16" s="631"/>
      <c r="EQ16" s="631"/>
      <c r="ER16" s="631"/>
      <c r="ES16" s="631"/>
      <c r="ET16" s="631"/>
      <c r="EU16" s="631"/>
      <c r="EV16" s="631"/>
    </row>
    <row r="17" spans="2:56" x14ac:dyDescent="0.2">
      <c r="B17" s="373" t="str">
        <f>Orçamento!B21</f>
        <v>Material de consumo</v>
      </c>
      <c r="C17" s="328" t="str">
        <f>Orçamento!C21</f>
        <v>R$</v>
      </c>
      <c r="D17" s="374" t="e">
        <f>Orçamento!D21</f>
        <v>#DIV/0!</v>
      </c>
      <c r="E17" s="1249"/>
      <c r="F17" s="374" t="e">
        <f>Orçamento!E21</f>
        <v>#DIV/0!</v>
      </c>
      <c r="G17" s="1249"/>
      <c r="H17" s="374" t="e">
        <f>Orçamento!F21</f>
        <v>#DIV/0!</v>
      </c>
      <c r="I17" s="1249"/>
      <c r="J17" s="374" t="e">
        <f>Orçamento!G21</f>
        <v>#DIV/0!</v>
      </c>
      <c r="K17" s="1249"/>
      <c r="L17" s="374" t="e">
        <f>Orçamento!H21</f>
        <v>#DIV/0!</v>
      </c>
      <c r="M17" s="1249"/>
      <c r="N17" s="374" t="e">
        <f>Orçamento!I21</f>
        <v>#DIV/0!</v>
      </c>
      <c r="O17" s="1249"/>
      <c r="P17" s="374" t="e">
        <f>Orçamento!J21</f>
        <v>#DIV/0!</v>
      </c>
      <c r="Q17" s="1249"/>
      <c r="R17" s="374" t="e">
        <f>Orçamento!K21</f>
        <v>#DIV/0!</v>
      </c>
      <c r="S17" s="1249"/>
      <c r="T17" s="374" t="e">
        <f>Orçamento!L21</f>
        <v>#DIV/0!</v>
      </c>
      <c r="U17" s="1249"/>
      <c r="V17" s="374" t="e">
        <f>Orçamento!M21</f>
        <v>#DIV/0!</v>
      </c>
      <c r="W17" s="1249"/>
      <c r="X17" s="374" t="e">
        <f>Orçamento!N21</f>
        <v>#DIV/0!</v>
      </c>
      <c r="Y17" s="1249"/>
      <c r="Z17" s="374" t="e">
        <f>Orçamento!O21</f>
        <v>#DIV/0!</v>
      </c>
      <c r="AA17" s="1249"/>
      <c r="AB17" s="375" t="e">
        <f t="shared" si="0"/>
        <v>#DIV/0!</v>
      </c>
      <c r="AC17" s="375" t="str">
        <f t="shared" si="1"/>
        <v>-</v>
      </c>
      <c r="AD17" s="190"/>
      <c r="AE17" s="632"/>
      <c r="AF17" s="364"/>
      <c r="AG17" s="364"/>
      <c r="AH17" s="364"/>
      <c r="AI17" s="364"/>
      <c r="AJ17" s="629"/>
      <c r="AK17" s="365"/>
      <c r="AL17" s="364"/>
      <c r="AM17" s="364"/>
      <c r="AN17" s="364"/>
      <c r="AO17" s="364"/>
      <c r="AP17" s="364"/>
      <c r="AQ17" s="364"/>
      <c r="AR17" s="364"/>
      <c r="AS17" s="364"/>
      <c r="AT17" s="364"/>
      <c r="AU17" s="364"/>
      <c r="AV17" s="364"/>
      <c r="AW17" s="364"/>
      <c r="AX17" s="364"/>
      <c r="AY17" s="364"/>
      <c r="AZ17" s="364"/>
      <c r="BA17" s="364"/>
      <c r="BB17" s="364"/>
      <c r="BC17" s="364"/>
      <c r="BD17" s="364"/>
    </row>
    <row r="18" spans="2:56" x14ac:dyDescent="0.2">
      <c r="B18" s="373" t="str">
        <f>Orçamento!B22</f>
        <v>BST</v>
      </c>
      <c r="C18" s="328" t="str">
        <f>Orçamento!C22</f>
        <v>R$</v>
      </c>
      <c r="D18" s="374" t="e">
        <f>Orçamento!D22</f>
        <v>#DIV/0!</v>
      </c>
      <c r="E18" s="1249"/>
      <c r="F18" s="374" t="e">
        <f>Orçamento!E22</f>
        <v>#DIV/0!</v>
      </c>
      <c r="G18" s="1249"/>
      <c r="H18" s="374" t="e">
        <f>Orçamento!F22</f>
        <v>#DIV/0!</v>
      </c>
      <c r="I18" s="1249"/>
      <c r="J18" s="374" t="e">
        <f>Orçamento!G22</f>
        <v>#DIV/0!</v>
      </c>
      <c r="K18" s="1249"/>
      <c r="L18" s="374" t="e">
        <f>Orçamento!H22</f>
        <v>#DIV/0!</v>
      </c>
      <c r="M18" s="1249"/>
      <c r="N18" s="374" t="e">
        <f>Orçamento!I22</f>
        <v>#DIV/0!</v>
      </c>
      <c r="O18" s="1249"/>
      <c r="P18" s="374" t="e">
        <f>Orçamento!J22</f>
        <v>#DIV/0!</v>
      </c>
      <c r="Q18" s="1249"/>
      <c r="R18" s="374" t="e">
        <f>Orçamento!K22</f>
        <v>#DIV/0!</v>
      </c>
      <c r="S18" s="1249"/>
      <c r="T18" s="374" t="e">
        <f>Orçamento!L22</f>
        <v>#DIV/0!</v>
      </c>
      <c r="U18" s="1249"/>
      <c r="V18" s="374" t="e">
        <f>Orçamento!M22</f>
        <v>#DIV/0!</v>
      </c>
      <c r="W18" s="1249"/>
      <c r="X18" s="374" t="e">
        <f>Orçamento!N22</f>
        <v>#DIV/0!</v>
      </c>
      <c r="Y18" s="1249"/>
      <c r="Z18" s="374" t="e">
        <f>Orçamento!O22</f>
        <v>#DIV/0!</v>
      </c>
      <c r="AA18" s="1249"/>
      <c r="AB18" s="375" t="e">
        <f t="shared" si="0"/>
        <v>#DIV/0!</v>
      </c>
      <c r="AC18" s="375" t="str">
        <f t="shared" si="1"/>
        <v>-</v>
      </c>
      <c r="AD18" s="190"/>
      <c r="AE18" s="632"/>
      <c r="AF18" s="364"/>
      <c r="AG18" s="364"/>
      <c r="AH18" s="364"/>
      <c r="AI18" s="364"/>
      <c r="AJ18" s="629"/>
      <c r="AK18" s="365"/>
      <c r="AL18" s="364"/>
      <c r="AM18" s="364"/>
      <c r="AN18" s="364"/>
      <c r="AO18" s="364"/>
      <c r="AP18" s="364"/>
      <c r="AQ18" s="364"/>
      <c r="AR18" s="364"/>
      <c r="AS18" s="364"/>
      <c r="AT18" s="364"/>
      <c r="AU18" s="364"/>
      <c r="AV18" s="364"/>
      <c r="AW18" s="364"/>
      <c r="AX18" s="364"/>
      <c r="AY18" s="364"/>
      <c r="AZ18" s="364"/>
      <c r="BA18" s="364"/>
      <c r="BB18" s="364"/>
      <c r="BC18" s="364"/>
      <c r="BD18" s="364"/>
    </row>
    <row r="19" spans="2:56" x14ac:dyDescent="0.2">
      <c r="B19" s="373" t="str">
        <f>Orçamento!B23</f>
        <v>Controles</v>
      </c>
      <c r="C19" s="328" t="str">
        <f>Orçamento!C23</f>
        <v>R$</v>
      </c>
      <c r="D19" s="374" t="e">
        <f>Orçamento!D23</f>
        <v>#DIV/0!</v>
      </c>
      <c r="E19" s="1249"/>
      <c r="F19" s="374" t="e">
        <f>Orçamento!E23</f>
        <v>#DIV/0!</v>
      </c>
      <c r="G19" s="1249"/>
      <c r="H19" s="374" t="e">
        <f>Orçamento!F23</f>
        <v>#DIV/0!</v>
      </c>
      <c r="I19" s="1249"/>
      <c r="J19" s="374" t="e">
        <f>Orçamento!G23</f>
        <v>#DIV/0!</v>
      </c>
      <c r="K19" s="1249"/>
      <c r="L19" s="374" t="e">
        <f>Orçamento!H23</f>
        <v>#DIV/0!</v>
      </c>
      <c r="M19" s="1249"/>
      <c r="N19" s="374" t="e">
        <f>Orçamento!I23</f>
        <v>#DIV/0!</v>
      </c>
      <c r="O19" s="1249"/>
      <c r="P19" s="374" t="e">
        <f>Orçamento!J23</f>
        <v>#DIV/0!</v>
      </c>
      <c r="Q19" s="1249"/>
      <c r="R19" s="374" t="e">
        <f>Orçamento!K23</f>
        <v>#DIV/0!</v>
      </c>
      <c r="S19" s="1249"/>
      <c r="T19" s="374" t="e">
        <f>Orçamento!L23</f>
        <v>#DIV/0!</v>
      </c>
      <c r="U19" s="1249"/>
      <c r="V19" s="374" t="e">
        <f>Orçamento!M23</f>
        <v>#DIV/0!</v>
      </c>
      <c r="W19" s="1249"/>
      <c r="X19" s="374" t="e">
        <f>Orçamento!N23</f>
        <v>#DIV/0!</v>
      </c>
      <c r="Y19" s="1249"/>
      <c r="Z19" s="374" t="e">
        <f>Orçamento!O23</f>
        <v>#DIV/0!</v>
      </c>
      <c r="AA19" s="1249"/>
      <c r="AB19" s="375" t="e">
        <f t="shared" si="0"/>
        <v>#DIV/0!</v>
      </c>
      <c r="AC19" s="375" t="str">
        <f t="shared" si="1"/>
        <v>-</v>
      </c>
      <c r="AD19" s="190"/>
      <c r="AE19" s="632"/>
      <c r="AF19" s="364"/>
      <c r="AG19" s="364"/>
      <c r="AH19" s="364"/>
      <c r="AI19" s="364"/>
      <c r="AJ19" s="629"/>
      <c r="AK19" s="365"/>
      <c r="AL19" s="364"/>
      <c r="AM19" s="364"/>
      <c r="AN19" s="364"/>
      <c r="AO19" s="364"/>
      <c r="AP19" s="364"/>
      <c r="AQ19" s="364"/>
      <c r="AR19" s="364"/>
      <c r="AS19" s="364"/>
      <c r="AT19" s="364"/>
      <c r="AU19" s="364"/>
      <c r="AV19" s="364"/>
      <c r="AW19" s="364"/>
      <c r="AX19" s="364"/>
      <c r="AY19" s="364"/>
      <c r="AZ19" s="364"/>
      <c r="BA19" s="364"/>
      <c r="BB19" s="364"/>
      <c r="BC19" s="364"/>
      <c r="BD19" s="364"/>
    </row>
    <row r="20" spans="2:56" x14ac:dyDescent="0.2">
      <c r="B20" s="373" t="str">
        <f>Orçamento!B24</f>
        <v>Energia elétrica e combustível</v>
      </c>
      <c r="C20" s="328" t="str">
        <f>Orçamento!C24</f>
        <v>R$</v>
      </c>
      <c r="D20" s="374" t="e">
        <f>Orçamento!D24</f>
        <v>#DIV/0!</v>
      </c>
      <c r="E20" s="1249"/>
      <c r="F20" s="374" t="e">
        <f>Orçamento!E24</f>
        <v>#DIV/0!</v>
      </c>
      <c r="G20" s="1249"/>
      <c r="H20" s="374" t="e">
        <f>Orçamento!F24</f>
        <v>#DIV/0!</v>
      </c>
      <c r="I20" s="1249"/>
      <c r="J20" s="374" t="e">
        <f>Orçamento!G24</f>
        <v>#DIV/0!</v>
      </c>
      <c r="K20" s="1249"/>
      <c r="L20" s="374" t="e">
        <f>Orçamento!H24</f>
        <v>#DIV/0!</v>
      </c>
      <c r="M20" s="1249"/>
      <c r="N20" s="374" t="e">
        <f>Orçamento!I24</f>
        <v>#DIV/0!</v>
      </c>
      <c r="O20" s="1249"/>
      <c r="P20" s="374" t="e">
        <f>Orçamento!J24</f>
        <v>#DIV/0!</v>
      </c>
      <c r="Q20" s="1249"/>
      <c r="R20" s="374" t="e">
        <f>Orçamento!K24</f>
        <v>#DIV/0!</v>
      </c>
      <c r="S20" s="1249"/>
      <c r="T20" s="374" t="e">
        <f>Orçamento!L24</f>
        <v>#DIV/0!</v>
      </c>
      <c r="U20" s="1249"/>
      <c r="V20" s="374" t="e">
        <f>Orçamento!M24</f>
        <v>#DIV/0!</v>
      </c>
      <c r="W20" s="1249"/>
      <c r="X20" s="374" t="e">
        <f>Orçamento!N24</f>
        <v>#DIV/0!</v>
      </c>
      <c r="Y20" s="1249"/>
      <c r="Z20" s="374" t="e">
        <f>Orçamento!O24</f>
        <v>#DIV/0!</v>
      </c>
      <c r="AA20" s="1249"/>
      <c r="AB20" s="375" t="e">
        <f t="shared" si="0"/>
        <v>#DIV/0!</v>
      </c>
      <c r="AC20" s="375" t="str">
        <f t="shared" si="1"/>
        <v>-</v>
      </c>
      <c r="AD20" s="190"/>
      <c r="AE20" s="632"/>
      <c r="AF20" s="364"/>
      <c r="AG20" s="364"/>
      <c r="AH20" s="364"/>
      <c r="AI20" s="364"/>
      <c r="AJ20" s="629"/>
      <c r="AK20" s="365"/>
      <c r="AL20" s="364"/>
      <c r="AM20" s="364"/>
      <c r="AN20" s="364"/>
      <c r="AO20" s="364"/>
      <c r="AP20" s="364"/>
      <c r="AQ20" s="364"/>
      <c r="AR20" s="364"/>
      <c r="AS20" s="364"/>
      <c r="AT20" s="364"/>
      <c r="AU20" s="364"/>
      <c r="AV20" s="364"/>
      <c r="AW20" s="364"/>
      <c r="AX20" s="364"/>
      <c r="AY20" s="364"/>
      <c r="AZ20" s="364"/>
      <c r="BA20" s="364"/>
      <c r="BB20" s="364"/>
      <c r="BC20" s="364"/>
      <c r="BD20" s="364"/>
    </row>
    <row r="21" spans="2:56" x14ac:dyDescent="0.2">
      <c r="B21" s="373" t="str">
        <f>Orçamento!B25</f>
        <v>Manutenção de instalações</v>
      </c>
      <c r="C21" s="328" t="str">
        <f>Orçamento!C25</f>
        <v>R$</v>
      </c>
      <c r="D21" s="374">
        <f>Orçamento!D25</f>
        <v>0</v>
      </c>
      <c r="E21" s="1249"/>
      <c r="F21" s="374">
        <f>Orçamento!E25</f>
        <v>0</v>
      </c>
      <c r="G21" s="1249"/>
      <c r="H21" s="374">
        <f>Orçamento!F25</f>
        <v>0</v>
      </c>
      <c r="I21" s="1249"/>
      <c r="J21" s="374">
        <f>Orçamento!G25</f>
        <v>0</v>
      </c>
      <c r="K21" s="1249"/>
      <c r="L21" s="374">
        <f>Orçamento!H25</f>
        <v>0</v>
      </c>
      <c r="M21" s="1249"/>
      <c r="N21" s="374">
        <f>Orçamento!I25</f>
        <v>0</v>
      </c>
      <c r="O21" s="1249"/>
      <c r="P21" s="374">
        <f>Orçamento!J25</f>
        <v>0</v>
      </c>
      <c r="Q21" s="1249"/>
      <c r="R21" s="374">
        <f>Orçamento!K25</f>
        <v>0</v>
      </c>
      <c r="S21" s="1249"/>
      <c r="T21" s="374">
        <f>Orçamento!L25</f>
        <v>0</v>
      </c>
      <c r="U21" s="1249"/>
      <c r="V21" s="374">
        <f>Orçamento!M25</f>
        <v>0</v>
      </c>
      <c r="W21" s="1249"/>
      <c r="X21" s="374">
        <f>Orçamento!N25</f>
        <v>0</v>
      </c>
      <c r="Y21" s="1249"/>
      <c r="Z21" s="374">
        <f>Orçamento!O25</f>
        <v>0</v>
      </c>
      <c r="AA21" s="1249"/>
      <c r="AB21" s="375">
        <f t="shared" si="0"/>
        <v>0</v>
      </c>
      <c r="AC21" s="375" t="str">
        <f t="shared" si="1"/>
        <v>-</v>
      </c>
      <c r="AD21" s="190"/>
      <c r="AE21" s="632"/>
      <c r="AF21" s="364"/>
      <c r="AG21" s="364"/>
      <c r="AH21" s="364"/>
      <c r="AI21" s="364"/>
      <c r="AJ21" s="629"/>
      <c r="AK21" s="365"/>
      <c r="AL21" s="364"/>
      <c r="AM21" s="364"/>
      <c r="AN21" s="364"/>
      <c r="AO21" s="364"/>
      <c r="AP21" s="364"/>
      <c r="AQ21" s="364"/>
      <c r="AR21" s="364"/>
      <c r="AS21" s="364"/>
      <c r="AT21" s="364"/>
      <c r="AU21" s="364"/>
      <c r="AV21" s="364"/>
      <c r="AW21" s="364"/>
      <c r="AX21" s="364"/>
      <c r="AY21" s="364"/>
      <c r="AZ21" s="364"/>
      <c r="BA21" s="364"/>
      <c r="BB21" s="364"/>
      <c r="BC21" s="364"/>
      <c r="BD21" s="364"/>
    </row>
    <row r="22" spans="2:56" x14ac:dyDescent="0.2">
      <c r="B22" s="373" t="str">
        <f>Orçamento!B26</f>
        <v>Manutenção de maquinário</v>
      </c>
      <c r="C22" s="328" t="str">
        <f>Orçamento!C26</f>
        <v>R$</v>
      </c>
      <c r="D22" s="374">
        <f>Orçamento!D26</f>
        <v>0</v>
      </c>
      <c r="E22" s="1249"/>
      <c r="F22" s="374">
        <f>Orçamento!E26</f>
        <v>0</v>
      </c>
      <c r="G22" s="1249"/>
      <c r="H22" s="374">
        <f>Orçamento!F26</f>
        <v>0</v>
      </c>
      <c r="I22" s="1249"/>
      <c r="J22" s="374">
        <f>Orçamento!G26</f>
        <v>0</v>
      </c>
      <c r="K22" s="1249"/>
      <c r="L22" s="374">
        <f>Orçamento!H26</f>
        <v>0</v>
      </c>
      <c r="M22" s="1249"/>
      <c r="N22" s="374">
        <f>Orçamento!I26</f>
        <v>0</v>
      </c>
      <c r="O22" s="1249"/>
      <c r="P22" s="374">
        <f>Orçamento!J26</f>
        <v>0</v>
      </c>
      <c r="Q22" s="1249"/>
      <c r="R22" s="374">
        <f>Orçamento!K26</f>
        <v>0</v>
      </c>
      <c r="S22" s="1249"/>
      <c r="T22" s="374">
        <f>Orçamento!L26</f>
        <v>0</v>
      </c>
      <c r="U22" s="1249"/>
      <c r="V22" s="374">
        <f>Orçamento!M26</f>
        <v>0</v>
      </c>
      <c r="W22" s="1249"/>
      <c r="X22" s="374">
        <f>Orçamento!N26</f>
        <v>0</v>
      </c>
      <c r="Y22" s="1249"/>
      <c r="Z22" s="374">
        <f>Orçamento!O26</f>
        <v>0</v>
      </c>
      <c r="AA22" s="1249"/>
      <c r="AB22" s="375">
        <f t="shared" si="0"/>
        <v>0</v>
      </c>
      <c r="AC22" s="375" t="str">
        <f t="shared" si="1"/>
        <v>-</v>
      </c>
      <c r="AD22" s="190"/>
      <c r="AE22" s="632"/>
      <c r="AF22" s="364"/>
      <c r="AG22" s="364"/>
      <c r="AH22" s="364"/>
      <c r="AI22" s="364"/>
      <c r="AJ22" s="629"/>
      <c r="AK22" s="365"/>
      <c r="AL22" s="364"/>
      <c r="AM22" s="364"/>
      <c r="AN22" s="364"/>
      <c r="AO22" s="364"/>
      <c r="AP22" s="364"/>
      <c r="AQ22" s="364"/>
      <c r="AR22" s="364"/>
      <c r="AS22" s="364"/>
      <c r="AT22" s="364"/>
      <c r="AU22" s="364"/>
      <c r="AV22" s="364"/>
      <c r="AW22" s="364"/>
      <c r="AX22" s="364"/>
      <c r="AY22" s="364"/>
      <c r="AZ22" s="364"/>
      <c r="BA22" s="364"/>
      <c r="BB22" s="364"/>
      <c r="BC22" s="364"/>
      <c r="BD22" s="364"/>
    </row>
    <row r="23" spans="2:56" x14ac:dyDescent="0.2">
      <c r="B23" s="373" t="str">
        <f>Orçamento!B27</f>
        <v>Arrendamento de terra para o leite</v>
      </c>
      <c r="C23" s="328" t="str">
        <f>Orçamento!C27</f>
        <v>R$</v>
      </c>
      <c r="D23" s="374">
        <f>Orçamento!D27</f>
        <v>0</v>
      </c>
      <c r="E23" s="1246"/>
      <c r="F23" s="374">
        <f>Orçamento!E27</f>
        <v>0</v>
      </c>
      <c r="G23" s="1246"/>
      <c r="H23" s="374">
        <f>Orçamento!F27</f>
        <v>0</v>
      </c>
      <c r="I23" s="1246"/>
      <c r="J23" s="374">
        <f>Orçamento!G27</f>
        <v>0</v>
      </c>
      <c r="K23" s="1246"/>
      <c r="L23" s="374">
        <f>Orçamento!H27</f>
        <v>0</v>
      </c>
      <c r="M23" s="1246"/>
      <c r="N23" s="374">
        <f>Orçamento!I27</f>
        <v>0</v>
      </c>
      <c r="O23" s="1246"/>
      <c r="P23" s="374">
        <f>Orçamento!J27</f>
        <v>0</v>
      </c>
      <c r="Q23" s="1246"/>
      <c r="R23" s="374">
        <f>Orçamento!K27</f>
        <v>0</v>
      </c>
      <c r="S23" s="1246"/>
      <c r="T23" s="374">
        <f>Orçamento!L27</f>
        <v>0</v>
      </c>
      <c r="U23" s="1246"/>
      <c r="V23" s="374">
        <f>Orçamento!M27</f>
        <v>0</v>
      </c>
      <c r="W23" s="1246"/>
      <c r="X23" s="374">
        <f>Orçamento!N27</f>
        <v>0</v>
      </c>
      <c r="Y23" s="1246"/>
      <c r="Z23" s="374">
        <f>Orçamento!O27</f>
        <v>0</v>
      </c>
      <c r="AA23" s="1246"/>
      <c r="AB23" s="375">
        <f t="shared" si="0"/>
        <v>0</v>
      </c>
      <c r="AC23" s="375" t="str">
        <f t="shared" si="1"/>
        <v>-</v>
      </c>
      <c r="AD23" s="366"/>
      <c r="AE23" s="626"/>
      <c r="AF23" s="628"/>
      <c r="AG23" s="628"/>
      <c r="AH23" s="628"/>
      <c r="AI23" s="628"/>
      <c r="AJ23" s="359"/>
      <c r="AK23" s="630"/>
      <c r="AL23" s="628"/>
      <c r="AM23" s="630"/>
      <c r="AN23" s="628"/>
      <c r="AO23" s="628"/>
      <c r="AP23" s="628"/>
      <c r="AQ23" s="628"/>
      <c r="AR23" s="628"/>
      <c r="AS23" s="628"/>
      <c r="AT23" s="628"/>
      <c r="AU23" s="628"/>
      <c r="AV23" s="628"/>
      <c r="AW23" s="628"/>
      <c r="AX23" s="628"/>
      <c r="AY23" s="628"/>
      <c r="AZ23" s="628"/>
      <c r="BA23" s="628"/>
      <c r="BB23" s="628"/>
      <c r="BC23" s="628"/>
      <c r="BD23" s="628"/>
    </row>
    <row r="24" spans="2:56" x14ac:dyDescent="0.2">
      <c r="B24" s="373" t="str">
        <f>Orçamento!B28</f>
        <v>Depreciação</v>
      </c>
      <c r="C24" s="328" t="str">
        <f>Orçamento!C28</f>
        <v>R$</v>
      </c>
      <c r="D24" s="374">
        <f>Orçamento!D28</f>
        <v>0</v>
      </c>
      <c r="E24" s="1246"/>
      <c r="F24" s="374">
        <f>Orçamento!E28</f>
        <v>0</v>
      </c>
      <c r="G24" s="1246"/>
      <c r="H24" s="374">
        <f>Orçamento!F28</f>
        <v>0</v>
      </c>
      <c r="I24" s="1246"/>
      <c r="J24" s="374">
        <f>Orçamento!G28</f>
        <v>0</v>
      </c>
      <c r="K24" s="1246"/>
      <c r="L24" s="374">
        <f>Orçamento!H28</f>
        <v>0</v>
      </c>
      <c r="M24" s="1246"/>
      <c r="N24" s="374">
        <f>Orçamento!I28</f>
        <v>0</v>
      </c>
      <c r="O24" s="1246"/>
      <c r="P24" s="374">
        <f>Orçamento!J28</f>
        <v>0</v>
      </c>
      <c r="Q24" s="1246"/>
      <c r="R24" s="374">
        <f>Orçamento!K28</f>
        <v>0</v>
      </c>
      <c r="S24" s="1246"/>
      <c r="T24" s="374">
        <f>Orçamento!L28</f>
        <v>0</v>
      </c>
      <c r="U24" s="1246"/>
      <c r="V24" s="374">
        <f>Orçamento!M28</f>
        <v>0</v>
      </c>
      <c r="W24" s="1246"/>
      <c r="X24" s="374">
        <f>Orçamento!N28</f>
        <v>0</v>
      </c>
      <c r="Y24" s="1246"/>
      <c r="Z24" s="374">
        <f>Orçamento!O28</f>
        <v>0</v>
      </c>
      <c r="AA24" s="1246"/>
      <c r="AB24" s="375">
        <f t="shared" si="0"/>
        <v>0</v>
      </c>
      <c r="AC24" s="375"/>
      <c r="AD24" s="366"/>
      <c r="AE24" s="626"/>
      <c r="AF24" s="628"/>
      <c r="AG24" s="628"/>
      <c r="AH24" s="628"/>
      <c r="AI24" s="628"/>
      <c r="AJ24" s="359"/>
      <c r="AK24" s="630"/>
      <c r="AL24" s="628"/>
      <c r="AM24" s="630"/>
      <c r="AN24" s="628"/>
      <c r="AO24" s="628"/>
      <c r="AP24" s="628"/>
      <c r="AQ24" s="628"/>
      <c r="AR24" s="628"/>
      <c r="AS24" s="628"/>
      <c r="AT24" s="628"/>
      <c r="AU24" s="628"/>
      <c r="AV24" s="628"/>
      <c r="AW24" s="628"/>
      <c r="AX24" s="628"/>
      <c r="AY24" s="628"/>
      <c r="AZ24" s="628"/>
      <c r="BA24" s="628"/>
      <c r="BB24" s="628"/>
      <c r="BC24" s="628"/>
      <c r="BD24" s="628"/>
    </row>
    <row r="25" spans="2:56" x14ac:dyDescent="0.2">
      <c r="B25" s="373" t="str">
        <f>Orçamento!B29</f>
        <v>Outras despesas</v>
      </c>
      <c r="C25" s="328" t="str">
        <f>Orçamento!C29</f>
        <v>R$</v>
      </c>
      <c r="D25" s="374">
        <f>Orçamento!D29</f>
        <v>0</v>
      </c>
      <c r="E25" s="1246"/>
      <c r="F25" s="374">
        <f>Orçamento!E29</f>
        <v>0</v>
      </c>
      <c r="G25" s="1246"/>
      <c r="H25" s="374">
        <f>Orçamento!F29</f>
        <v>0</v>
      </c>
      <c r="I25" s="1246"/>
      <c r="J25" s="374">
        <f>Orçamento!G29</f>
        <v>0</v>
      </c>
      <c r="K25" s="1246"/>
      <c r="L25" s="374">
        <f>Orçamento!H29</f>
        <v>0</v>
      </c>
      <c r="M25" s="1246"/>
      <c r="N25" s="374">
        <f>Orçamento!I29</f>
        <v>0</v>
      </c>
      <c r="O25" s="1246"/>
      <c r="P25" s="374">
        <f>Orçamento!J29</f>
        <v>0</v>
      </c>
      <c r="Q25" s="1246"/>
      <c r="R25" s="374">
        <f>Orçamento!K29</f>
        <v>0</v>
      </c>
      <c r="S25" s="1246"/>
      <c r="T25" s="374">
        <f>Orçamento!L29</f>
        <v>0</v>
      </c>
      <c r="U25" s="1246"/>
      <c r="V25" s="374">
        <f>Orçamento!M29</f>
        <v>0</v>
      </c>
      <c r="W25" s="1246"/>
      <c r="X25" s="374">
        <f>Orçamento!N29</f>
        <v>0</v>
      </c>
      <c r="Y25" s="1246"/>
      <c r="Z25" s="374">
        <f>Orçamento!O29</f>
        <v>0</v>
      </c>
      <c r="AA25" s="1246"/>
      <c r="AB25" s="375">
        <f t="shared" si="0"/>
        <v>0</v>
      </c>
      <c r="AC25" s="375"/>
      <c r="AD25" s="366"/>
      <c r="AE25" s="626"/>
      <c r="AF25" s="628"/>
      <c r="AG25" s="628"/>
      <c r="AH25" s="628"/>
      <c r="AI25" s="628"/>
      <c r="AJ25" s="359"/>
      <c r="AK25" s="630"/>
      <c r="AL25" s="628"/>
      <c r="AM25" s="630"/>
      <c r="AN25" s="628"/>
      <c r="AO25" s="628"/>
      <c r="AP25" s="628"/>
      <c r="AQ25" s="628"/>
      <c r="AR25" s="628"/>
      <c r="AS25" s="628"/>
      <c r="AT25" s="628"/>
      <c r="AU25" s="628"/>
      <c r="AV25" s="628"/>
      <c r="AW25" s="628"/>
      <c r="AX25" s="628"/>
      <c r="AY25" s="628"/>
      <c r="AZ25" s="628"/>
      <c r="BA25" s="628"/>
      <c r="BB25" s="628"/>
      <c r="BC25" s="628"/>
      <c r="BD25" s="628"/>
    </row>
    <row r="26" spans="2:56" x14ac:dyDescent="0.2">
      <c r="B26" s="373" t="str">
        <f>Orçamento!B30</f>
        <v>Impostos de produção</v>
      </c>
      <c r="C26" s="328" t="str">
        <f>Orçamento!C30</f>
        <v>R$</v>
      </c>
      <c r="D26" s="374">
        <f>Orçamento!D30</f>
        <v>0</v>
      </c>
      <c r="E26" s="1246"/>
      <c r="F26" s="374">
        <f>Orçamento!E30</f>
        <v>0</v>
      </c>
      <c r="G26" s="1246"/>
      <c r="H26" s="374">
        <f>Orçamento!F30</f>
        <v>0</v>
      </c>
      <c r="I26" s="1246"/>
      <c r="J26" s="374">
        <f>Orçamento!G30</f>
        <v>0</v>
      </c>
      <c r="K26" s="1246"/>
      <c r="L26" s="374">
        <f>Orçamento!H30</f>
        <v>0</v>
      </c>
      <c r="M26" s="1246"/>
      <c r="N26" s="374">
        <f>Orçamento!I30</f>
        <v>0</v>
      </c>
      <c r="O26" s="1246"/>
      <c r="P26" s="374">
        <f>Orçamento!J30</f>
        <v>0</v>
      </c>
      <c r="Q26" s="1246"/>
      <c r="R26" s="374">
        <f>Orçamento!K30</f>
        <v>0</v>
      </c>
      <c r="S26" s="1246"/>
      <c r="T26" s="374">
        <f>Orçamento!L30</f>
        <v>0</v>
      </c>
      <c r="U26" s="1246"/>
      <c r="V26" s="374">
        <f>Orçamento!M30</f>
        <v>0</v>
      </c>
      <c r="W26" s="1246"/>
      <c r="X26" s="374">
        <f>Orçamento!N30</f>
        <v>0</v>
      </c>
      <c r="Y26" s="1246"/>
      <c r="Z26" s="374">
        <f>Orçamento!O30</f>
        <v>0</v>
      </c>
      <c r="AA26" s="1246"/>
      <c r="AB26" s="375">
        <f t="shared" si="0"/>
        <v>0</v>
      </c>
      <c r="AC26" s="375"/>
      <c r="AD26" s="366"/>
      <c r="AE26" s="626"/>
      <c r="AF26" s="628"/>
      <c r="AG26" s="628"/>
      <c r="AH26" s="628"/>
      <c r="AI26" s="628"/>
      <c r="AJ26" s="359"/>
      <c r="AK26" s="630"/>
      <c r="AL26" s="628"/>
      <c r="AM26" s="630"/>
      <c r="AN26" s="628"/>
      <c r="AO26" s="628"/>
      <c r="AP26" s="628"/>
      <c r="AQ26" s="628"/>
      <c r="AR26" s="628"/>
      <c r="AS26" s="628"/>
      <c r="AT26" s="628"/>
      <c r="AU26" s="628"/>
      <c r="AV26" s="628"/>
      <c r="AW26" s="628"/>
      <c r="AX26" s="628"/>
      <c r="AY26" s="628"/>
      <c r="AZ26" s="628"/>
      <c r="BA26" s="628"/>
      <c r="BB26" s="628"/>
      <c r="BC26" s="628"/>
      <c r="BD26" s="628"/>
    </row>
    <row r="27" spans="2:56" x14ac:dyDescent="0.2">
      <c r="B27" s="373" t="str">
        <f>Orçamento!B31</f>
        <v>Custo Operacional</v>
      </c>
      <c r="C27" s="329" t="str">
        <f>Orçamento!C31</f>
        <v>R$</v>
      </c>
      <c r="D27" s="609" t="e">
        <f>Orçamento!D31</f>
        <v>#DIV/0!</v>
      </c>
      <c r="E27" s="609">
        <f>SUM(E13:E26)</f>
        <v>0</v>
      </c>
      <c r="F27" s="609" t="e">
        <f>Orçamento!E31</f>
        <v>#DIV/0!</v>
      </c>
      <c r="G27" s="609">
        <f>SUM(G13:G26)</f>
        <v>0</v>
      </c>
      <c r="H27" s="609" t="e">
        <f>Orçamento!F31</f>
        <v>#DIV/0!</v>
      </c>
      <c r="I27" s="609">
        <f>SUM(I13:I26)</f>
        <v>0</v>
      </c>
      <c r="J27" s="609" t="e">
        <f>Orçamento!G31</f>
        <v>#DIV/0!</v>
      </c>
      <c r="K27" s="609">
        <f>SUM(K13:K26)</f>
        <v>0</v>
      </c>
      <c r="L27" s="609" t="e">
        <f>Orçamento!H31</f>
        <v>#DIV/0!</v>
      </c>
      <c r="M27" s="609">
        <f>SUM(M13:M26)</f>
        <v>0</v>
      </c>
      <c r="N27" s="609" t="e">
        <f>Orçamento!I31</f>
        <v>#DIV/0!</v>
      </c>
      <c r="O27" s="609">
        <f>SUM(O13:O26)</f>
        <v>0</v>
      </c>
      <c r="P27" s="609" t="e">
        <f>Orçamento!J31</f>
        <v>#DIV/0!</v>
      </c>
      <c r="Q27" s="609">
        <f>SUM(Q13:Q26)</f>
        <v>0</v>
      </c>
      <c r="R27" s="609" t="e">
        <f>Orçamento!K31</f>
        <v>#DIV/0!</v>
      </c>
      <c r="S27" s="609">
        <f>SUM(S13:S26)</f>
        <v>0</v>
      </c>
      <c r="T27" s="609" t="e">
        <f>Orçamento!L31</f>
        <v>#DIV/0!</v>
      </c>
      <c r="U27" s="609">
        <f>SUM(U13:U26)</f>
        <v>0</v>
      </c>
      <c r="V27" s="609" t="e">
        <f>Orçamento!M31</f>
        <v>#DIV/0!</v>
      </c>
      <c r="W27" s="609">
        <f>SUM(W13:W26)</f>
        <v>0</v>
      </c>
      <c r="X27" s="609" t="e">
        <f>Orçamento!N31</f>
        <v>#DIV/0!</v>
      </c>
      <c r="Y27" s="609">
        <f>SUM(Y13:Y26)</f>
        <v>0</v>
      </c>
      <c r="Z27" s="609" t="e">
        <f>Orçamento!O31</f>
        <v>#DIV/0!</v>
      </c>
      <c r="AA27" s="609">
        <f>SUM(AA13:AA26)</f>
        <v>0</v>
      </c>
      <c r="AB27" s="610" t="e">
        <f t="shared" si="0"/>
        <v>#DIV/0!</v>
      </c>
      <c r="AC27" s="610">
        <f t="shared" si="1"/>
        <v>0</v>
      </c>
      <c r="AD27" s="191"/>
      <c r="AE27" s="626"/>
      <c r="AF27" s="626"/>
      <c r="AG27" s="626"/>
      <c r="AH27" s="626"/>
      <c r="AI27" s="626"/>
      <c r="AJ27" s="367"/>
      <c r="AK27" s="627"/>
      <c r="AL27" s="626"/>
      <c r="AM27" s="627"/>
      <c r="AN27" s="626"/>
      <c r="AO27" s="626"/>
      <c r="AP27" s="626"/>
      <c r="AQ27" s="626"/>
      <c r="AR27" s="626"/>
      <c r="AS27" s="626"/>
      <c r="AT27" s="626"/>
      <c r="AU27" s="626"/>
      <c r="AV27" s="626"/>
      <c r="AW27" s="626"/>
      <c r="AX27" s="626"/>
      <c r="AY27" s="626"/>
      <c r="AZ27" s="626"/>
      <c r="BA27" s="626"/>
      <c r="BB27" s="626"/>
      <c r="BC27" s="626"/>
      <c r="BD27" s="626"/>
    </row>
    <row r="28" spans="2:56" x14ac:dyDescent="0.2">
      <c r="B28" s="373" t="str">
        <f>Orçamento!B32</f>
        <v>Resultado Operacional</v>
      </c>
      <c r="C28" s="329" t="str">
        <f>Orçamento!C32</f>
        <v>R$</v>
      </c>
      <c r="D28" s="609" t="e">
        <f>Orçamento!D32</f>
        <v>#DIV/0!</v>
      </c>
      <c r="E28" s="611">
        <f>E12+E11-E27</f>
        <v>0</v>
      </c>
      <c r="F28" s="609" t="e">
        <f>Orçamento!E32</f>
        <v>#DIV/0!</v>
      </c>
      <c r="G28" s="611">
        <f>G12+G11-G27</f>
        <v>0</v>
      </c>
      <c r="H28" s="609" t="e">
        <f>Orçamento!F32</f>
        <v>#DIV/0!</v>
      </c>
      <c r="I28" s="611">
        <f>I12+I11-I27</f>
        <v>0</v>
      </c>
      <c r="J28" s="609" t="e">
        <f>Orçamento!G32</f>
        <v>#DIV/0!</v>
      </c>
      <c r="K28" s="611">
        <f>K12+K11-K27</f>
        <v>0</v>
      </c>
      <c r="L28" s="609" t="e">
        <f>Orçamento!H32</f>
        <v>#DIV/0!</v>
      </c>
      <c r="M28" s="611">
        <f>M12+M11-M27</f>
        <v>0</v>
      </c>
      <c r="N28" s="609" t="e">
        <f>Orçamento!I32</f>
        <v>#DIV/0!</v>
      </c>
      <c r="O28" s="611">
        <f>O12+O11-O27</f>
        <v>0</v>
      </c>
      <c r="P28" s="609" t="e">
        <f>Orçamento!J32</f>
        <v>#DIV/0!</v>
      </c>
      <c r="Q28" s="611">
        <f>Q12+Q11-Q27</f>
        <v>0</v>
      </c>
      <c r="R28" s="609" t="e">
        <f>Orçamento!K32</f>
        <v>#DIV/0!</v>
      </c>
      <c r="S28" s="611">
        <f>S12+S11-S27</f>
        <v>0</v>
      </c>
      <c r="T28" s="609" t="e">
        <f>Orçamento!L32</f>
        <v>#DIV/0!</v>
      </c>
      <c r="U28" s="611">
        <f>U12+U11-U27</f>
        <v>0</v>
      </c>
      <c r="V28" s="609" t="e">
        <f>Orçamento!M32</f>
        <v>#DIV/0!</v>
      </c>
      <c r="W28" s="611">
        <f>W12+W11-W27</f>
        <v>0</v>
      </c>
      <c r="X28" s="609" t="e">
        <f>Orçamento!N32</f>
        <v>#DIV/0!</v>
      </c>
      <c r="Y28" s="611">
        <f>Y12+Y11-Y27</f>
        <v>0</v>
      </c>
      <c r="Z28" s="609" t="e">
        <f>Orçamento!O32</f>
        <v>#DIV/0!</v>
      </c>
      <c r="AA28" s="611">
        <f>AA12+AA11-AA27</f>
        <v>0</v>
      </c>
      <c r="AB28" s="610" t="e">
        <f t="shared" si="0"/>
        <v>#DIV/0!</v>
      </c>
      <c r="AC28" s="610">
        <f t="shared" si="1"/>
        <v>0</v>
      </c>
      <c r="AD28" s="191"/>
      <c r="AE28" s="626"/>
      <c r="AF28" s="633"/>
      <c r="AG28" s="629"/>
      <c r="AH28" s="633"/>
      <c r="AI28" s="629"/>
      <c r="AJ28" s="633"/>
      <c r="AK28" s="634"/>
      <c r="AL28" s="629"/>
      <c r="AM28" s="634"/>
      <c r="AN28" s="629"/>
      <c r="AO28" s="633"/>
      <c r="AP28" s="629"/>
      <c r="AQ28" s="633"/>
      <c r="AR28" s="629"/>
      <c r="AS28" s="633"/>
      <c r="AT28" s="629"/>
      <c r="AU28" s="633"/>
      <c r="AV28" s="629"/>
      <c r="AW28" s="633"/>
      <c r="AX28" s="629"/>
      <c r="AY28" s="633"/>
      <c r="AZ28" s="629"/>
      <c r="BA28" s="633"/>
      <c r="BB28" s="629"/>
      <c r="BC28" s="633"/>
      <c r="BD28" s="629"/>
    </row>
    <row r="29" spans="2:56" x14ac:dyDescent="0.2">
      <c r="B29" s="373" t="s">
        <v>480</v>
      </c>
      <c r="C29" s="328" t="s">
        <v>18</v>
      </c>
      <c r="D29" s="374">
        <f>Orçamento!D33</f>
        <v>0</v>
      </c>
      <c r="E29" s="1246"/>
      <c r="F29" s="374">
        <f>Orçamento!E33</f>
        <v>0</v>
      </c>
      <c r="G29" s="1250"/>
      <c r="H29" s="374">
        <f>Orçamento!F33</f>
        <v>0</v>
      </c>
      <c r="I29" s="1250"/>
      <c r="J29" s="374">
        <f>Orçamento!G33</f>
        <v>0</v>
      </c>
      <c r="K29" s="1250"/>
      <c r="L29" s="374">
        <f>Orçamento!H33</f>
        <v>0</v>
      </c>
      <c r="M29" s="1250"/>
      <c r="N29" s="374">
        <f>Orçamento!I33</f>
        <v>0</v>
      </c>
      <c r="O29" s="1250"/>
      <c r="P29" s="374">
        <f>Orçamento!J33</f>
        <v>0</v>
      </c>
      <c r="Q29" s="1250"/>
      <c r="R29" s="374">
        <f>Orçamento!K33</f>
        <v>0</v>
      </c>
      <c r="S29" s="1250"/>
      <c r="T29" s="374">
        <f>Orçamento!L33</f>
        <v>0</v>
      </c>
      <c r="U29" s="1250"/>
      <c r="V29" s="374">
        <f>Orçamento!M33</f>
        <v>0</v>
      </c>
      <c r="W29" s="1250"/>
      <c r="X29" s="374">
        <f>Orçamento!N33</f>
        <v>0</v>
      </c>
      <c r="Y29" s="1250"/>
      <c r="Z29" s="374">
        <f>Orçamento!O33</f>
        <v>0</v>
      </c>
      <c r="AA29" s="1250"/>
      <c r="AB29" s="375">
        <f t="shared" si="0"/>
        <v>0</v>
      </c>
      <c r="AC29" s="375" t="str">
        <f t="shared" si="1"/>
        <v>-</v>
      </c>
      <c r="AD29" s="191"/>
      <c r="AE29" s="626"/>
      <c r="AF29" s="633"/>
      <c r="AG29" s="629"/>
      <c r="AH29" s="633"/>
      <c r="AI29" s="629"/>
      <c r="AJ29" s="633"/>
      <c r="AK29" s="634"/>
      <c r="AL29" s="629"/>
      <c r="AM29" s="634"/>
      <c r="AN29" s="629"/>
      <c r="AO29" s="633"/>
      <c r="AP29" s="629"/>
      <c r="AQ29" s="633"/>
      <c r="AR29" s="629"/>
      <c r="AS29" s="633"/>
      <c r="AT29" s="629"/>
      <c r="AU29" s="633"/>
      <c r="AV29" s="629"/>
      <c r="AW29" s="633"/>
      <c r="AX29" s="629"/>
      <c r="AY29" s="633"/>
      <c r="AZ29" s="629"/>
      <c r="BA29" s="633"/>
      <c r="BB29" s="629"/>
      <c r="BC29" s="633"/>
      <c r="BD29" s="629"/>
    </row>
    <row r="30" spans="2:56" x14ac:dyDescent="0.2">
      <c r="B30" s="373" t="s">
        <v>481</v>
      </c>
      <c r="C30" s="328" t="s">
        <v>18</v>
      </c>
      <c r="D30" s="374">
        <f>Orçamento!D34</f>
        <v>0</v>
      </c>
      <c r="E30" s="1250"/>
      <c r="F30" s="374">
        <f>Orçamento!E34</f>
        <v>0</v>
      </c>
      <c r="G30" s="1250"/>
      <c r="H30" s="374">
        <f>Orçamento!F34</f>
        <v>0</v>
      </c>
      <c r="I30" s="1250"/>
      <c r="J30" s="374">
        <f>Orçamento!G34</f>
        <v>0</v>
      </c>
      <c r="K30" s="1250"/>
      <c r="L30" s="374">
        <f>Orçamento!H34</f>
        <v>0</v>
      </c>
      <c r="M30" s="1250"/>
      <c r="N30" s="374">
        <f>Orçamento!I34</f>
        <v>0</v>
      </c>
      <c r="O30" s="1250"/>
      <c r="P30" s="374">
        <f>Orçamento!J34</f>
        <v>0</v>
      </c>
      <c r="Q30" s="1250"/>
      <c r="R30" s="374">
        <f>Orçamento!K34</f>
        <v>0</v>
      </c>
      <c r="S30" s="1250"/>
      <c r="T30" s="374">
        <f>Orçamento!L34</f>
        <v>0</v>
      </c>
      <c r="U30" s="1250"/>
      <c r="V30" s="374">
        <f>Orçamento!M34</f>
        <v>0</v>
      </c>
      <c r="W30" s="1250"/>
      <c r="X30" s="374">
        <f>Orçamento!N34</f>
        <v>0</v>
      </c>
      <c r="Y30" s="1250"/>
      <c r="Z30" s="374">
        <f>Orçamento!O34</f>
        <v>0</v>
      </c>
      <c r="AA30" s="1250"/>
      <c r="AB30" s="375">
        <f t="shared" si="0"/>
        <v>0</v>
      </c>
      <c r="AC30" s="375" t="str">
        <f t="shared" si="1"/>
        <v>-</v>
      </c>
      <c r="AD30" s="191"/>
      <c r="AE30" s="626"/>
      <c r="AF30" s="633"/>
      <c r="AG30" s="629"/>
      <c r="AH30" s="633"/>
      <c r="AI30" s="629"/>
      <c r="AJ30" s="633"/>
      <c r="AK30" s="634"/>
      <c r="AL30" s="629"/>
      <c r="AM30" s="634"/>
      <c r="AN30" s="629"/>
      <c r="AO30" s="633"/>
      <c r="AP30" s="629"/>
      <c r="AQ30" s="633"/>
      <c r="AR30" s="629"/>
      <c r="AS30" s="633"/>
      <c r="AT30" s="629"/>
      <c r="AU30" s="633"/>
      <c r="AV30" s="629"/>
      <c r="AW30" s="633"/>
      <c r="AX30" s="629"/>
      <c r="AY30" s="633"/>
      <c r="AZ30" s="629"/>
      <c r="BA30" s="633"/>
      <c r="BB30" s="629"/>
      <c r="BC30" s="633"/>
      <c r="BD30" s="629"/>
    </row>
    <row r="31" spans="2:56" x14ac:dyDescent="0.2">
      <c r="B31" s="376" t="s">
        <v>482</v>
      </c>
      <c r="C31" s="329" t="s">
        <v>18</v>
      </c>
      <c r="D31" s="612" t="e">
        <f t="shared" ref="D31:AB31" si="2">D28-D29+D30</f>
        <v>#DIV/0!</v>
      </c>
      <c r="E31" s="612">
        <f t="shared" si="2"/>
        <v>0</v>
      </c>
      <c r="F31" s="612" t="e">
        <f t="shared" si="2"/>
        <v>#DIV/0!</v>
      </c>
      <c r="G31" s="612">
        <f t="shared" si="2"/>
        <v>0</v>
      </c>
      <c r="H31" s="612" t="e">
        <f t="shared" si="2"/>
        <v>#DIV/0!</v>
      </c>
      <c r="I31" s="612">
        <f t="shared" si="2"/>
        <v>0</v>
      </c>
      <c r="J31" s="612" t="e">
        <f t="shared" si="2"/>
        <v>#DIV/0!</v>
      </c>
      <c r="K31" s="612">
        <f t="shared" si="2"/>
        <v>0</v>
      </c>
      <c r="L31" s="612" t="e">
        <f t="shared" si="2"/>
        <v>#DIV/0!</v>
      </c>
      <c r="M31" s="612">
        <f t="shared" si="2"/>
        <v>0</v>
      </c>
      <c r="N31" s="612" t="e">
        <f t="shared" si="2"/>
        <v>#DIV/0!</v>
      </c>
      <c r="O31" s="612">
        <f t="shared" si="2"/>
        <v>0</v>
      </c>
      <c r="P31" s="612" t="e">
        <f t="shared" si="2"/>
        <v>#DIV/0!</v>
      </c>
      <c r="Q31" s="612">
        <f t="shared" si="2"/>
        <v>0</v>
      </c>
      <c r="R31" s="612" t="e">
        <f t="shared" si="2"/>
        <v>#DIV/0!</v>
      </c>
      <c r="S31" s="612">
        <f t="shared" si="2"/>
        <v>0</v>
      </c>
      <c r="T31" s="612" t="e">
        <f>T28-T29+T30</f>
        <v>#DIV/0!</v>
      </c>
      <c r="U31" s="612">
        <f t="shared" si="2"/>
        <v>0</v>
      </c>
      <c r="V31" s="612" t="e">
        <f t="shared" si="2"/>
        <v>#DIV/0!</v>
      </c>
      <c r="W31" s="612">
        <f t="shared" si="2"/>
        <v>0</v>
      </c>
      <c r="X31" s="612" t="e">
        <f t="shared" si="2"/>
        <v>#DIV/0!</v>
      </c>
      <c r="Y31" s="612">
        <f t="shared" si="2"/>
        <v>0</v>
      </c>
      <c r="Z31" s="612" t="e">
        <f t="shared" si="2"/>
        <v>#DIV/0!</v>
      </c>
      <c r="AA31" s="612">
        <f t="shared" si="2"/>
        <v>0</v>
      </c>
      <c r="AB31" s="612" t="e">
        <f t="shared" si="2"/>
        <v>#DIV/0!</v>
      </c>
      <c r="AC31" s="612" t="str">
        <f>IFERROR(AC28-AC29+AC30,"-")</f>
        <v>-</v>
      </c>
      <c r="AD31" s="174"/>
    </row>
    <row r="32" spans="2:56" x14ac:dyDescent="0.2">
      <c r="AC32" s="174"/>
    </row>
    <row r="33" spans="3:29" x14ac:dyDescent="0.2">
      <c r="C33" s="613"/>
      <c r="D33" s="613"/>
      <c r="E33" s="613"/>
      <c r="F33" s="613"/>
      <c r="G33" s="613"/>
      <c r="H33" s="613"/>
      <c r="I33" s="613"/>
      <c r="J33" s="613"/>
      <c r="K33" s="613"/>
      <c r="L33" s="613"/>
      <c r="M33" s="613"/>
      <c r="N33" s="613"/>
      <c r="AC33" s="174"/>
    </row>
  </sheetData>
  <sheetProtection password="8826" sheet="1" objects="1" scenarios="1"/>
  <mergeCells count="16">
    <mergeCell ref="Z5:AA5"/>
    <mergeCell ref="AB5:AC5"/>
    <mergeCell ref="R5:S5"/>
    <mergeCell ref="C5:C6"/>
    <mergeCell ref="T5:U5"/>
    <mergeCell ref="V5:W5"/>
    <mergeCell ref="X5:Y5"/>
    <mergeCell ref="B5:B6"/>
    <mergeCell ref="Q1:Q4"/>
    <mergeCell ref="D5:E5"/>
    <mergeCell ref="F5:G5"/>
    <mergeCell ref="H5:I5"/>
    <mergeCell ref="J5:K5"/>
    <mergeCell ref="L5:M5"/>
    <mergeCell ref="N5:O5"/>
    <mergeCell ref="P5:Q5"/>
  </mergeCells>
  <pageMargins left="0.511811024" right="0.511811024" top="0.78740157499999996" bottom="0.78740157499999996" header="0.31496062000000002" footer="0.31496062000000002"/>
  <pageSetup orientation="portrait" horizontalDpi="4294967292" verticalDpi="4294967292"/>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theme="9" tint="0.499984740745262"/>
  </sheetPr>
  <dimension ref="A1:O38"/>
  <sheetViews>
    <sheetView zoomScale="85" zoomScaleNormal="85" zoomScalePageLayoutView="85" workbookViewId="0">
      <selection activeCell="M6" sqref="M6:N7"/>
    </sheetView>
  </sheetViews>
  <sheetFormatPr baseColWidth="10" defaultColWidth="10.6640625" defaultRowHeight="14" x14ac:dyDescent="0.2"/>
  <cols>
    <col min="1" max="1" width="4" style="57" customWidth="1"/>
    <col min="2" max="2" width="28.6640625" style="174" customWidth="1"/>
    <col min="3" max="3" width="7.6640625" style="174" customWidth="1"/>
    <col min="4" max="15" width="17" style="174" customWidth="1"/>
    <col min="16" max="16" width="14" style="174" bestFit="1" customWidth="1"/>
    <col min="17" max="17" width="4.5" style="174" customWidth="1"/>
    <col min="18" max="18" width="10.6640625" style="174" customWidth="1"/>
    <col min="19" max="19" width="20" style="174" customWidth="1"/>
    <col min="20" max="20" width="10.6640625" style="174" customWidth="1"/>
    <col min="21" max="21" width="20" style="174" customWidth="1"/>
    <col min="22" max="22" width="10.6640625" style="174" customWidth="1"/>
    <col min="23" max="23" width="20" style="174" customWidth="1"/>
    <col min="24" max="24" width="10.6640625" style="174" customWidth="1"/>
    <col min="25" max="25" width="20" style="174" customWidth="1"/>
    <col min="26" max="26" width="10.6640625" style="174" customWidth="1"/>
    <col min="27" max="27" width="20" style="174" customWidth="1"/>
    <col min="28" max="28" width="15" style="174" customWidth="1"/>
    <col min="29" max="29" width="24.33203125" style="174" customWidth="1"/>
    <col min="30" max="16384" width="10.6640625" style="174"/>
  </cols>
  <sheetData>
    <row r="1" spans="2:15" x14ac:dyDescent="0.2">
      <c r="B1" s="930"/>
      <c r="C1" s="930"/>
    </row>
    <row r="2" spans="2:15" x14ac:dyDescent="0.2">
      <c r="B2" s="930"/>
      <c r="C2" s="930"/>
    </row>
    <row r="3" spans="2:15" x14ac:dyDescent="0.2">
      <c r="B3" s="930"/>
      <c r="C3" s="930"/>
    </row>
    <row r="4" spans="2:15" x14ac:dyDescent="0.2">
      <c r="B4" s="930"/>
      <c r="C4" s="930"/>
    </row>
    <row r="6" spans="2:15" ht="22.25" customHeight="1" x14ac:dyDescent="0.2">
      <c r="B6" s="931" t="s">
        <v>552</v>
      </c>
      <c r="C6" s="932">
        <f>Home!V3</f>
        <v>2016</v>
      </c>
      <c r="D6" s="933"/>
      <c r="E6" s="933"/>
      <c r="F6" s="933"/>
      <c r="G6" s="933"/>
      <c r="H6" s="933"/>
      <c r="I6" s="933"/>
      <c r="J6" s="933"/>
      <c r="K6" s="933"/>
      <c r="L6" s="933"/>
      <c r="M6" s="1251" t="s">
        <v>592</v>
      </c>
      <c r="N6" s="1251"/>
      <c r="O6" s="933"/>
    </row>
    <row r="7" spans="2:15" ht="16" x14ac:dyDescent="0.2">
      <c r="B7" s="933"/>
      <c r="C7" s="933"/>
      <c r="D7" s="933"/>
      <c r="E7" s="933"/>
      <c r="F7" s="933"/>
      <c r="G7" s="933"/>
      <c r="H7" s="933"/>
      <c r="I7" s="933"/>
      <c r="J7" s="933"/>
      <c r="K7" s="933"/>
      <c r="L7" s="933"/>
      <c r="M7" s="1251"/>
      <c r="N7" s="1251"/>
      <c r="O7" s="933"/>
    </row>
    <row r="8" spans="2:15" ht="32" customHeight="1" x14ac:dyDescent="0.2">
      <c r="B8" s="934" t="s">
        <v>577</v>
      </c>
      <c r="C8" s="935" t="s">
        <v>18</v>
      </c>
      <c r="D8" s="936">
        <f>'Input Financeiro atual'!C57</f>
        <v>0</v>
      </c>
      <c r="E8" s="933"/>
      <c r="F8" s="933"/>
      <c r="G8" s="933"/>
      <c r="H8" s="933"/>
      <c r="I8" s="933"/>
      <c r="J8" s="933"/>
      <c r="K8" s="933"/>
      <c r="L8" s="933"/>
      <c r="M8" s="933"/>
      <c r="N8" s="933"/>
      <c r="O8" s="933"/>
    </row>
    <row r="9" spans="2:15" ht="11" customHeight="1" x14ac:dyDescent="0.2">
      <c r="B9" s="933"/>
      <c r="C9" s="933"/>
      <c r="D9" s="937"/>
      <c r="E9" s="937"/>
      <c r="F9" s="937"/>
      <c r="G9" s="937"/>
      <c r="H9" s="937"/>
      <c r="I9" s="937"/>
      <c r="J9" s="937"/>
      <c r="K9" s="937"/>
      <c r="L9" s="937"/>
      <c r="M9" s="937"/>
      <c r="N9" s="937"/>
      <c r="O9" s="937"/>
    </row>
    <row r="10" spans="2:15" ht="23" customHeight="1" x14ac:dyDescent="0.2">
      <c r="B10" s="938" t="s">
        <v>34</v>
      </c>
      <c r="C10" s="939">
        <f>C6</f>
        <v>2016</v>
      </c>
      <c r="D10" s="938" t="s">
        <v>381</v>
      </c>
      <c r="E10" s="938" t="s">
        <v>382</v>
      </c>
      <c r="F10" s="938" t="s">
        <v>383</v>
      </c>
      <c r="G10" s="938" t="s">
        <v>384</v>
      </c>
      <c r="H10" s="938" t="s">
        <v>385</v>
      </c>
      <c r="I10" s="938" t="s">
        <v>386</v>
      </c>
      <c r="J10" s="938" t="s">
        <v>387</v>
      </c>
      <c r="K10" s="938" t="s">
        <v>388</v>
      </c>
      <c r="L10" s="938" t="s">
        <v>389</v>
      </c>
      <c r="M10" s="938" t="s">
        <v>390</v>
      </c>
      <c r="N10" s="938" t="s">
        <v>391</v>
      </c>
      <c r="O10" s="938" t="s">
        <v>392</v>
      </c>
    </row>
    <row r="11" spans="2:15" ht="24" customHeight="1" x14ac:dyDescent="0.2">
      <c r="B11" s="940" t="s">
        <v>568</v>
      </c>
      <c r="C11" s="941" t="s">
        <v>18</v>
      </c>
      <c r="D11" s="942">
        <f>'Caixa Dinâmico'!D7</f>
        <v>0</v>
      </c>
      <c r="E11" s="942">
        <f>'Caixa Dinâmico'!E7</f>
        <v>0</v>
      </c>
      <c r="F11" s="942">
        <f>'Caixa Dinâmico'!F7</f>
        <v>0</v>
      </c>
      <c r="G11" s="942">
        <f>'Caixa Dinâmico'!G7</f>
        <v>0</v>
      </c>
      <c r="H11" s="942">
        <f>'Caixa Dinâmico'!H7</f>
        <v>0</v>
      </c>
      <c r="I11" s="942">
        <f>'Caixa Dinâmico'!I7</f>
        <v>0</v>
      </c>
      <c r="J11" s="942">
        <f>'Caixa Dinâmico'!J7</f>
        <v>0</v>
      </c>
      <c r="K11" s="942">
        <f>'Caixa Dinâmico'!K7</f>
        <v>0</v>
      </c>
      <c r="L11" s="942">
        <f>'Caixa Dinâmico'!L7</f>
        <v>0</v>
      </c>
      <c r="M11" s="942">
        <f>'Caixa Dinâmico'!M7</f>
        <v>0</v>
      </c>
      <c r="N11" s="942">
        <f>'Caixa Dinâmico'!N7</f>
        <v>0</v>
      </c>
      <c r="O11" s="942">
        <f>'Caixa Dinâmico'!O7</f>
        <v>0</v>
      </c>
    </row>
    <row r="12" spans="2:15" ht="24" customHeight="1" x14ac:dyDescent="0.2">
      <c r="B12" s="940" t="s">
        <v>567</v>
      </c>
      <c r="C12" s="941" t="s">
        <v>18</v>
      </c>
      <c r="D12" s="925"/>
      <c r="E12" s="925"/>
      <c r="F12" s="925"/>
      <c r="G12" s="925"/>
      <c r="H12" s="925"/>
      <c r="I12" s="925"/>
      <c r="J12" s="925"/>
      <c r="K12" s="925"/>
      <c r="L12" s="925"/>
      <c r="M12" s="925"/>
      <c r="N12" s="925"/>
      <c r="O12" s="925"/>
    </row>
    <row r="13" spans="2:15" ht="24" customHeight="1" x14ac:dyDescent="0.2">
      <c r="B13" s="940" t="s">
        <v>560</v>
      </c>
      <c r="C13" s="941" t="s">
        <v>18</v>
      </c>
      <c r="D13" s="942">
        <f>'Caixa Dinâmico'!D8</f>
        <v>0</v>
      </c>
      <c r="E13" s="942">
        <f>'Caixa Dinâmico'!E8</f>
        <v>0</v>
      </c>
      <c r="F13" s="942">
        <f>'Caixa Dinâmico'!F8</f>
        <v>0</v>
      </c>
      <c r="G13" s="942">
        <f>'Caixa Dinâmico'!G8</f>
        <v>0</v>
      </c>
      <c r="H13" s="942">
        <f>'Caixa Dinâmico'!H8</f>
        <v>0</v>
      </c>
      <c r="I13" s="942">
        <f>'Caixa Dinâmico'!I8</f>
        <v>0</v>
      </c>
      <c r="J13" s="942">
        <f>'Caixa Dinâmico'!J8</f>
        <v>0</v>
      </c>
      <c r="K13" s="942">
        <f>'Caixa Dinâmico'!K8</f>
        <v>0</v>
      </c>
      <c r="L13" s="942">
        <f>'Caixa Dinâmico'!L8</f>
        <v>0</v>
      </c>
      <c r="M13" s="942">
        <f>'Caixa Dinâmico'!M8</f>
        <v>0</v>
      </c>
      <c r="N13" s="942">
        <f>'Caixa Dinâmico'!N8</f>
        <v>0</v>
      </c>
      <c r="O13" s="942">
        <f>'Caixa Dinâmico'!O8</f>
        <v>0</v>
      </c>
    </row>
    <row r="14" spans="2:15" ht="24" customHeight="1" x14ac:dyDescent="0.2">
      <c r="B14" s="940" t="s">
        <v>561</v>
      </c>
      <c r="C14" s="941" t="s">
        <v>18</v>
      </c>
      <c r="D14" s="942">
        <f>'Caixa Dinâmico'!D9</f>
        <v>0</v>
      </c>
      <c r="E14" s="942">
        <f>'Caixa Dinâmico'!E9</f>
        <v>0</v>
      </c>
      <c r="F14" s="942">
        <f>'Caixa Dinâmico'!F9</f>
        <v>0</v>
      </c>
      <c r="G14" s="942">
        <f>'Caixa Dinâmico'!G9</f>
        <v>0</v>
      </c>
      <c r="H14" s="942">
        <f>'Caixa Dinâmico'!H9</f>
        <v>0</v>
      </c>
      <c r="I14" s="942">
        <f>'Caixa Dinâmico'!I9</f>
        <v>0</v>
      </c>
      <c r="J14" s="942">
        <f>'Caixa Dinâmico'!J9</f>
        <v>0</v>
      </c>
      <c r="K14" s="942">
        <f>'Caixa Dinâmico'!K9</f>
        <v>0</v>
      </c>
      <c r="L14" s="942">
        <f>'Caixa Dinâmico'!L9</f>
        <v>0</v>
      </c>
      <c r="M14" s="942">
        <f>'Caixa Dinâmico'!M9</f>
        <v>0</v>
      </c>
      <c r="N14" s="942">
        <f>'Caixa Dinâmico'!N9</f>
        <v>0</v>
      </c>
      <c r="O14" s="942">
        <f>'Caixa Dinâmico'!O9</f>
        <v>0</v>
      </c>
    </row>
    <row r="15" spans="2:15" ht="23" customHeight="1" x14ac:dyDescent="0.2">
      <c r="B15" s="943" t="s">
        <v>576</v>
      </c>
      <c r="C15" s="944" t="s">
        <v>18</v>
      </c>
      <c r="D15" s="945">
        <f>D8+D11+D12-D13-D14</f>
        <v>0</v>
      </c>
      <c r="E15" s="945">
        <f>D15+E11+E12-E13-E14</f>
        <v>0</v>
      </c>
      <c r="F15" s="945">
        <f t="shared" ref="F15:O15" si="0">E15+F11+F12-F13-F14</f>
        <v>0</v>
      </c>
      <c r="G15" s="945">
        <f t="shared" si="0"/>
        <v>0</v>
      </c>
      <c r="H15" s="945">
        <f t="shared" si="0"/>
        <v>0</v>
      </c>
      <c r="I15" s="945">
        <f t="shared" si="0"/>
        <v>0</v>
      </c>
      <c r="J15" s="945">
        <f t="shared" si="0"/>
        <v>0</v>
      </c>
      <c r="K15" s="945">
        <f t="shared" si="0"/>
        <v>0</v>
      </c>
      <c r="L15" s="945">
        <f t="shared" si="0"/>
        <v>0</v>
      </c>
      <c r="M15" s="945">
        <f t="shared" si="0"/>
        <v>0</v>
      </c>
      <c r="N15" s="945">
        <f t="shared" si="0"/>
        <v>0</v>
      </c>
      <c r="O15" s="945">
        <f t="shared" si="0"/>
        <v>0</v>
      </c>
    </row>
    <row r="16" spans="2:15" ht="11" customHeight="1" x14ac:dyDescent="0.2">
      <c r="B16" s="933"/>
      <c r="C16" s="933"/>
      <c r="D16" s="933"/>
      <c r="E16" s="933"/>
      <c r="F16" s="933"/>
      <c r="G16" s="933"/>
      <c r="H16" s="933"/>
      <c r="I16" s="933"/>
      <c r="J16" s="933"/>
      <c r="K16" s="933"/>
      <c r="L16" s="933"/>
      <c r="M16" s="933"/>
      <c r="N16" s="933"/>
      <c r="O16" s="933"/>
    </row>
    <row r="17" spans="2:15" ht="25.25" customHeight="1" x14ac:dyDescent="0.2">
      <c r="B17" s="938" t="s">
        <v>562</v>
      </c>
      <c r="C17" s="939">
        <f>C10+1</f>
        <v>2017</v>
      </c>
      <c r="D17" s="938" t="s">
        <v>381</v>
      </c>
      <c r="E17" s="938" t="s">
        <v>382</v>
      </c>
      <c r="F17" s="938" t="s">
        <v>383</v>
      </c>
      <c r="G17" s="938" t="s">
        <v>384</v>
      </c>
      <c r="H17" s="938" t="s">
        <v>385</v>
      </c>
      <c r="I17" s="938" t="s">
        <v>386</v>
      </c>
      <c r="J17" s="938" t="s">
        <v>387</v>
      </c>
      <c r="K17" s="938" t="s">
        <v>388</v>
      </c>
      <c r="L17" s="938" t="s">
        <v>389</v>
      </c>
      <c r="M17" s="938" t="s">
        <v>390</v>
      </c>
      <c r="N17" s="938" t="s">
        <v>391</v>
      </c>
      <c r="O17" s="938" t="s">
        <v>392</v>
      </c>
    </row>
    <row r="18" spans="2:15" ht="26" customHeight="1" x14ac:dyDescent="0.2">
      <c r="B18" s="940" t="s">
        <v>559</v>
      </c>
      <c r="C18" s="941" t="s">
        <v>18</v>
      </c>
      <c r="D18" s="946">
        <f t="shared" ref="D18:O18" si="1">(D11*$D$34)+D11</f>
        <v>0</v>
      </c>
      <c r="E18" s="946">
        <f t="shared" si="1"/>
        <v>0</v>
      </c>
      <c r="F18" s="946">
        <f t="shared" si="1"/>
        <v>0</v>
      </c>
      <c r="G18" s="946">
        <f t="shared" si="1"/>
        <v>0</v>
      </c>
      <c r="H18" s="946">
        <f t="shared" si="1"/>
        <v>0</v>
      </c>
      <c r="I18" s="946">
        <f t="shared" si="1"/>
        <v>0</v>
      </c>
      <c r="J18" s="946">
        <f t="shared" si="1"/>
        <v>0</v>
      </c>
      <c r="K18" s="946">
        <f t="shared" si="1"/>
        <v>0</v>
      </c>
      <c r="L18" s="946">
        <f t="shared" si="1"/>
        <v>0</v>
      </c>
      <c r="M18" s="946">
        <f t="shared" si="1"/>
        <v>0</v>
      </c>
      <c r="N18" s="946">
        <f t="shared" si="1"/>
        <v>0</v>
      </c>
      <c r="O18" s="946">
        <f t="shared" si="1"/>
        <v>0</v>
      </c>
    </row>
    <row r="19" spans="2:15" ht="26" customHeight="1" x14ac:dyDescent="0.2">
      <c r="B19" s="940" t="s">
        <v>571</v>
      </c>
      <c r="C19" s="941" t="s">
        <v>18</v>
      </c>
      <c r="D19" s="926"/>
      <c r="E19" s="926"/>
      <c r="F19" s="926"/>
      <c r="G19" s="926"/>
      <c r="H19" s="926"/>
      <c r="I19" s="926"/>
      <c r="J19" s="926"/>
      <c r="K19" s="926"/>
      <c r="L19" s="926"/>
      <c r="M19" s="926"/>
      <c r="N19" s="926"/>
      <c r="O19" s="926"/>
    </row>
    <row r="20" spans="2:15" ht="26" customHeight="1" x14ac:dyDescent="0.2">
      <c r="B20" s="940" t="s">
        <v>560</v>
      </c>
      <c r="C20" s="941" t="s">
        <v>18</v>
      </c>
      <c r="D20" s="946">
        <f t="shared" ref="D20:O20" si="2">(D13*D36)+D13</f>
        <v>0</v>
      </c>
      <c r="E20" s="946">
        <f t="shared" si="2"/>
        <v>0</v>
      </c>
      <c r="F20" s="946">
        <f t="shared" si="2"/>
        <v>0</v>
      </c>
      <c r="G20" s="946">
        <f t="shared" si="2"/>
        <v>0</v>
      </c>
      <c r="H20" s="946">
        <f t="shared" si="2"/>
        <v>0</v>
      </c>
      <c r="I20" s="946">
        <f t="shared" si="2"/>
        <v>0</v>
      </c>
      <c r="J20" s="946">
        <f t="shared" si="2"/>
        <v>0</v>
      </c>
      <c r="K20" s="946">
        <f t="shared" si="2"/>
        <v>0</v>
      </c>
      <c r="L20" s="946">
        <f t="shared" si="2"/>
        <v>0</v>
      </c>
      <c r="M20" s="946">
        <f t="shared" si="2"/>
        <v>0</v>
      </c>
      <c r="N20" s="946">
        <f t="shared" si="2"/>
        <v>0</v>
      </c>
      <c r="O20" s="946">
        <f t="shared" si="2"/>
        <v>0</v>
      </c>
    </row>
    <row r="21" spans="2:15" ht="26" customHeight="1" x14ac:dyDescent="0.2">
      <c r="B21" s="940" t="s">
        <v>565</v>
      </c>
      <c r="C21" s="941" t="s">
        <v>18</v>
      </c>
      <c r="D21" s="926">
        <f>'Caixa Dinâmico'!D14</f>
        <v>0</v>
      </c>
      <c r="E21" s="926">
        <f>'Caixa Dinâmico'!E14</f>
        <v>0</v>
      </c>
      <c r="F21" s="926">
        <f>'Caixa Dinâmico'!F14</f>
        <v>0</v>
      </c>
      <c r="G21" s="926">
        <f>'Caixa Dinâmico'!G14</f>
        <v>0</v>
      </c>
      <c r="H21" s="926">
        <f>'Caixa Dinâmico'!H14</f>
        <v>0</v>
      </c>
      <c r="I21" s="926">
        <f>'Caixa Dinâmico'!I14</f>
        <v>0</v>
      </c>
      <c r="J21" s="926">
        <f>'Caixa Dinâmico'!J14</f>
        <v>0</v>
      </c>
      <c r="K21" s="926">
        <f>'Caixa Dinâmico'!K14</f>
        <v>0</v>
      </c>
      <c r="L21" s="926">
        <f>'Caixa Dinâmico'!L14</f>
        <v>0</v>
      </c>
      <c r="M21" s="926">
        <f>'Caixa Dinâmico'!M14</f>
        <v>0</v>
      </c>
      <c r="N21" s="926">
        <f>'Caixa Dinâmico'!N14</f>
        <v>0</v>
      </c>
      <c r="O21" s="926">
        <f>'Caixa Dinâmico'!O14</f>
        <v>0</v>
      </c>
    </row>
    <row r="22" spans="2:15" ht="26" customHeight="1" x14ac:dyDescent="0.2">
      <c r="B22" s="940" t="s">
        <v>566</v>
      </c>
      <c r="C22" s="941" t="s">
        <v>18</v>
      </c>
      <c r="D22" s="946">
        <f>O15+D18+D19-D20-D21</f>
        <v>0</v>
      </c>
      <c r="E22" s="946">
        <f>D22+E18+E19-E20-E21</f>
        <v>0</v>
      </c>
      <c r="F22" s="946">
        <f t="shared" ref="F22:O22" si="3">E22+F18+F19-F20-F21</f>
        <v>0</v>
      </c>
      <c r="G22" s="946">
        <f t="shared" si="3"/>
        <v>0</v>
      </c>
      <c r="H22" s="946">
        <f t="shared" si="3"/>
        <v>0</v>
      </c>
      <c r="I22" s="946">
        <f t="shared" si="3"/>
        <v>0</v>
      </c>
      <c r="J22" s="946">
        <f t="shared" si="3"/>
        <v>0</v>
      </c>
      <c r="K22" s="946">
        <f t="shared" si="3"/>
        <v>0</v>
      </c>
      <c r="L22" s="946">
        <f t="shared" si="3"/>
        <v>0</v>
      </c>
      <c r="M22" s="946">
        <f t="shared" si="3"/>
        <v>0</v>
      </c>
      <c r="N22" s="946">
        <f t="shared" si="3"/>
        <v>0</v>
      </c>
      <c r="O22" s="946">
        <f t="shared" si="3"/>
        <v>0</v>
      </c>
    </row>
    <row r="23" spans="2:15" ht="26" customHeight="1" x14ac:dyDescent="0.2">
      <c r="B23" s="1198" t="s">
        <v>575</v>
      </c>
      <c r="C23" s="1200" t="s">
        <v>18</v>
      </c>
      <c r="D23" s="945">
        <f>O15+D18+D19-D20-D21-SUM(D27:D31)</f>
        <v>0</v>
      </c>
      <c r="E23" s="945">
        <f t="shared" ref="E23:O23" si="4">E18+E19-E20-E21+D23-SUM(E27:E31)</f>
        <v>0</v>
      </c>
      <c r="F23" s="945">
        <f t="shared" si="4"/>
        <v>0</v>
      </c>
      <c r="G23" s="945">
        <f t="shared" si="4"/>
        <v>0</v>
      </c>
      <c r="H23" s="945">
        <f t="shared" si="4"/>
        <v>0</v>
      </c>
      <c r="I23" s="945">
        <f t="shared" si="4"/>
        <v>0</v>
      </c>
      <c r="J23" s="945">
        <f t="shared" si="4"/>
        <v>0</v>
      </c>
      <c r="K23" s="945">
        <f t="shared" si="4"/>
        <v>0</v>
      </c>
      <c r="L23" s="945">
        <f t="shared" si="4"/>
        <v>0</v>
      </c>
      <c r="M23" s="945">
        <f t="shared" si="4"/>
        <v>0</v>
      </c>
      <c r="N23" s="945">
        <f t="shared" si="4"/>
        <v>0</v>
      </c>
      <c r="O23" s="945">
        <f t="shared" si="4"/>
        <v>0</v>
      </c>
    </row>
    <row r="24" spans="2:15" ht="26" customHeight="1" x14ac:dyDescent="0.2">
      <c r="B24" s="1199"/>
      <c r="C24" s="1201"/>
      <c r="D24" s="1203">
        <f>F23-$D$38</f>
        <v>0</v>
      </c>
      <c r="E24" s="1204"/>
      <c r="F24" s="1205"/>
      <c r="G24" s="1203">
        <f>I23-$D$38</f>
        <v>0</v>
      </c>
      <c r="H24" s="1204"/>
      <c r="I24" s="1205"/>
      <c r="J24" s="1203">
        <f>L23-$D$38</f>
        <v>0</v>
      </c>
      <c r="K24" s="1204"/>
      <c r="L24" s="1205"/>
      <c r="M24" s="1203">
        <f>O23-$D$38</f>
        <v>0</v>
      </c>
      <c r="N24" s="1204"/>
      <c r="O24" s="1205"/>
    </row>
    <row r="25" spans="2:15" ht="26" customHeight="1" x14ac:dyDescent="0.2">
      <c r="B25" s="947"/>
      <c r="C25" s="948"/>
      <c r="D25" s="949"/>
      <c r="E25" s="949"/>
      <c r="F25" s="949"/>
      <c r="G25" s="949"/>
      <c r="H25" s="949"/>
      <c r="I25" s="949"/>
      <c r="J25" s="949"/>
      <c r="K25" s="949"/>
      <c r="L25" s="949"/>
      <c r="M25" s="949"/>
      <c r="N25" s="949"/>
      <c r="O25" s="949"/>
    </row>
    <row r="26" spans="2:15" ht="25.25" customHeight="1" x14ac:dyDescent="0.2">
      <c r="B26" s="1202" t="s">
        <v>578</v>
      </c>
      <c r="C26" s="1202"/>
      <c r="D26" s="1202"/>
      <c r="E26" s="1202"/>
      <c r="F26" s="1202"/>
      <c r="G26" s="1202"/>
      <c r="H26" s="1202"/>
      <c r="I26" s="1202"/>
      <c r="J26" s="1202"/>
      <c r="K26" s="1202"/>
      <c r="L26" s="1202"/>
      <c r="M26" s="1202"/>
      <c r="N26" s="1202"/>
      <c r="O26" s="1202"/>
    </row>
    <row r="27" spans="2:15" ht="25.25" customHeight="1" x14ac:dyDescent="0.2">
      <c r="B27" s="927"/>
      <c r="C27" s="944" t="s">
        <v>18</v>
      </c>
      <c r="D27" s="925"/>
      <c r="E27" s="925"/>
      <c r="F27" s="925"/>
      <c r="G27" s="925"/>
      <c r="H27" s="925"/>
      <c r="I27" s="925"/>
      <c r="J27" s="925"/>
      <c r="K27" s="925"/>
      <c r="L27" s="925"/>
      <c r="M27" s="925"/>
      <c r="N27" s="925"/>
      <c r="O27" s="925"/>
    </row>
    <row r="28" spans="2:15" ht="25.25" customHeight="1" x14ac:dyDescent="0.2">
      <c r="B28" s="927"/>
      <c r="C28" s="944" t="s">
        <v>18</v>
      </c>
      <c r="D28" s="925"/>
      <c r="E28" s="925"/>
      <c r="F28" s="925"/>
      <c r="G28" s="925"/>
      <c r="H28" s="925"/>
      <c r="I28" s="925"/>
      <c r="J28" s="925"/>
      <c r="K28" s="925"/>
      <c r="L28" s="925"/>
      <c r="M28" s="925"/>
      <c r="N28" s="925"/>
      <c r="O28" s="925"/>
    </row>
    <row r="29" spans="2:15" ht="25.25" customHeight="1" x14ac:dyDescent="0.2">
      <c r="B29" s="927"/>
      <c r="C29" s="944" t="s">
        <v>18</v>
      </c>
      <c r="D29" s="925"/>
      <c r="E29" s="925"/>
      <c r="F29" s="925"/>
      <c r="G29" s="925"/>
      <c r="H29" s="925"/>
      <c r="I29" s="925"/>
      <c r="J29" s="925"/>
      <c r="K29" s="925"/>
      <c r="L29" s="925"/>
      <c r="M29" s="925"/>
      <c r="N29" s="925"/>
      <c r="O29" s="925"/>
    </row>
    <row r="30" spans="2:15" ht="25.25" customHeight="1" x14ac:dyDescent="0.2">
      <c r="B30" s="927"/>
      <c r="C30" s="944" t="s">
        <v>18</v>
      </c>
      <c r="D30" s="925"/>
      <c r="E30" s="925"/>
      <c r="F30" s="925"/>
      <c r="G30" s="925"/>
      <c r="H30" s="925"/>
      <c r="I30" s="925"/>
      <c r="J30" s="925"/>
      <c r="K30" s="925"/>
      <c r="L30" s="925"/>
      <c r="M30" s="925"/>
      <c r="N30" s="925"/>
      <c r="O30" s="925"/>
    </row>
    <row r="31" spans="2:15" ht="25.25" customHeight="1" x14ac:dyDescent="0.2">
      <c r="B31" s="927"/>
      <c r="C31" s="944" t="s">
        <v>18</v>
      </c>
      <c r="D31" s="925"/>
      <c r="E31" s="925"/>
      <c r="F31" s="925"/>
      <c r="G31" s="925"/>
      <c r="H31" s="925"/>
      <c r="I31" s="925"/>
      <c r="J31" s="925"/>
      <c r="K31" s="925"/>
      <c r="L31" s="925"/>
      <c r="M31" s="925"/>
      <c r="N31" s="925"/>
      <c r="O31" s="925"/>
    </row>
    <row r="32" spans="2:15" ht="25.25" customHeight="1" x14ac:dyDescent="0.2">
      <c r="B32" s="950" t="s">
        <v>569</v>
      </c>
      <c r="C32" s="951" t="s">
        <v>18</v>
      </c>
      <c r="D32" s="1195">
        <f>SUM(D27:F31)</f>
        <v>0</v>
      </c>
      <c r="E32" s="1196"/>
      <c r="F32" s="1197"/>
      <c r="G32" s="1195">
        <f>SUM(G27:I31)</f>
        <v>0</v>
      </c>
      <c r="H32" s="1196"/>
      <c r="I32" s="1197"/>
      <c r="J32" s="1195">
        <f>SUM(J27:L31)</f>
        <v>0</v>
      </c>
      <c r="K32" s="1196"/>
      <c r="L32" s="1197"/>
      <c r="M32" s="1195">
        <f>SUM(M27:O31)</f>
        <v>0</v>
      </c>
      <c r="N32" s="1196"/>
      <c r="O32" s="1197"/>
    </row>
    <row r="33" spans="2:15" ht="16" x14ac:dyDescent="0.2">
      <c r="B33" s="933"/>
      <c r="C33" s="933"/>
      <c r="D33" s="933"/>
      <c r="E33" s="933"/>
      <c r="F33" s="933"/>
      <c r="G33" s="933"/>
      <c r="H33" s="933"/>
      <c r="I33" s="933"/>
      <c r="J33" s="933"/>
      <c r="K33" s="933"/>
      <c r="L33" s="933"/>
      <c r="M33" s="933"/>
      <c r="N33" s="933"/>
      <c r="O33" s="933"/>
    </row>
    <row r="34" spans="2:15" ht="25.25" customHeight="1" x14ac:dyDescent="0.2">
      <c r="B34" s="950" t="s">
        <v>564</v>
      </c>
      <c r="C34" s="951" t="s">
        <v>174</v>
      </c>
      <c r="D34" s="928"/>
      <c r="E34" s="933"/>
      <c r="F34" s="933"/>
      <c r="G34" s="933"/>
      <c r="H34" s="933"/>
      <c r="I34" s="933"/>
      <c r="J34" s="933"/>
      <c r="K34" s="933"/>
      <c r="L34" s="933"/>
      <c r="M34" s="933"/>
      <c r="N34" s="933"/>
      <c r="O34" s="933"/>
    </row>
    <row r="35" spans="2:15" ht="5" customHeight="1" x14ac:dyDescent="0.2">
      <c r="B35" s="933"/>
      <c r="C35" s="933"/>
      <c r="D35" s="933"/>
      <c r="E35" s="933"/>
      <c r="F35" s="933"/>
      <c r="G35" s="933"/>
      <c r="H35" s="933"/>
      <c r="I35" s="933"/>
      <c r="J35" s="933"/>
      <c r="K35" s="933"/>
      <c r="L35" s="933"/>
      <c r="M35" s="933"/>
      <c r="N35" s="933"/>
      <c r="O35" s="933"/>
    </row>
    <row r="36" spans="2:15" ht="24" customHeight="1" x14ac:dyDescent="0.2">
      <c r="B36" s="952" t="s">
        <v>563</v>
      </c>
      <c r="C36" s="951" t="s">
        <v>174</v>
      </c>
      <c r="D36" s="928"/>
      <c r="E36" s="933"/>
      <c r="F36" s="933"/>
      <c r="G36" s="933"/>
      <c r="H36" s="933"/>
      <c r="I36" s="933"/>
      <c r="J36" s="933"/>
      <c r="K36" s="933"/>
      <c r="L36" s="933"/>
      <c r="M36" s="933"/>
      <c r="N36" s="933"/>
      <c r="O36" s="933"/>
    </row>
    <row r="37" spans="2:15" ht="6" customHeight="1" x14ac:dyDescent="0.2">
      <c r="B37" s="933"/>
      <c r="C37" s="933"/>
      <c r="D37" s="933"/>
      <c r="E37" s="933"/>
      <c r="F37" s="933"/>
      <c r="G37" s="933"/>
      <c r="H37" s="933"/>
      <c r="I37" s="933"/>
      <c r="J37" s="933"/>
      <c r="K37" s="933"/>
      <c r="L37" s="933"/>
      <c r="M37" s="933"/>
      <c r="N37" s="933"/>
      <c r="O37" s="933"/>
    </row>
    <row r="38" spans="2:15" ht="25.25" customHeight="1" x14ac:dyDescent="0.2">
      <c r="B38" s="952" t="s">
        <v>573</v>
      </c>
      <c r="C38" s="951" t="s">
        <v>18</v>
      </c>
      <c r="D38" s="929"/>
      <c r="E38" s="933"/>
      <c r="F38" s="953" t="s">
        <v>570</v>
      </c>
      <c r="G38" s="937" t="s">
        <v>574</v>
      </c>
      <c r="H38" s="933"/>
      <c r="I38" s="933"/>
      <c r="J38" s="954" t="s">
        <v>570</v>
      </c>
      <c r="K38" s="937" t="s">
        <v>572</v>
      </c>
      <c r="L38" s="933"/>
      <c r="M38" s="933"/>
      <c r="N38" s="933"/>
      <c r="O38" s="933"/>
    </row>
  </sheetData>
  <sheetProtection password="8826" sheet="1" objects="1" scenarios="1"/>
  <mergeCells count="12">
    <mergeCell ref="M6:N7"/>
    <mergeCell ref="D24:F24"/>
    <mergeCell ref="G24:I24"/>
    <mergeCell ref="J24:L24"/>
    <mergeCell ref="M24:O24"/>
    <mergeCell ref="D32:F32"/>
    <mergeCell ref="G32:I32"/>
    <mergeCell ref="J32:L32"/>
    <mergeCell ref="M32:O32"/>
    <mergeCell ref="B23:B24"/>
    <mergeCell ref="C23:C24"/>
    <mergeCell ref="B26:O26"/>
  </mergeCells>
  <conditionalFormatting sqref="D23:O23 D22">
    <cfRule type="cellIs" dxfId="1" priority="1" operator="lessThan">
      <formula>0</formula>
    </cfRule>
    <cfRule type="cellIs" dxfId="0" priority="2" operator="lessThan">
      <formula>$D$38</formula>
    </cfRule>
  </conditionalFormatting>
  <pageMargins left="0.7" right="0.7" top="0.75" bottom="0.75" header="0.3" footer="0.3"/>
  <pageSetup paperSize="9" orientation="portrait" horizontalDpi="0" verticalDpi="0"/>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enableFormatConditionsCalculation="0">
    <tabColor rgb="FFC00000"/>
  </sheetPr>
  <dimension ref="A1:AL36"/>
  <sheetViews>
    <sheetView zoomScaleNormal="60" zoomScalePageLayoutView="60" workbookViewId="0">
      <selection activeCell="I26" sqref="I26"/>
    </sheetView>
  </sheetViews>
  <sheetFormatPr baseColWidth="10" defaultColWidth="11.1640625" defaultRowHeight="16" x14ac:dyDescent="0.2"/>
  <cols>
    <col min="1" max="1" width="6.33203125" style="967" customWidth="1"/>
    <col min="2" max="2" width="26.5" style="967" bestFit="1" customWidth="1"/>
    <col min="3" max="3" width="8.33203125" style="967" customWidth="1"/>
    <col min="4" max="11" width="12" style="967" customWidth="1"/>
    <col min="12" max="14" width="12.6640625" style="967" customWidth="1"/>
    <col min="15" max="15" width="14.6640625" style="967" customWidth="1"/>
    <col min="16" max="31" width="12.6640625" style="967" customWidth="1"/>
    <col min="32" max="32" width="8.6640625" style="967" customWidth="1"/>
    <col min="33" max="33" width="2" style="967" customWidth="1"/>
    <col min="34" max="34" width="11.1640625" style="967"/>
    <col min="35" max="35" width="7.33203125" style="967" customWidth="1"/>
    <col min="36" max="36" width="3.6640625" style="967" customWidth="1"/>
    <col min="37" max="37" width="11.1640625" style="967"/>
    <col min="38" max="38" width="7" style="967" customWidth="1"/>
    <col min="39" max="16384" width="11.1640625" style="967"/>
  </cols>
  <sheetData>
    <row r="1" spans="1:23" x14ac:dyDescent="0.2">
      <c r="A1" s="966"/>
      <c r="B1" s="966"/>
      <c r="C1" s="966"/>
      <c r="D1" s="966"/>
      <c r="E1" s="966"/>
      <c r="F1" s="966"/>
      <c r="G1" s="966"/>
      <c r="H1" s="966"/>
      <c r="I1" s="966"/>
      <c r="J1" s="966"/>
      <c r="K1" s="966"/>
      <c r="L1" s="966"/>
      <c r="M1" s="966"/>
      <c r="N1" s="966"/>
      <c r="O1" s="966"/>
      <c r="P1" s="966"/>
      <c r="Q1" s="966"/>
      <c r="R1" s="966"/>
      <c r="S1" s="966"/>
      <c r="T1" s="966"/>
      <c r="U1" s="966"/>
    </row>
    <row r="2" spans="1:23" x14ac:dyDescent="0.2">
      <c r="A2" s="966"/>
      <c r="B2" s="966"/>
      <c r="C2" s="966"/>
      <c r="D2" s="966"/>
      <c r="E2" s="966"/>
      <c r="F2" s="968"/>
      <c r="G2" s="969"/>
      <c r="H2" s="966"/>
      <c r="I2" s="966"/>
      <c r="J2" s="966"/>
      <c r="K2" s="966"/>
      <c r="L2" s="966"/>
      <c r="M2" s="966"/>
      <c r="N2" s="966"/>
      <c r="O2" s="966"/>
      <c r="P2" s="966"/>
      <c r="Q2" s="966"/>
      <c r="R2" s="966"/>
      <c r="S2" s="966"/>
      <c r="T2" s="966"/>
      <c r="U2" s="966"/>
    </row>
    <row r="3" spans="1:23" x14ac:dyDescent="0.2">
      <c r="A3" s="966"/>
      <c r="B3" s="966"/>
      <c r="C3" s="966"/>
      <c r="D3" s="966"/>
      <c r="E3" s="966"/>
      <c r="F3" s="966"/>
      <c r="G3" s="966"/>
      <c r="H3" s="966"/>
      <c r="I3" s="966"/>
      <c r="J3" s="966"/>
      <c r="K3" s="966"/>
      <c r="L3" s="966"/>
      <c r="M3" s="966"/>
      <c r="N3" s="966"/>
      <c r="O3" s="966"/>
      <c r="P3" s="966"/>
      <c r="Q3" s="966"/>
      <c r="R3" s="966"/>
      <c r="S3" s="966"/>
      <c r="T3" s="966"/>
      <c r="U3" s="966"/>
    </row>
    <row r="4" spans="1:23" x14ac:dyDescent="0.2">
      <c r="A4" s="970"/>
      <c r="B4" s="970"/>
      <c r="C4" s="970"/>
      <c r="D4" s="970"/>
      <c r="E4" s="970"/>
      <c r="F4" s="970"/>
      <c r="G4" s="970"/>
      <c r="H4" s="970"/>
      <c r="I4" s="970"/>
      <c r="J4" s="970"/>
      <c r="K4" s="970"/>
      <c r="L4" s="970"/>
      <c r="M4" s="970"/>
      <c r="N4" s="970"/>
      <c r="O4" s="970"/>
      <c r="P4" s="966"/>
      <c r="Q4" s="966"/>
      <c r="R4" s="966"/>
      <c r="S4" s="966"/>
      <c r="T4" s="966"/>
      <c r="U4" s="966"/>
    </row>
    <row r="5" spans="1:23" x14ac:dyDescent="0.2">
      <c r="A5" s="970"/>
      <c r="B5" s="971"/>
      <c r="C5" s="1209"/>
      <c r="D5" s="1209"/>
      <c r="E5" s="970"/>
      <c r="F5" s="970"/>
      <c r="G5" s="970"/>
      <c r="H5" s="970"/>
      <c r="I5" s="970"/>
      <c r="J5" s="970"/>
      <c r="K5" s="970"/>
      <c r="L5" s="970"/>
      <c r="M5" s="970"/>
      <c r="N5" s="970"/>
      <c r="O5" s="970"/>
      <c r="P5" s="966"/>
      <c r="Q5" s="966"/>
      <c r="R5" s="966"/>
      <c r="S5" s="966"/>
      <c r="T5" s="966"/>
      <c r="U5" s="966"/>
    </row>
    <row r="6" spans="1:23" ht="23" customHeight="1" x14ac:dyDescent="0.2">
      <c r="A6" s="970"/>
      <c r="B6" s="938" t="s">
        <v>34</v>
      </c>
      <c r="C6" s="939">
        <f>C2</f>
        <v>0</v>
      </c>
      <c r="D6" s="938" t="s">
        <v>381</v>
      </c>
      <c r="E6" s="938" t="s">
        <v>382</v>
      </c>
      <c r="F6" s="938" t="s">
        <v>383</v>
      </c>
      <c r="G6" s="938" t="s">
        <v>384</v>
      </c>
      <c r="H6" s="938" t="s">
        <v>385</v>
      </c>
      <c r="I6" s="938" t="s">
        <v>386</v>
      </c>
      <c r="J6" s="938" t="s">
        <v>387</v>
      </c>
      <c r="K6" s="938" t="s">
        <v>388</v>
      </c>
      <c r="L6" s="938" t="s">
        <v>389</v>
      </c>
      <c r="M6" s="938" t="s">
        <v>390</v>
      </c>
      <c r="N6" s="938" t="s">
        <v>391</v>
      </c>
      <c r="O6" s="938" t="s">
        <v>392</v>
      </c>
      <c r="P6" s="966"/>
      <c r="Q6" s="966"/>
      <c r="R6" s="966"/>
      <c r="S6" s="966"/>
      <c r="T6" s="966"/>
      <c r="U6" s="966"/>
    </row>
    <row r="7" spans="1:23" ht="23" customHeight="1" x14ac:dyDescent="0.2">
      <c r="A7" s="970"/>
      <c r="B7" s="940" t="s">
        <v>593</v>
      </c>
      <c r="C7" s="941" t="s">
        <v>18</v>
      </c>
      <c r="D7" s="925"/>
      <c r="E7" s="925"/>
      <c r="F7" s="925"/>
      <c r="G7" s="925"/>
      <c r="H7" s="925"/>
      <c r="I7" s="925"/>
      <c r="J7" s="925"/>
      <c r="K7" s="925"/>
      <c r="L7" s="925"/>
      <c r="M7" s="925"/>
      <c r="N7" s="925"/>
      <c r="O7" s="925"/>
      <c r="P7" s="966"/>
      <c r="Q7" s="966"/>
      <c r="R7" s="966"/>
      <c r="S7" s="966"/>
      <c r="T7" s="966"/>
      <c r="U7" s="966"/>
    </row>
    <row r="8" spans="1:23" ht="23" customHeight="1" x14ac:dyDescent="0.2">
      <c r="A8" s="970"/>
      <c r="B8" s="940" t="s">
        <v>594</v>
      </c>
      <c r="C8" s="941" t="s">
        <v>18</v>
      </c>
      <c r="D8" s="925"/>
      <c r="E8" s="925"/>
      <c r="F8" s="925"/>
      <c r="G8" s="925"/>
      <c r="H8" s="925"/>
      <c r="I8" s="925"/>
      <c r="J8" s="925"/>
      <c r="K8" s="925"/>
      <c r="L8" s="925"/>
      <c r="M8" s="925"/>
      <c r="N8" s="925"/>
      <c r="O8" s="925"/>
      <c r="P8" s="972"/>
      <c r="Q8" s="972"/>
      <c r="R8" s="972"/>
      <c r="S8" s="972"/>
      <c r="T8" s="972"/>
      <c r="U8" s="972"/>
      <c r="V8" s="973"/>
      <c r="W8" s="973"/>
    </row>
    <row r="9" spans="1:23" ht="23" customHeight="1" x14ac:dyDescent="0.2">
      <c r="A9" s="970"/>
      <c r="B9" s="940" t="s">
        <v>297</v>
      </c>
      <c r="C9" s="941" t="s">
        <v>18</v>
      </c>
      <c r="D9" s="925"/>
      <c r="E9" s="925"/>
      <c r="F9" s="925"/>
      <c r="G9" s="925"/>
      <c r="H9" s="925"/>
      <c r="I9" s="925"/>
      <c r="J9" s="925"/>
      <c r="K9" s="925"/>
      <c r="L9" s="925"/>
      <c r="M9" s="925"/>
      <c r="N9" s="925"/>
      <c r="O9" s="925"/>
      <c r="P9" s="966"/>
      <c r="Q9" s="966"/>
      <c r="R9" s="966"/>
      <c r="S9" s="966"/>
      <c r="T9" s="966"/>
      <c r="U9" s="966"/>
    </row>
    <row r="10" spans="1:23" ht="23" customHeight="1" x14ac:dyDescent="0.2">
      <c r="A10" s="970"/>
      <c r="B10" s="943" t="s">
        <v>595</v>
      </c>
      <c r="C10" s="944" t="s">
        <v>18</v>
      </c>
      <c r="D10" s="945" t="e">
        <f>D4+D7+#REF!-D8-D9</f>
        <v>#REF!</v>
      </c>
      <c r="E10" s="945" t="e">
        <f>D10+E7+#REF!-E8-E9</f>
        <v>#REF!</v>
      </c>
      <c r="F10" s="945" t="e">
        <f>E10+F7+#REF!-F8-F9</f>
        <v>#REF!</v>
      </c>
      <c r="G10" s="945" t="e">
        <f>F10+G7+#REF!-G8-G9</f>
        <v>#REF!</v>
      </c>
      <c r="H10" s="945" t="e">
        <f>G10+H7+#REF!-H8-H9</f>
        <v>#REF!</v>
      </c>
      <c r="I10" s="945" t="e">
        <f>H10+I7+#REF!-I8-I9</f>
        <v>#REF!</v>
      </c>
      <c r="J10" s="945" t="e">
        <f>I10+J7+#REF!-J8-J9</f>
        <v>#REF!</v>
      </c>
      <c r="K10" s="945" t="e">
        <f>J10+K7+#REF!-K8-K9</f>
        <v>#REF!</v>
      </c>
      <c r="L10" s="945" t="e">
        <f>K10+L7+#REF!-L8-L9</f>
        <v>#REF!</v>
      </c>
      <c r="M10" s="945" t="e">
        <f>L10+M7+#REF!-M8-M9</f>
        <v>#REF!</v>
      </c>
      <c r="N10" s="945" t="e">
        <f>M10+N7+#REF!-N8-N9</f>
        <v>#REF!</v>
      </c>
      <c r="O10" s="945" t="e">
        <f>N10+O7+#REF!-O8-O9</f>
        <v>#REF!</v>
      </c>
      <c r="P10" s="974"/>
      <c r="Q10" s="974"/>
      <c r="R10" s="974"/>
      <c r="S10" s="966"/>
      <c r="T10" s="966"/>
      <c r="U10" s="966"/>
    </row>
    <row r="11" spans="1:23" x14ac:dyDescent="0.2">
      <c r="A11" s="970"/>
      <c r="B11" s="970"/>
      <c r="C11" s="970"/>
      <c r="D11" s="970"/>
      <c r="E11" s="975"/>
      <c r="F11" s="976"/>
      <c r="G11" s="977"/>
      <c r="H11" s="978"/>
      <c r="I11" s="978"/>
      <c r="J11" s="978"/>
      <c r="K11" s="978"/>
      <c r="L11" s="976"/>
      <c r="M11" s="979"/>
      <c r="N11" s="970"/>
      <c r="O11" s="970"/>
      <c r="P11" s="972"/>
      <c r="Q11" s="980"/>
      <c r="R11" s="980"/>
      <c r="S11" s="980"/>
      <c r="T11" s="966"/>
      <c r="U11" s="966"/>
    </row>
    <row r="12" spans="1:23" x14ac:dyDescent="0.2">
      <c r="A12" s="970"/>
      <c r="B12" s="970"/>
      <c r="C12" s="970"/>
      <c r="D12" s="970"/>
      <c r="E12" s="970"/>
      <c r="F12" s="976"/>
      <c r="G12" s="977"/>
      <c r="H12" s="978"/>
      <c r="I12" s="978"/>
      <c r="J12" s="978"/>
      <c r="K12" s="978"/>
      <c r="L12" s="976"/>
      <c r="M12" s="979"/>
      <c r="N12" s="970"/>
      <c r="O12" s="970"/>
      <c r="P12" s="966"/>
      <c r="Q12" s="981"/>
      <c r="R12" s="982"/>
      <c r="S12" s="966"/>
      <c r="T12" s="966"/>
      <c r="U12" s="966"/>
    </row>
    <row r="13" spans="1:23" ht="39" customHeight="1" x14ac:dyDescent="0.2">
      <c r="B13" s="965" t="s">
        <v>565</v>
      </c>
      <c r="C13" s="939" t="str">
        <f>C9</f>
        <v>R$</v>
      </c>
      <c r="D13" s="938" t="s">
        <v>381</v>
      </c>
      <c r="E13" s="938" t="s">
        <v>382</v>
      </c>
      <c r="F13" s="938" t="s">
        <v>383</v>
      </c>
      <c r="G13" s="938" t="s">
        <v>384</v>
      </c>
      <c r="H13" s="938" t="s">
        <v>385</v>
      </c>
      <c r="I13" s="938" t="s">
        <v>386</v>
      </c>
      <c r="J13" s="938" t="s">
        <v>387</v>
      </c>
      <c r="K13" s="938" t="s">
        <v>388</v>
      </c>
      <c r="L13" s="938" t="s">
        <v>389</v>
      </c>
      <c r="M13" s="938" t="s">
        <v>390</v>
      </c>
      <c r="N13" s="938" t="s">
        <v>391</v>
      </c>
      <c r="O13" s="938" t="s">
        <v>392</v>
      </c>
    </row>
    <row r="14" spans="1:23" ht="27" customHeight="1" x14ac:dyDescent="0.2">
      <c r="B14" s="940" t="s">
        <v>596</v>
      </c>
      <c r="C14" s="941" t="s">
        <v>18</v>
      </c>
      <c r="D14" s="925"/>
      <c r="E14" s="925"/>
      <c r="F14" s="925"/>
      <c r="G14" s="925"/>
      <c r="H14" s="925"/>
      <c r="I14" s="925"/>
      <c r="J14" s="925"/>
      <c r="K14" s="925"/>
      <c r="L14" s="925"/>
      <c r="M14" s="925"/>
      <c r="N14" s="925"/>
      <c r="O14" s="925"/>
      <c r="P14" s="983"/>
    </row>
    <row r="16" spans="1:23" x14ac:dyDescent="0.2">
      <c r="P16" s="984"/>
      <c r="Q16" s="985"/>
    </row>
    <row r="20" spans="2:38" x14ac:dyDescent="0.2">
      <c r="B20" s="1206"/>
      <c r="C20" s="1206"/>
      <c r="D20" s="1206"/>
    </row>
    <row r="21" spans="2:38" x14ac:dyDescent="0.2">
      <c r="B21" s="986"/>
      <c r="C21" s="987"/>
      <c r="D21" s="988"/>
    </row>
    <row r="22" spans="2:38" x14ac:dyDescent="0.2">
      <c r="B22" s="986"/>
      <c r="C22" s="987"/>
      <c r="D22" s="989"/>
    </row>
    <row r="23" spans="2:38" x14ac:dyDescent="0.2">
      <c r="B23" s="986"/>
      <c r="C23" s="987"/>
      <c r="D23" s="989"/>
    </row>
    <row r="24" spans="2:38" x14ac:dyDescent="0.2">
      <c r="B24" s="986"/>
      <c r="C24" s="987"/>
      <c r="D24" s="989"/>
      <c r="F24" s="1206"/>
      <c r="G24" s="1206"/>
      <c r="H24" s="986"/>
      <c r="I24" s="986"/>
      <c r="J24" s="1206"/>
      <c r="K24" s="1206"/>
      <c r="L24" s="986"/>
      <c r="M24" s="986"/>
      <c r="N24" s="1206"/>
      <c r="O24" s="1206"/>
      <c r="P24" s="986"/>
      <c r="Q24" s="986"/>
      <c r="R24" s="986"/>
      <c r="S24" s="986"/>
      <c r="T24" s="986"/>
      <c r="U24" s="986"/>
      <c r="V24" s="1206"/>
      <c r="W24" s="1206"/>
      <c r="X24" s="1206"/>
      <c r="Y24" s="1206"/>
      <c r="Z24" s="986"/>
      <c r="AA24" s="986"/>
      <c r="AB24" s="986"/>
      <c r="AC24" s="1206"/>
      <c r="AD24" s="1206"/>
      <c r="AE24" s="1206"/>
      <c r="AF24" s="986"/>
      <c r="AG24" s="986"/>
      <c r="AH24" s="986"/>
      <c r="AI24" s="1206"/>
      <c r="AJ24" s="1206"/>
      <c r="AK24" s="986"/>
      <c r="AL24" s="986"/>
    </row>
    <row r="25" spans="2:38" x14ac:dyDescent="0.2">
      <c r="B25" s="986"/>
      <c r="C25" s="987"/>
      <c r="D25" s="989"/>
      <c r="F25" s="986"/>
      <c r="G25" s="990"/>
      <c r="H25" s="986"/>
      <c r="I25" s="986"/>
      <c r="J25" s="986"/>
      <c r="K25" s="991"/>
      <c r="L25" s="986"/>
      <c r="M25" s="986"/>
      <c r="N25" s="986"/>
      <c r="O25" s="991"/>
      <c r="P25" s="986"/>
      <c r="Q25" s="986"/>
      <c r="R25" s="986"/>
      <c r="S25" s="986"/>
      <c r="T25" s="986"/>
      <c r="U25" s="986"/>
      <c r="V25" s="986"/>
      <c r="W25" s="986"/>
      <c r="X25" s="986"/>
      <c r="Y25" s="986"/>
      <c r="Z25" s="986"/>
      <c r="AA25" s="986"/>
      <c r="AB25" s="986"/>
      <c r="AC25" s="986"/>
      <c r="AD25" s="986"/>
      <c r="AE25" s="986"/>
      <c r="AF25" s="986"/>
      <c r="AG25" s="986"/>
      <c r="AH25" s="986"/>
      <c r="AI25" s="986"/>
      <c r="AJ25" s="986"/>
      <c r="AK25" s="986"/>
      <c r="AL25" s="986"/>
    </row>
    <row r="26" spans="2:38" x14ac:dyDescent="0.2">
      <c r="F26" s="992"/>
      <c r="G26" s="993"/>
      <c r="H26" s="986"/>
      <c r="I26" s="986"/>
      <c r="J26" s="992"/>
      <c r="K26" s="989"/>
      <c r="L26" s="986"/>
      <c r="M26" s="986"/>
      <c r="N26" s="992"/>
      <c r="O26" s="989"/>
      <c r="P26" s="986"/>
      <c r="Q26" s="986"/>
      <c r="R26" s="986"/>
      <c r="S26" s="986"/>
      <c r="T26" s="986"/>
      <c r="U26" s="986"/>
      <c r="V26" s="986"/>
      <c r="W26" s="986"/>
      <c r="X26" s="986"/>
      <c r="Y26" s="986"/>
      <c r="Z26" s="986"/>
      <c r="AA26" s="986"/>
      <c r="AB26" s="986"/>
      <c r="AC26" s="986"/>
      <c r="AD26" s="986"/>
      <c r="AE26" s="986"/>
      <c r="AF26" s="986"/>
      <c r="AG26" s="986"/>
      <c r="AH26" s="986"/>
      <c r="AI26" s="986"/>
      <c r="AJ26" s="986"/>
      <c r="AK26" s="986"/>
      <c r="AL26" s="986"/>
    </row>
    <row r="27" spans="2:38" x14ac:dyDescent="0.2">
      <c r="F27" s="986"/>
      <c r="G27" s="986"/>
      <c r="H27" s="986"/>
      <c r="I27" s="986"/>
      <c r="J27" s="986"/>
      <c r="K27" s="986"/>
      <c r="L27" s="986"/>
      <c r="M27" s="986"/>
      <c r="N27" s="986"/>
      <c r="O27" s="986"/>
      <c r="P27" s="986"/>
      <c r="Q27" s="986"/>
      <c r="R27" s="986"/>
      <c r="S27" s="986"/>
      <c r="T27" s="986"/>
      <c r="U27" s="986"/>
      <c r="V27" s="986"/>
      <c r="W27" s="986"/>
      <c r="X27" s="986"/>
      <c r="Y27" s="986"/>
      <c r="Z27" s="986"/>
      <c r="AA27" s="986"/>
      <c r="AB27" s="986"/>
      <c r="AC27" s="986"/>
      <c r="AD27" s="986"/>
      <c r="AE27" s="986"/>
      <c r="AF27" s="986"/>
      <c r="AG27" s="986"/>
      <c r="AH27" s="986"/>
      <c r="AI27" s="986"/>
      <c r="AJ27" s="986"/>
      <c r="AK27" s="986"/>
      <c r="AL27" s="986"/>
    </row>
    <row r="28" spans="2:38" x14ac:dyDescent="0.2">
      <c r="F28" s="986"/>
      <c r="G28" s="986"/>
      <c r="H28" s="986"/>
      <c r="I28" s="986"/>
      <c r="J28" s="986"/>
      <c r="K28" s="986"/>
      <c r="L28" s="986"/>
      <c r="M28" s="986"/>
      <c r="N28" s="986"/>
      <c r="O28" s="986"/>
      <c r="P28" s="986"/>
      <c r="Q28" s="986"/>
      <c r="R28" s="986"/>
      <c r="S28" s="986"/>
      <c r="T28" s="986"/>
      <c r="U28" s="986"/>
      <c r="V28" s="986"/>
      <c r="W28" s="986"/>
      <c r="X28" s="986"/>
      <c r="Y28" s="986"/>
      <c r="Z28" s="986"/>
      <c r="AA28" s="986"/>
      <c r="AB28" s="986"/>
      <c r="AC28" s="986"/>
      <c r="AD28" s="986"/>
      <c r="AE28" s="986"/>
      <c r="AF28" s="986"/>
      <c r="AG28" s="986"/>
      <c r="AH28" s="986"/>
      <c r="AI28" s="986"/>
      <c r="AJ28" s="986"/>
      <c r="AK28" s="986"/>
      <c r="AL28" s="986"/>
    </row>
    <row r="29" spans="2:38" x14ac:dyDescent="0.2">
      <c r="F29" s="1206"/>
      <c r="G29" s="1206"/>
      <c r="H29" s="986"/>
      <c r="I29" s="1206"/>
      <c r="J29" s="1206"/>
      <c r="K29" s="986"/>
      <c r="L29" s="1206"/>
      <c r="M29" s="1206"/>
      <c r="N29" s="986"/>
      <c r="O29" s="1207"/>
      <c r="P29" s="1208"/>
      <c r="Q29" s="986"/>
      <c r="R29" s="986"/>
      <c r="S29" s="1206"/>
      <c r="T29" s="1206"/>
      <c r="U29" s="986"/>
      <c r="V29" s="1206"/>
      <c r="W29" s="1206"/>
      <c r="X29" s="986"/>
      <c r="Y29" s="1206"/>
      <c r="Z29" s="1206"/>
      <c r="AA29" s="986"/>
      <c r="AB29" s="1207"/>
      <c r="AC29" s="1207"/>
      <c r="AD29" s="986"/>
      <c r="AE29" s="1207"/>
      <c r="AF29" s="1207"/>
      <c r="AG29" s="986"/>
      <c r="AH29" s="1207"/>
      <c r="AI29" s="1207"/>
      <c r="AJ29" s="994"/>
      <c r="AK29" s="1206"/>
      <c r="AL29" s="1206"/>
    </row>
    <row r="30" spans="2:38" x14ac:dyDescent="0.2">
      <c r="F30" s="986"/>
      <c r="G30" s="991"/>
      <c r="H30" s="986"/>
      <c r="I30" s="986"/>
      <c r="J30" s="991"/>
      <c r="K30" s="986"/>
      <c r="L30" s="986"/>
      <c r="M30" s="991"/>
      <c r="N30" s="986"/>
      <c r="O30" s="986"/>
      <c r="P30" s="995"/>
      <c r="Q30" s="986"/>
      <c r="R30" s="986"/>
      <c r="S30" s="986"/>
      <c r="T30" s="991"/>
      <c r="U30" s="986"/>
      <c r="V30" s="986"/>
      <c r="W30" s="991"/>
      <c r="X30" s="986"/>
      <c r="Y30" s="986"/>
      <c r="Z30" s="991"/>
      <c r="AA30" s="986"/>
      <c r="AB30" s="986"/>
      <c r="AC30" s="986"/>
      <c r="AD30" s="986"/>
      <c r="AE30" s="986"/>
      <c r="AF30" s="986"/>
      <c r="AG30" s="986"/>
      <c r="AH30" s="986"/>
      <c r="AI30" s="986"/>
      <c r="AJ30" s="986"/>
      <c r="AK30" s="986"/>
      <c r="AL30" s="986"/>
    </row>
    <row r="31" spans="2:38" x14ac:dyDescent="0.2">
      <c r="F31" s="992"/>
      <c r="G31" s="989"/>
      <c r="H31" s="986"/>
      <c r="I31" s="992"/>
      <c r="J31" s="996"/>
      <c r="K31" s="986"/>
      <c r="L31" s="992"/>
      <c r="M31" s="989"/>
      <c r="N31" s="986"/>
      <c r="O31" s="992"/>
      <c r="P31" s="993"/>
      <c r="Q31" s="986"/>
      <c r="R31" s="986"/>
      <c r="S31" s="992"/>
      <c r="T31" s="989"/>
      <c r="U31" s="986"/>
      <c r="V31" s="992"/>
      <c r="W31" s="989"/>
      <c r="X31" s="986"/>
      <c r="Y31" s="992"/>
      <c r="Z31" s="993"/>
      <c r="AA31" s="986"/>
      <c r="AB31" s="997"/>
      <c r="AC31" s="986"/>
      <c r="AD31" s="986"/>
      <c r="AE31" s="997"/>
      <c r="AF31" s="986"/>
      <c r="AG31" s="986"/>
      <c r="AH31" s="997"/>
      <c r="AI31" s="986"/>
      <c r="AJ31" s="986"/>
      <c r="AK31" s="997"/>
      <c r="AL31" s="986"/>
    </row>
    <row r="32" spans="2:38" x14ac:dyDescent="0.2">
      <c r="F32" s="986"/>
      <c r="G32" s="986"/>
      <c r="H32" s="986"/>
      <c r="I32" s="986"/>
      <c r="J32" s="986"/>
      <c r="K32" s="986"/>
      <c r="L32" s="986"/>
      <c r="M32" s="986"/>
      <c r="N32" s="986"/>
      <c r="O32" s="986"/>
      <c r="P32" s="986"/>
      <c r="Q32" s="986"/>
      <c r="R32" s="986"/>
      <c r="S32" s="986"/>
      <c r="T32" s="986"/>
      <c r="U32" s="986"/>
      <c r="V32" s="986"/>
      <c r="W32" s="986"/>
      <c r="X32" s="986"/>
      <c r="Y32" s="986"/>
      <c r="Z32" s="986"/>
      <c r="AA32" s="986"/>
      <c r="AB32" s="986"/>
      <c r="AC32" s="986"/>
      <c r="AD32" s="986"/>
      <c r="AE32" s="986"/>
      <c r="AF32" s="986"/>
      <c r="AG32" s="986"/>
      <c r="AH32" s="986"/>
      <c r="AI32" s="986"/>
      <c r="AJ32" s="986"/>
      <c r="AK32" s="986"/>
      <c r="AL32" s="986"/>
    </row>
    <row r="33" spans="6:38" x14ac:dyDescent="0.2">
      <c r="F33" s="986"/>
      <c r="G33" s="986"/>
      <c r="H33" s="986"/>
      <c r="I33" s="986"/>
      <c r="J33" s="986"/>
      <c r="K33" s="986"/>
      <c r="L33" s="986"/>
      <c r="M33" s="986"/>
      <c r="N33" s="986"/>
      <c r="O33" s="986"/>
      <c r="P33" s="986"/>
      <c r="Q33" s="986"/>
      <c r="R33" s="986"/>
      <c r="S33" s="986"/>
      <c r="T33" s="986"/>
      <c r="U33" s="986"/>
      <c r="V33" s="986"/>
      <c r="W33" s="986"/>
      <c r="X33" s="986"/>
      <c r="Y33" s="986"/>
      <c r="Z33" s="986"/>
      <c r="AA33" s="986"/>
      <c r="AB33" s="986"/>
      <c r="AC33" s="986"/>
      <c r="AD33" s="986"/>
      <c r="AE33" s="986"/>
      <c r="AF33" s="986"/>
      <c r="AG33" s="986"/>
      <c r="AH33" s="986"/>
      <c r="AI33" s="986"/>
      <c r="AJ33" s="986"/>
      <c r="AK33" s="986"/>
      <c r="AL33" s="986"/>
    </row>
    <row r="34" spans="6:38" x14ac:dyDescent="0.2">
      <c r="F34" s="986"/>
      <c r="G34" s="986"/>
      <c r="H34" s="986"/>
      <c r="I34" s="986"/>
      <c r="J34" s="986"/>
      <c r="K34" s="986"/>
      <c r="L34" s="986"/>
      <c r="M34" s="986"/>
      <c r="N34" s="1206"/>
      <c r="O34" s="1206"/>
      <c r="P34" s="986"/>
      <c r="Q34" s="986"/>
      <c r="R34" s="986"/>
      <c r="S34" s="986"/>
      <c r="T34" s="986"/>
      <c r="U34" s="986"/>
      <c r="V34" s="986"/>
      <c r="W34" s="986"/>
      <c r="X34" s="986"/>
      <c r="Y34" s="986"/>
      <c r="Z34" s="986"/>
      <c r="AA34" s="986"/>
      <c r="AB34" s="986"/>
      <c r="AC34" s="986"/>
      <c r="AD34" s="986"/>
      <c r="AE34" s="986"/>
      <c r="AF34" s="986"/>
      <c r="AG34" s="986"/>
      <c r="AH34" s="986"/>
      <c r="AI34" s="986"/>
      <c r="AJ34" s="986"/>
      <c r="AK34" s="986"/>
      <c r="AL34" s="986"/>
    </row>
    <row r="35" spans="6:38" x14ac:dyDescent="0.2">
      <c r="N35" s="986"/>
      <c r="O35" s="990"/>
    </row>
    <row r="36" spans="6:38" x14ac:dyDescent="0.2">
      <c r="N36" s="992"/>
      <c r="O36" s="993"/>
    </row>
  </sheetData>
  <sheetProtection password="8826" sheet="1" objects="1" scenarios="1"/>
  <mergeCells count="20">
    <mergeCell ref="C5:D5"/>
    <mergeCell ref="B20:D20"/>
    <mergeCell ref="F24:G24"/>
    <mergeCell ref="J24:K24"/>
    <mergeCell ref="N24:O24"/>
    <mergeCell ref="V24:Y24"/>
    <mergeCell ref="AH29:AI29"/>
    <mergeCell ref="AK29:AL29"/>
    <mergeCell ref="N34:O34"/>
    <mergeCell ref="AI24:AJ24"/>
    <mergeCell ref="V29:W29"/>
    <mergeCell ref="Y29:Z29"/>
    <mergeCell ref="AB29:AC29"/>
    <mergeCell ref="AE29:AF29"/>
    <mergeCell ref="AC24:AE24"/>
    <mergeCell ref="F29:G29"/>
    <mergeCell ref="I29:J29"/>
    <mergeCell ref="L29:M29"/>
    <mergeCell ref="O29:P29"/>
    <mergeCell ref="S29:T29"/>
  </mergeCells>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enableFormatConditionsCalculation="0">
    <tabColor rgb="FFC00000"/>
  </sheetPr>
  <dimension ref="A1:AL56"/>
  <sheetViews>
    <sheetView zoomScale="101" zoomScaleNormal="60" zoomScalePageLayoutView="60" workbookViewId="0"/>
  </sheetViews>
  <sheetFormatPr baseColWidth="10" defaultColWidth="11.1640625" defaultRowHeight="16" x14ac:dyDescent="0.2"/>
  <cols>
    <col min="1" max="1" width="6.33203125" style="703" customWidth="1"/>
    <col min="2" max="2" width="13.5" style="703" customWidth="1"/>
    <col min="3" max="3" width="8.33203125" style="703" customWidth="1"/>
    <col min="4" max="4" width="12" style="703" customWidth="1"/>
    <col min="5" max="5" width="17.1640625" style="703" bestFit="1" customWidth="1"/>
    <col min="6" max="11" width="12" style="703" customWidth="1"/>
    <col min="12" max="14" width="12.6640625" style="703" customWidth="1"/>
    <col min="15" max="15" width="14.6640625" style="703" customWidth="1"/>
    <col min="16" max="31" width="12.6640625" style="703" customWidth="1"/>
    <col min="32" max="32" width="8.6640625" style="703" customWidth="1"/>
    <col min="33" max="33" width="2" style="703" customWidth="1"/>
    <col min="34" max="34" width="11.1640625" style="703"/>
    <col min="35" max="35" width="7.33203125" style="703" customWidth="1"/>
    <col min="36" max="36" width="3.6640625" style="703" customWidth="1"/>
    <col min="37" max="37" width="11.1640625" style="703"/>
    <col min="38" max="38" width="7" style="703" customWidth="1"/>
    <col min="39" max="16384" width="11.1640625" style="703"/>
  </cols>
  <sheetData>
    <row r="1" spans="1:21" x14ac:dyDescent="0.2">
      <c r="A1" s="702"/>
      <c r="B1" s="702"/>
      <c r="C1" s="702"/>
      <c r="D1" s="702"/>
      <c r="E1" s="702"/>
      <c r="F1" s="702"/>
      <c r="G1" s="702"/>
      <c r="H1" s="702"/>
      <c r="I1" s="702"/>
      <c r="J1" s="702"/>
      <c r="K1" s="702"/>
      <c r="L1" s="702"/>
      <c r="M1" s="702"/>
      <c r="N1" s="702"/>
      <c r="O1" s="702"/>
      <c r="P1" s="702"/>
      <c r="Q1" s="702"/>
      <c r="R1" s="702"/>
      <c r="S1" s="702"/>
      <c r="T1" s="702"/>
      <c r="U1" s="702"/>
    </row>
    <row r="2" spans="1:21" ht="19" x14ac:dyDescent="0.25">
      <c r="A2" s="702"/>
      <c r="B2" s="702"/>
      <c r="C2" s="702"/>
      <c r="D2" s="702"/>
      <c r="E2" s="702"/>
      <c r="F2" s="704"/>
      <c r="G2" s="705"/>
      <c r="H2" s="702"/>
      <c r="I2" s="702"/>
      <c r="J2" s="702"/>
      <c r="K2" s="702"/>
      <c r="L2" s="702"/>
      <c r="M2" s="702"/>
      <c r="N2" s="702"/>
      <c r="O2" s="702"/>
      <c r="P2" s="702"/>
      <c r="Q2" s="702"/>
      <c r="R2" s="702"/>
      <c r="S2" s="702"/>
      <c r="T2" s="702"/>
      <c r="U2" s="702"/>
    </row>
    <row r="3" spans="1:21" x14ac:dyDescent="0.2">
      <c r="A3" s="702"/>
      <c r="B3" s="702"/>
      <c r="C3" s="702"/>
      <c r="D3" s="702"/>
      <c r="E3" s="702"/>
      <c r="F3" s="702"/>
      <c r="G3" s="702"/>
      <c r="H3" s="702"/>
      <c r="I3" s="702"/>
      <c r="J3" s="702"/>
      <c r="K3" s="702"/>
      <c r="L3" s="702"/>
      <c r="M3" s="702"/>
      <c r="N3" s="702"/>
      <c r="O3" s="702"/>
      <c r="P3" s="702"/>
      <c r="Q3" s="702"/>
      <c r="R3" s="702"/>
      <c r="S3" s="702"/>
      <c r="T3" s="702"/>
      <c r="U3" s="702"/>
    </row>
    <row r="4" spans="1:21" x14ac:dyDescent="0.2">
      <c r="A4" s="706"/>
      <c r="B4" s="706"/>
      <c r="C4" s="706"/>
      <c r="D4" s="706"/>
      <c r="E4" s="706"/>
      <c r="F4" s="706"/>
      <c r="G4" s="706"/>
      <c r="H4" s="706"/>
      <c r="I4" s="706"/>
      <c r="J4" s="706"/>
      <c r="K4" s="706"/>
      <c r="L4" s="706"/>
      <c r="M4" s="706"/>
      <c r="N4" s="706"/>
      <c r="O4" s="706"/>
      <c r="P4" s="702"/>
      <c r="Q4" s="702"/>
      <c r="R4" s="702"/>
      <c r="S4" s="702"/>
      <c r="T4" s="702"/>
      <c r="U4" s="702"/>
    </row>
    <row r="5" spans="1:21" x14ac:dyDescent="0.2">
      <c r="A5" s="706"/>
      <c r="B5" s="707"/>
      <c r="C5" s="1218"/>
      <c r="D5" s="1218"/>
      <c r="E5" s="706"/>
      <c r="F5" s="706"/>
      <c r="G5" s="706"/>
      <c r="H5" s="706"/>
      <c r="I5" s="706"/>
      <c r="J5" s="706"/>
      <c r="K5" s="706"/>
      <c r="L5" s="706"/>
      <c r="M5" s="706"/>
      <c r="N5" s="706"/>
      <c r="O5" s="706"/>
      <c r="P5" s="702"/>
      <c r="Q5" s="702"/>
      <c r="R5" s="702"/>
      <c r="S5" s="702"/>
      <c r="T5" s="702"/>
      <c r="U5" s="702"/>
    </row>
    <row r="6" spans="1:21" x14ac:dyDescent="0.2">
      <c r="A6" s="706"/>
      <c r="B6" s="706"/>
      <c r="C6" s="706"/>
      <c r="D6" s="706"/>
      <c r="E6" s="706"/>
      <c r="F6" s="706"/>
      <c r="G6" s="1213"/>
      <c r="H6" s="1213"/>
      <c r="I6" s="708"/>
      <c r="J6" s="706"/>
      <c r="K6" s="706"/>
      <c r="L6" s="706"/>
      <c r="M6" s="706"/>
      <c r="N6" s="706"/>
      <c r="O6" s="706"/>
      <c r="P6" s="702"/>
      <c r="Q6" s="702"/>
      <c r="R6" s="702"/>
      <c r="S6" s="702"/>
      <c r="T6" s="702"/>
      <c r="U6" s="702"/>
    </row>
    <row r="7" spans="1:21" x14ac:dyDescent="0.2">
      <c r="A7" s="706"/>
      <c r="B7" s="706"/>
      <c r="C7" s="706"/>
      <c r="D7" s="706"/>
      <c r="E7" s="706"/>
      <c r="F7" s="706"/>
      <c r="G7" s="709"/>
      <c r="H7" s="710"/>
      <c r="I7" s="711"/>
      <c r="J7" s="706"/>
      <c r="K7" s="706"/>
      <c r="L7" s="706"/>
      <c r="M7" s="706"/>
      <c r="N7" s="706"/>
      <c r="O7" s="706"/>
      <c r="P7" s="702"/>
      <c r="Q7" s="702"/>
      <c r="R7" s="702"/>
      <c r="S7" s="702"/>
      <c r="T7" s="702"/>
      <c r="U7" s="702"/>
    </row>
    <row r="8" spans="1:21" x14ac:dyDescent="0.2">
      <c r="A8" s="706"/>
      <c r="B8" s="706"/>
      <c r="C8" s="706"/>
      <c r="D8" s="706"/>
      <c r="E8" s="706"/>
      <c r="F8" s="706"/>
      <c r="G8" s="712"/>
      <c r="H8" s="713"/>
      <c r="I8" s="714"/>
      <c r="J8" s="706"/>
      <c r="K8" s="706"/>
      <c r="L8" s="706"/>
      <c r="M8" s="706"/>
      <c r="N8" s="706"/>
      <c r="O8" s="706"/>
      <c r="P8" s="702"/>
      <c r="Q8" s="702"/>
      <c r="R8" s="702"/>
      <c r="S8" s="702"/>
      <c r="T8" s="702"/>
      <c r="U8" s="702"/>
    </row>
    <row r="9" spans="1:21" x14ac:dyDescent="0.2">
      <c r="A9" s="706"/>
      <c r="B9" s="706"/>
      <c r="C9" s="706"/>
      <c r="D9" s="706"/>
      <c r="E9" s="706"/>
      <c r="F9" s="706"/>
      <c r="G9" s="712"/>
      <c r="H9" s="715"/>
      <c r="I9" s="706"/>
      <c r="J9" s="706"/>
      <c r="K9" s="706"/>
      <c r="L9" s="706"/>
      <c r="M9" s="706"/>
      <c r="N9" s="706"/>
      <c r="O9" s="706"/>
      <c r="P9" s="702"/>
      <c r="Q9" s="702"/>
      <c r="R9" s="702"/>
      <c r="S9" s="702"/>
      <c r="T9" s="702"/>
      <c r="U9" s="702"/>
    </row>
    <row r="10" spans="1:21" x14ac:dyDescent="0.2">
      <c r="A10" s="706"/>
      <c r="B10" s="706"/>
      <c r="C10" s="706"/>
      <c r="D10" s="1213"/>
      <c r="E10" s="1213"/>
      <c r="F10" s="706"/>
      <c r="G10" s="706"/>
      <c r="H10" s="706"/>
      <c r="I10" s="706"/>
      <c r="J10" s="1213"/>
      <c r="K10" s="1213"/>
      <c r="L10" s="708"/>
      <c r="M10" s="706"/>
      <c r="N10" s="706"/>
      <c r="O10" s="706"/>
      <c r="P10" s="702"/>
      <c r="Q10" s="702"/>
      <c r="R10" s="702"/>
      <c r="S10" s="702"/>
      <c r="T10" s="702"/>
      <c r="U10" s="702"/>
    </row>
    <row r="11" spans="1:21" x14ac:dyDescent="0.2">
      <c r="A11" s="706"/>
      <c r="B11" s="706"/>
      <c r="C11" s="706"/>
      <c r="D11" s="709"/>
      <c r="E11" s="710"/>
      <c r="F11" s="706"/>
      <c r="G11" s="706"/>
      <c r="H11" s="706"/>
      <c r="I11" s="706"/>
      <c r="J11" s="709"/>
      <c r="K11" s="710"/>
      <c r="L11" s="711"/>
      <c r="M11" s="706"/>
      <c r="N11" s="706"/>
      <c r="O11" s="706"/>
      <c r="P11" s="702"/>
      <c r="Q11" s="702"/>
      <c r="R11" s="702"/>
      <c r="S11" s="702"/>
      <c r="T11" s="702"/>
      <c r="U11" s="702"/>
    </row>
    <row r="12" spans="1:21" x14ac:dyDescent="0.2">
      <c r="A12" s="706"/>
      <c r="B12" s="706"/>
      <c r="C12" s="706"/>
      <c r="D12" s="712"/>
      <c r="E12" s="713"/>
      <c r="F12" s="706"/>
      <c r="G12" s="706"/>
      <c r="H12" s="706"/>
      <c r="I12" s="706"/>
      <c r="J12" s="712"/>
      <c r="K12" s="716"/>
      <c r="L12" s="717"/>
      <c r="M12" s="706"/>
      <c r="N12" s="706"/>
      <c r="O12" s="706"/>
      <c r="P12" s="702"/>
      <c r="Q12" s="702"/>
      <c r="R12" s="702"/>
      <c r="S12" s="702"/>
      <c r="T12" s="702"/>
      <c r="U12" s="702"/>
    </row>
    <row r="13" spans="1:21" x14ac:dyDescent="0.2">
      <c r="A13" s="706"/>
      <c r="B13" s="706"/>
      <c r="C13" s="706"/>
      <c r="D13" s="712"/>
      <c r="E13" s="715"/>
      <c r="F13" s="706"/>
      <c r="G13" s="706"/>
      <c r="H13" s="706"/>
      <c r="I13" s="706"/>
      <c r="J13" s="712"/>
      <c r="K13" s="716"/>
      <c r="L13" s="706"/>
      <c r="M13" s="706"/>
      <c r="N13" s="706"/>
      <c r="O13" s="706"/>
      <c r="P13" s="702"/>
      <c r="Q13" s="702"/>
      <c r="R13" s="702"/>
      <c r="S13" s="702"/>
      <c r="T13" s="702"/>
      <c r="U13" s="702"/>
    </row>
    <row r="14" spans="1:21" x14ac:dyDescent="0.2">
      <c r="A14" s="706"/>
      <c r="B14" s="706"/>
      <c r="C14" s="706"/>
      <c r="D14" s="706"/>
      <c r="E14" s="706"/>
      <c r="F14" s="706"/>
      <c r="G14" s="706"/>
      <c r="H14" s="706"/>
      <c r="I14" s="706"/>
      <c r="J14" s="706"/>
      <c r="K14" s="706"/>
      <c r="L14" s="706"/>
      <c r="M14" s="706"/>
      <c r="N14" s="706"/>
      <c r="O14" s="706"/>
      <c r="P14" s="702"/>
      <c r="Q14" s="702"/>
      <c r="R14" s="702"/>
      <c r="S14" s="702"/>
      <c r="T14" s="702"/>
      <c r="U14" s="702"/>
    </row>
    <row r="15" spans="1:21" x14ac:dyDescent="0.2">
      <c r="A15" s="706"/>
      <c r="B15" s="1219"/>
      <c r="C15" s="1219"/>
      <c r="D15" s="1219"/>
      <c r="E15" s="706"/>
      <c r="F15" s="706"/>
      <c r="G15" s="706"/>
      <c r="H15" s="1219"/>
      <c r="I15" s="1219"/>
      <c r="J15" s="706"/>
      <c r="K15" s="773"/>
      <c r="L15" s="773"/>
      <c r="M15" s="1219"/>
      <c r="N15" s="1219"/>
      <c r="O15" s="1219"/>
      <c r="P15" s="702"/>
      <c r="Q15" s="702"/>
      <c r="R15" s="702"/>
      <c r="S15" s="702"/>
      <c r="T15" s="702"/>
      <c r="U15" s="702"/>
    </row>
    <row r="16" spans="1:21" x14ac:dyDescent="0.2">
      <c r="A16" s="706"/>
      <c r="B16" s="706"/>
      <c r="C16" s="719"/>
      <c r="D16" s="720"/>
      <c r="E16" s="706"/>
      <c r="F16" s="706"/>
      <c r="G16" s="1213"/>
      <c r="H16" s="1213"/>
      <c r="I16" s="721"/>
      <c r="J16" s="706"/>
      <c r="K16" s="706"/>
      <c r="L16" s="706"/>
      <c r="M16" s="706"/>
      <c r="N16" s="772"/>
      <c r="O16" s="772"/>
      <c r="P16" s="702"/>
      <c r="Q16" s="702"/>
      <c r="R16" s="702"/>
      <c r="S16" s="702"/>
      <c r="T16" s="702"/>
      <c r="U16" s="702"/>
    </row>
    <row r="17" spans="1:23" x14ac:dyDescent="0.2">
      <c r="A17" s="706"/>
      <c r="B17" s="706"/>
      <c r="C17" s="719"/>
      <c r="D17" s="720"/>
      <c r="E17" s="706"/>
      <c r="F17" s="706"/>
      <c r="G17" s="712"/>
      <c r="H17" s="723"/>
      <c r="I17" s="706"/>
      <c r="J17" s="706"/>
      <c r="K17" s="706"/>
      <c r="L17" s="706"/>
      <c r="M17" s="724"/>
      <c r="N17" s="725"/>
      <c r="O17" s="725"/>
      <c r="P17" s="702"/>
      <c r="Q17" s="702"/>
      <c r="R17" s="702"/>
      <c r="S17" s="702"/>
      <c r="T17" s="702"/>
      <c r="U17" s="702"/>
    </row>
    <row r="18" spans="1:23" x14ac:dyDescent="0.2">
      <c r="A18" s="706"/>
      <c r="B18" s="706"/>
      <c r="C18" s="706"/>
      <c r="D18" s="706"/>
      <c r="E18" s="706"/>
      <c r="F18" s="706"/>
      <c r="G18" s="712"/>
      <c r="H18" s="723"/>
      <c r="I18" s="706"/>
      <c r="J18" s="706"/>
      <c r="K18" s="706"/>
      <c r="L18" s="706"/>
      <c r="M18" s="706"/>
      <c r="N18" s="726"/>
      <c r="O18" s="727"/>
      <c r="P18" s="702"/>
      <c r="Q18" s="702"/>
      <c r="R18" s="702"/>
      <c r="S18" s="702"/>
      <c r="T18" s="702"/>
      <c r="U18" s="702"/>
    </row>
    <row r="19" spans="1:23" x14ac:dyDescent="0.2">
      <c r="A19" s="706"/>
      <c r="B19" s="706"/>
      <c r="C19" s="706"/>
      <c r="D19" s="706"/>
      <c r="E19" s="706"/>
      <c r="F19" s="706"/>
      <c r="G19" s="706"/>
      <c r="H19" s="1217"/>
      <c r="I19" s="1217"/>
      <c r="J19" s="706"/>
      <c r="K19" s="706"/>
      <c r="L19" s="706"/>
      <c r="M19" s="706"/>
      <c r="N19" s="706"/>
      <c r="O19" s="772"/>
      <c r="P19" s="728"/>
      <c r="Q19" s="728"/>
      <c r="R19" s="728"/>
      <c r="S19" s="728"/>
      <c r="T19" s="702"/>
      <c r="U19" s="702"/>
    </row>
    <row r="20" spans="1:23" x14ac:dyDescent="0.2">
      <c r="A20" s="706"/>
      <c r="B20" s="706"/>
      <c r="C20" s="706"/>
      <c r="D20" s="706"/>
      <c r="E20" s="706"/>
      <c r="F20" s="706"/>
      <c r="G20" s="706"/>
      <c r="H20" s="706"/>
      <c r="I20" s="729"/>
      <c r="J20" s="706"/>
      <c r="K20" s="706"/>
      <c r="L20" s="706"/>
      <c r="M20" s="706"/>
      <c r="N20" s="726"/>
      <c r="O20" s="727"/>
      <c r="P20" s="728"/>
      <c r="Q20" s="728"/>
      <c r="R20" s="728"/>
      <c r="S20" s="728"/>
      <c r="T20" s="702"/>
      <c r="U20" s="702"/>
    </row>
    <row r="21" spans="1:23" x14ac:dyDescent="0.2">
      <c r="A21" s="706"/>
      <c r="B21" s="706"/>
      <c r="C21" s="706"/>
      <c r="D21" s="1213"/>
      <c r="E21" s="1213"/>
      <c r="F21" s="706"/>
      <c r="G21" s="706"/>
      <c r="H21" s="706"/>
      <c r="I21" s="1213"/>
      <c r="J21" s="1213"/>
      <c r="K21" s="706"/>
      <c r="L21" s="706"/>
      <c r="M21" s="706"/>
      <c r="N21" s="773"/>
      <c r="O21" s="727"/>
      <c r="P21" s="728"/>
      <c r="Q21" s="728"/>
      <c r="R21" s="728"/>
      <c r="S21" s="728"/>
      <c r="T21" s="702"/>
      <c r="U21" s="702"/>
    </row>
    <row r="22" spans="1:23" ht="24" x14ac:dyDescent="0.3">
      <c r="A22" s="706"/>
      <c r="B22" s="706"/>
      <c r="C22" s="706"/>
      <c r="D22" s="712"/>
      <c r="E22" s="730"/>
      <c r="F22" s="706"/>
      <c r="G22" s="706"/>
      <c r="H22" s="706"/>
      <c r="I22" s="712"/>
      <c r="J22" s="723"/>
      <c r="K22" s="706"/>
      <c r="L22" s="1217"/>
      <c r="M22" s="1217"/>
      <c r="N22" s="773"/>
      <c r="O22" s="773"/>
      <c r="P22" s="731"/>
      <c r="Q22" s="731"/>
      <c r="R22" s="731"/>
      <c r="S22" s="731"/>
      <c r="T22" s="731"/>
      <c r="U22" s="731"/>
      <c r="V22" s="732"/>
      <c r="W22" s="732"/>
    </row>
    <row r="23" spans="1:23" ht="29" x14ac:dyDescent="0.35">
      <c r="A23" s="706"/>
      <c r="B23" s="706"/>
      <c r="C23" s="706"/>
      <c r="D23" s="712"/>
      <c r="E23" s="733"/>
      <c r="F23" s="706"/>
      <c r="G23" s="706"/>
      <c r="H23" s="706"/>
      <c r="I23" s="712"/>
      <c r="J23" s="723"/>
      <c r="K23" s="706"/>
      <c r="L23" s="706"/>
      <c r="M23" s="772"/>
      <c r="N23" s="773"/>
      <c r="O23" s="773"/>
      <c r="P23" s="734"/>
      <c r="Q23" s="734"/>
      <c r="R23" s="734"/>
      <c r="S23" s="734"/>
      <c r="T23" s="734"/>
      <c r="U23" s="734"/>
      <c r="V23" s="735"/>
      <c r="W23" s="735"/>
    </row>
    <row r="24" spans="1:23" x14ac:dyDescent="0.2">
      <c r="A24" s="706"/>
      <c r="B24" s="706"/>
      <c r="C24" s="706"/>
      <c r="D24" s="706"/>
      <c r="E24" s="706"/>
      <c r="F24" s="706"/>
      <c r="G24" s="706"/>
      <c r="H24" s="706"/>
      <c r="I24" s="706"/>
      <c r="J24" s="706"/>
      <c r="K24" s="706"/>
      <c r="L24" s="726"/>
      <c r="M24" s="736"/>
      <c r="N24" s="736"/>
      <c r="O24" s="706"/>
      <c r="P24" s="728"/>
      <c r="Q24" s="728"/>
      <c r="R24" s="728"/>
      <c r="S24" s="728"/>
      <c r="T24" s="728"/>
      <c r="U24" s="728"/>
    </row>
    <row r="25" spans="1:23" x14ac:dyDescent="0.2">
      <c r="A25" s="706"/>
      <c r="B25" s="706"/>
      <c r="C25" s="706"/>
      <c r="D25" s="706"/>
      <c r="E25" s="708"/>
      <c r="F25" s="1213"/>
      <c r="G25" s="1213"/>
      <c r="H25" s="706"/>
      <c r="I25" s="706"/>
      <c r="J25" s="706"/>
      <c r="K25" s="706"/>
      <c r="L25" s="1213"/>
      <c r="M25" s="1213"/>
      <c r="N25" s="736"/>
      <c r="O25" s="706"/>
      <c r="P25" s="737"/>
      <c r="Q25" s="737"/>
      <c r="R25" s="737"/>
      <c r="S25" s="728"/>
      <c r="T25" s="728"/>
      <c r="U25" s="728"/>
    </row>
    <row r="26" spans="1:23" ht="19" x14ac:dyDescent="0.25">
      <c r="A26" s="706"/>
      <c r="B26" s="706"/>
      <c r="C26" s="706"/>
      <c r="D26" s="706"/>
      <c r="E26" s="738"/>
      <c r="F26" s="712"/>
      <c r="G26" s="739"/>
      <c r="H26" s="709"/>
      <c r="I26" s="709"/>
      <c r="J26" s="709"/>
      <c r="K26" s="709"/>
      <c r="L26" s="712"/>
      <c r="M26" s="716"/>
      <c r="N26" s="706"/>
      <c r="O26" s="706"/>
      <c r="P26" s="740"/>
      <c r="Q26" s="741"/>
      <c r="R26" s="741"/>
      <c r="S26" s="741"/>
      <c r="T26" s="728"/>
      <c r="U26" s="728"/>
    </row>
    <row r="27" spans="1:23" ht="19" x14ac:dyDescent="0.25">
      <c r="A27" s="706"/>
      <c r="B27" s="706"/>
      <c r="C27" s="706"/>
      <c r="D27" s="706"/>
      <c r="E27" s="706"/>
      <c r="F27" s="712"/>
      <c r="G27" s="739"/>
      <c r="H27" s="709"/>
      <c r="I27" s="709"/>
      <c r="J27" s="709"/>
      <c r="K27" s="709"/>
      <c r="L27" s="712"/>
      <c r="M27" s="716"/>
      <c r="N27" s="706"/>
      <c r="O27" s="706"/>
      <c r="P27" s="702"/>
      <c r="Q27" s="742"/>
      <c r="R27" s="743"/>
      <c r="S27" s="728"/>
      <c r="T27" s="728"/>
      <c r="U27" s="728"/>
    </row>
    <row r="28" spans="1:23" x14ac:dyDescent="0.2">
      <c r="L28" s="744"/>
      <c r="M28" s="744"/>
      <c r="N28" s="744"/>
      <c r="R28" s="744"/>
      <c r="S28" s="744"/>
      <c r="T28" s="744"/>
      <c r="U28" s="744"/>
    </row>
    <row r="29" spans="1:23" x14ac:dyDescent="0.2">
      <c r="D29" s="745"/>
      <c r="P29" s="746"/>
      <c r="Q29" s="744"/>
      <c r="R29" s="744"/>
      <c r="S29" s="744"/>
      <c r="T29" s="744"/>
      <c r="U29" s="744"/>
    </row>
    <row r="30" spans="1:23" s="1020" customFormat="1" x14ac:dyDescent="0.2">
      <c r="D30" s="1021"/>
      <c r="R30" s="1027"/>
      <c r="S30" s="1027"/>
      <c r="T30" s="1027"/>
      <c r="U30" s="1027"/>
    </row>
    <row r="31" spans="1:23" s="1020" customFormat="1" x14ac:dyDescent="0.2"/>
    <row r="32" spans="1:23" s="777" customFormat="1" x14ac:dyDescent="0.2">
      <c r="D32" s="778" t="s">
        <v>531</v>
      </c>
      <c r="E32" s="781" t="e">
        <f>'Ev. Rebanho'!U43</f>
        <v>#DIV/0!</v>
      </c>
    </row>
    <row r="33" spans="2:38" s="777" customFormat="1" x14ac:dyDescent="0.2">
      <c r="D33" s="778" t="s">
        <v>532</v>
      </c>
      <c r="E33" s="781" t="e">
        <f>'Ev. Rebanho'!U27-'Ev. Rebanho'!U29</f>
        <v>#DIV/0!</v>
      </c>
    </row>
    <row r="34" spans="2:38" s="777" customFormat="1" x14ac:dyDescent="0.2">
      <c r="D34" s="1216" t="s">
        <v>533</v>
      </c>
      <c r="E34" s="782">
        <f>DRA!F5</f>
        <v>2017</v>
      </c>
      <c r="F34" s="782">
        <f>DRA!H5</f>
        <v>2018</v>
      </c>
      <c r="G34" s="782">
        <f>DRA!J5</f>
        <v>2019</v>
      </c>
      <c r="H34" s="782">
        <f>DRA!L5</f>
        <v>2020</v>
      </c>
      <c r="I34" s="782">
        <f>DRA!N5</f>
        <v>2021</v>
      </c>
    </row>
    <row r="35" spans="2:38" s="777" customFormat="1" x14ac:dyDescent="0.2">
      <c r="D35" s="1216"/>
      <c r="E35" s="781" t="e">
        <f>'Ev. Rebanho'!Q41</f>
        <v>#DIV/0!</v>
      </c>
      <c r="F35" s="781" t="e">
        <f>'Ev. Rebanho'!R41</f>
        <v>#DIV/0!</v>
      </c>
      <c r="G35" s="781" t="e">
        <f>'Ev. Rebanho'!S41</f>
        <v>#DIV/0!</v>
      </c>
      <c r="H35" s="781" t="e">
        <f>'Ev. Rebanho'!T41</f>
        <v>#DIV/0!</v>
      </c>
      <c r="I35" s="781" t="e">
        <f>'Ev. Rebanho'!U41</f>
        <v>#DIV/0!</v>
      </c>
      <c r="P35" s="1032"/>
      <c r="Q35" s="1033"/>
      <c r="R35" s="1032"/>
      <c r="S35" s="1032"/>
      <c r="T35" s="1032"/>
    </row>
    <row r="36" spans="2:38" s="777" customFormat="1" x14ac:dyDescent="0.2">
      <c r="D36" s="778" t="s">
        <v>534</v>
      </c>
      <c r="E36" s="782">
        <f>'Ev. Rebanho'!U32</f>
        <v>0</v>
      </c>
      <c r="P36" s="1032"/>
      <c r="Q36" s="1032"/>
      <c r="R36" s="1032"/>
      <c r="S36" s="1032"/>
      <c r="T36" s="1032"/>
    </row>
    <row r="37" spans="2:38" s="777" customFormat="1" x14ac:dyDescent="0.2">
      <c r="D37" s="778" t="s">
        <v>535</v>
      </c>
      <c r="E37" s="783" t="e">
        <f>'Estatisticas Economicas'!H8/12</f>
        <v>#DIV/0!</v>
      </c>
      <c r="P37" s="1032"/>
      <c r="Q37" s="1032"/>
      <c r="R37" s="1032"/>
      <c r="S37" s="1032"/>
      <c r="T37" s="1032"/>
    </row>
    <row r="38" spans="2:38" s="777" customFormat="1" x14ac:dyDescent="0.2">
      <c r="D38" s="778" t="s">
        <v>513</v>
      </c>
      <c r="E38" s="784" t="e">
        <f>'Estatisticas Economicas'!H28</f>
        <v>#DIV/0!</v>
      </c>
      <c r="P38" s="1032"/>
      <c r="Q38" s="1032"/>
      <c r="R38" s="1032"/>
      <c r="S38" s="1032"/>
      <c r="T38" s="1032"/>
    </row>
    <row r="39" spans="2:38" s="1020" customFormat="1" x14ac:dyDescent="0.2">
      <c r="B39" s="1214"/>
      <c r="C39" s="1214"/>
      <c r="D39" s="1214"/>
      <c r="P39" s="1027"/>
      <c r="Q39" s="1027"/>
      <c r="R39" s="1027"/>
      <c r="S39" s="1027"/>
      <c r="T39" s="1027"/>
    </row>
    <row r="40" spans="2:38" s="1020" customFormat="1" x14ac:dyDescent="0.2">
      <c r="B40" s="1021"/>
      <c r="C40" s="1034"/>
      <c r="D40" s="1034"/>
      <c r="P40" s="1027"/>
      <c r="Q40" s="1027"/>
      <c r="R40" s="1027"/>
      <c r="S40" s="1027"/>
      <c r="T40" s="1027"/>
    </row>
    <row r="41" spans="2:38" s="1020" customFormat="1" x14ac:dyDescent="0.2">
      <c r="B41" s="1021"/>
      <c r="C41" s="1035"/>
      <c r="D41" s="1036"/>
      <c r="P41" s="1027"/>
      <c r="Q41" s="1027"/>
      <c r="R41" s="1027"/>
      <c r="S41" s="1027"/>
      <c r="T41" s="1027"/>
    </row>
    <row r="42" spans="2:38" x14ac:dyDescent="0.2">
      <c r="B42" s="763"/>
      <c r="C42" s="787"/>
      <c r="D42" s="788"/>
      <c r="E42" s="777"/>
      <c r="F42" s="777"/>
      <c r="G42" s="777"/>
      <c r="H42" s="777"/>
      <c r="I42" s="777"/>
      <c r="J42" s="777"/>
      <c r="K42" s="777"/>
      <c r="L42" s="779"/>
      <c r="P42" s="744"/>
      <c r="Q42" s="744"/>
      <c r="R42" s="744"/>
      <c r="S42" s="744"/>
      <c r="T42" s="744"/>
      <c r="AB42" s="744"/>
      <c r="AC42" s="744"/>
      <c r="AD42" s="744"/>
      <c r="AE42" s="744"/>
      <c r="AF42" s="744"/>
      <c r="AG42" s="744"/>
      <c r="AH42" s="744"/>
      <c r="AI42" s="744"/>
      <c r="AJ42" s="744"/>
      <c r="AK42" s="744"/>
      <c r="AL42" s="744"/>
    </row>
    <row r="43" spans="2:38" x14ac:dyDescent="0.2">
      <c r="B43" s="780"/>
      <c r="C43" s="751"/>
      <c r="D43" s="785"/>
      <c r="E43" s="779"/>
      <c r="F43" s="1215"/>
      <c r="G43" s="1215"/>
      <c r="H43" s="786"/>
      <c r="I43" s="786"/>
      <c r="J43" s="1215"/>
      <c r="K43" s="1215"/>
      <c r="L43" s="786"/>
      <c r="M43" s="753"/>
      <c r="N43" s="1210"/>
      <c r="O43" s="1210"/>
      <c r="P43" s="745"/>
      <c r="Q43" s="745"/>
      <c r="R43" s="745"/>
      <c r="S43" s="745"/>
      <c r="T43" s="745"/>
      <c r="U43" s="753"/>
      <c r="V43" s="1210"/>
      <c r="W43" s="1210"/>
      <c r="X43" s="1210"/>
      <c r="Y43" s="1210"/>
      <c r="Z43" s="753"/>
      <c r="AA43" s="753"/>
      <c r="AB43" s="745"/>
      <c r="AC43" s="1210"/>
      <c r="AD43" s="1210"/>
      <c r="AE43" s="1210"/>
      <c r="AF43" s="745"/>
      <c r="AG43" s="745"/>
      <c r="AH43" s="745"/>
      <c r="AI43" s="1210"/>
      <c r="AJ43" s="1210"/>
      <c r="AK43" s="745"/>
      <c r="AL43" s="745"/>
    </row>
    <row r="44" spans="2:38" x14ac:dyDescent="0.2">
      <c r="B44" s="745"/>
      <c r="C44" s="751"/>
      <c r="D44" s="752"/>
      <c r="F44" s="745"/>
      <c r="G44" s="754"/>
      <c r="H44" s="753"/>
      <c r="I44" s="753"/>
      <c r="J44" s="745"/>
      <c r="K44" s="755"/>
      <c r="L44" s="753"/>
      <c r="M44" s="753"/>
      <c r="N44" s="745"/>
      <c r="O44" s="755"/>
      <c r="P44" s="745"/>
      <c r="Q44" s="745"/>
      <c r="R44" s="745"/>
      <c r="S44" s="745"/>
      <c r="T44" s="745"/>
      <c r="U44" s="753"/>
      <c r="V44" s="753"/>
      <c r="W44" s="753"/>
      <c r="X44" s="753"/>
      <c r="Y44" s="753"/>
      <c r="Z44" s="753"/>
      <c r="AA44" s="753"/>
      <c r="AB44" s="745"/>
      <c r="AC44" s="745"/>
      <c r="AD44" s="745"/>
      <c r="AE44" s="745"/>
      <c r="AF44" s="745"/>
      <c r="AG44" s="745"/>
      <c r="AH44" s="745"/>
      <c r="AI44" s="745"/>
      <c r="AJ44" s="745"/>
      <c r="AK44" s="745"/>
      <c r="AL44" s="745"/>
    </row>
    <row r="45" spans="2:38" x14ac:dyDescent="0.2">
      <c r="F45" s="756"/>
      <c r="G45" s="757"/>
      <c r="H45" s="753"/>
      <c r="I45" s="753"/>
      <c r="J45" s="756"/>
      <c r="K45" s="752"/>
      <c r="L45" s="753"/>
      <c r="M45" s="753"/>
      <c r="N45" s="756"/>
      <c r="O45" s="752"/>
      <c r="P45" s="745"/>
      <c r="Q45" s="745"/>
      <c r="R45" s="745"/>
      <c r="S45" s="745"/>
      <c r="T45" s="745"/>
      <c r="U45" s="753"/>
      <c r="V45" s="753"/>
      <c r="W45" s="753"/>
      <c r="X45" s="753"/>
      <c r="Y45" s="753"/>
      <c r="Z45" s="753"/>
      <c r="AA45" s="753"/>
      <c r="AB45" s="745"/>
      <c r="AC45" s="745"/>
      <c r="AD45" s="745"/>
      <c r="AE45" s="745"/>
      <c r="AF45" s="745"/>
      <c r="AG45" s="745"/>
      <c r="AH45" s="745"/>
      <c r="AI45" s="745"/>
      <c r="AJ45" s="745"/>
      <c r="AK45" s="745"/>
      <c r="AL45" s="745"/>
    </row>
    <row r="46" spans="2:38" x14ac:dyDescent="0.2">
      <c r="F46" s="753"/>
      <c r="G46" s="753"/>
      <c r="H46" s="753"/>
      <c r="I46" s="753"/>
      <c r="J46" s="753"/>
      <c r="K46" s="753"/>
      <c r="L46" s="753"/>
      <c r="M46" s="753"/>
      <c r="N46" s="745"/>
      <c r="O46" s="745"/>
      <c r="P46" s="745"/>
      <c r="Q46" s="745"/>
      <c r="R46" s="745"/>
      <c r="S46" s="745"/>
      <c r="T46" s="745"/>
      <c r="U46" s="753"/>
      <c r="V46" s="753"/>
      <c r="W46" s="753"/>
      <c r="X46" s="753"/>
      <c r="Y46" s="753"/>
      <c r="Z46" s="753"/>
      <c r="AA46" s="753"/>
      <c r="AB46" s="745"/>
      <c r="AC46" s="745"/>
      <c r="AD46" s="745"/>
      <c r="AE46" s="745"/>
      <c r="AF46" s="745"/>
      <c r="AG46" s="745"/>
      <c r="AH46" s="745"/>
      <c r="AI46" s="745"/>
      <c r="AJ46" s="745"/>
      <c r="AK46" s="745"/>
      <c r="AL46" s="745"/>
    </row>
    <row r="47" spans="2:38" x14ac:dyDescent="0.2">
      <c r="F47" s="753"/>
      <c r="G47" s="753"/>
      <c r="H47" s="753"/>
      <c r="I47" s="753"/>
      <c r="J47" s="753"/>
      <c r="K47" s="753"/>
      <c r="L47" s="753"/>
      <c r="M47" s="753"/>
      <c r="N47" s="745"/>
      <c r="O47" s="745"/>
      <c r="P47" s="745"/>
      <c r="Q47" s="745"/>
      <c r="R47" s="745"/>
      <c r="S47" s="745"/>
      <c r="T47" s="745"/>
      <c r="U47" s="753"/>
      <c r="V47" s="753"/>
      <c r="W47" s="753"/>
      <c r="X47" s="753"/>
      <c r="Y47" s="753"/>
      <c r="Z47" s="753"/>
      <c r="AA47" s="753"/>
      <c r="AB47" s="745"/>
      <c r="AC47" s="745"/>
      <c r="AD47" s="745"/>
      <c r="AE47" s="745"/>
      <c r="AF47" s="745"/>
      <c r="AG47" s="745"/>
      <c r="AH47" s="745"/>
      <c r="AI47" s="745"/>
      <c r="AJ47" s="745"/>
      <c r="AK47" s="745"/>
      <c r="AL47" s="745"/>
    </row>
    <row r="48" spans="2:38" x14ac:dyDescent="0.2">
      <c r="F48" s="1210"/>
      <c r="G48" s="1210"/>
      <c r="H48" s="758"/>
      <c r="I48" s="1210"/>
      <c r="J48" s="1210"/>
      <c r="K48" s="753"/>
      <c r="L48" s="1210"/>
      <c r="M48" s="1210"/>
      <c r="N48" s="745"/>
      <c r="O48" s="1211"/>
      <c r="P48" s="1212"/>
      <c r="Q48" s="753"/>
      <c r="R48" s="745"/>
      <c r="S48" s="1210"/>
      <c r="T48" s="1210"/>
      <c r="U48" s="753"/>
      <c r="V48" s="1210"/>
      <c r="W48" s="1210"/>
      <c r="X48" s="753"/>
      <c r="Y48" s="1210"/>
      <c r="Z48" s="1210"/>
      <c r="AA48" s="753"/>
      <c r="AB48" s="1211"/>
      <c r="AC48" s="1211"/>
      <c r="AD48" s="745"/>
      <c r="AE48" s="1211"/>
      <c r="AF48" s="1211"/>
      <c r="AG48" s="745"/>
      <c r="AH48" s="1211"/>
      <c r="AI48" s="1211"/>
      <c r="AJ48" s="759"/>
      <c r="AK48" s="1210"/>
      <c r="AL48" s="1210"/>
    </row>
    <row r="49" spans="6:38" x14ac:dyDescent="0.2">
      <c r="F49" s="745"/>
      <c r="G49" s="760"/>
      <c r="H49" s="745"/>
      <c r="I49" s="745"/>
      <c r="J49" s="760"/>
      <c r="K49" s="753"/>
      <c r="L49" s="745"/>
      <c r="M49" s="760"/>
      <c r="N49" s="745"/>
      <c r="O49" s="745"/>
      <c r="P49" s="761"/>
      <c r="Q49" s="753"/>
      <c r="R49" s="745"/>
      <c r="S49" s="745"/>
      <c r="T49" s="755"/>
      <c r="U49" s="753"/>
      <c r="V49" s="745"/>
      <c r="W49" s="755"/>
      <c r="X49" s="753"/>
      <c r="Y49" s="745"/>
      <c r="Z49" s="760"/>
      <c r="AA49" s="745"/>
      <c r="AB49" s="745"/>
      <c r="AC49" s="745"/>
      <c r="AD49" s="745"/>
      <c r="AE49" s="745"/>
      <c r="AF49" s="745"/>
      <c r="AG49" s="745"/>
      <c r="AH49" s="745"/>
      <c r="AI49" s="745"/>
      <c r="AJ49" s="745"/>
      <c r="AK49" s="745"/>
      <c r="AL49" s="745"/>
    </row>
    <row r="50" spans="6:38" x14ac:dyDescent="0.2">
      <c r="F50" s="756"/>
      <c r="G50" s="752"/>
      <c r="H50" s="745"/>
      <c r="I50" s="756"/>
      <c r="J50" s="762"/>
      <c r="K50" s="753"/>
      <c r="L50" s="756"/>
      <c r="M50" s="752"/>
      <c r="N50" s="745"/>
      <c r="O50" s="756"/>
      <c r="P50" s="757"/>
      <c r="Q50" s="753"/>
      <c r="R50" s="745"/>
      <c r="S50" s="756"/>
      <c r="T50" s="752"/>
      <c r="U50" s="753"/>
      <c r="V50" s="756"/>
      <c r="W50" s="752"/>
      <c r="X50" s="753"/>
      <c r="Y50" s="756"/>
      <c r="Z50" s="757"/>
      <c r="AA50" s="745"/>
      <c r="AB50" s="763"/>
      <c r="AC50" s="745"/>
      <c r="AD50" s="745"/>
      <c r="AE50" s="763"/>
      <c r="AF50" s="745"/>
      <c r="AG50" s="745"/>
      <c r="AH50" s="763"/>
      <c r="AI50" s="745"/>
      <c r="AJ50" s="745"/>
      <c r="AK50" s="763"/>
      <c r="AL50" s="745"/>
    </row>
    <row r="51" spans="6:38" x14ac:dyDescent="0.2">
      <c r="F51" s="753"/>
      <c r="G51" s="753"/>
      <c r="H51" s="753"/>
      <c r="I51" s="753"/>
      <c r="J51" s="753"/>
      <c r="K51" s="753"/>
      <c r="L51" s="753"/>
      <c r="M51" s="753"/>
      <c r="N51" s="745"/>
      <c r="O51" s="745"/>
      <c r="P51" s="745"/>
      <c r="Q51" s="745"/>
      <c r="R51" s="745"/>
      <c r="S51" s="745"/>
      <c r="T51" s="745"/>
      <c r="U51" s="753"/>
      <c r="V51" s="753"/>
      <c r="W51" s="753"/>
      <c r="X51" s="753"/>
      <c r="Y51" s="753"/>
      <c r="Z51" s="753"/>
      <c r="AA51" s="753"/>
      <c r="AB51" s="745"/>
      <c r="AC51" s="745"/>
      <c r="AD51" s="745"/>
      <c r="AE51" s="745"/>
      <c r="AF51" s="745"/>
      <c r="AG51" s="745"/>
      <c r="AH51" s="745"/>
      <c r="AI51" s="745"/>
      <c r="AJ51" s="745"/>
      <c r="AK51" s="745"/>
      <c r="AL51" s="745"/>
    </row>
    <row r="52" spans="6:38" x14ac:dyDescent="0.2">
      <c r="F52" s="753"/>
      <c r="G52" s="753"/>
      <c r="H52" s="753"/>
      <c r="I52" s="753"/>
      <c r="J52" s="753"/>
      <c r="K52" s="753"/>
      <c r="L52" s="753"/>
      <c r="M52" s="753"/>
      <c r="N52" s="745"/>
      <c r="O52" s="745"/>
      <c r="P52" s="745"/>
      <c r="Q52" s="745"/>
      <c r="R52" s="745"/>
      <c r="S52" s="745"/>
      <c r="T52" s="745"/>
      <c r="U52" s="753"/>
      <c r="V52" s="753"/>
      <c r="W52" s="753"/>
      <c r="X52" s="753"/>
      <c r="Y52" s="753"/>
      <c r="Z52" s="753"/>
      <c r="AA52" s="753"/>
      <c r="AB52" s="753"/>
      <c r="AC52" s="753"/>
      <c r="AD52" s="753"/>
      <c r="AE52" s="753"/>
      <c r="AF52" s="753"/>
      <c r="AG52" s="753"/>
      <c r="AH52" s="753"/>
      <c r="AI52" s="753"/>
      <c r="AJ52" s="753"/>
      <c r="AK52" s="753"/>
      <c r="AL52" s="753"/>
    </row>
    <row r="53" spans="6:38" x14ac:dyDescent="0.2">
      <c r="F53" s="753"/>
      <c r="G53" s="753"/>
      <c r="H53" s="753"/>
      <c r="I53" s="753"/>
      <c r="J53" s="753"/>
      <c r="K53" s="753"/>
      <c r="L53" s="753"/>
      <c r="M53" s="753"/>
      <c r="N53" s="1210"/>
      <c r="O53" s="1210"/>
      <c r="P53" s="745"/>
      <c r="Q53" s="745"/>
      <c r="R53" s="745"/>
      <c r="S53" s="745"/>
      <c r="T53" s="745"/>
      <c r="U53" s="753"/>
      <c r="V53" s="753"/>
      <c r="W53" s="753"/>
      <c r="X53" s="753"/>
      <c r="Y53" s="753"/>
      <c r="Z53" s="753"/>
      <c r="AA53" s="753"/>
      <c r="AB53" s="753"/>
      <c r="AC53" s="753"/>
      <c r="AD53" s="753"/>
      <c r="AE53" s="753"/>
      <c r="AF53" s="753"/>
      <c r="AG53" s="753"/>
      <c r="AH53" s="753"/>
      <c r="AI53" s="753"/>
      <c r="AJ53" s="753"/>
      <c r="AK53" s="753"/>
      <c r="AL53" s="753"/>
    </row>
    <row r="54" spans="6:38" x14ac:dyDescent="0.2">
      <c r="N54" s="745"/>
      <c r="O54" s="754"/>
      <c r="P54" s="744"/>
      <c r="Q54" s="744"/>
      <c r="R54" s="744"/>
      <c r="S54" s="744"/>
      <c r="T54" s="744"/>
    </row>
    <row r="55" spans="6:38" x14ac:dyDescent="0.2">
      <c r="N55" s="756"/>
      <c r="O55" s="757"/>
      <c r="P55" s="744"/>
      <c r="Q55" s="744"/>
      <c r="R55" s="744"/>
      <c r="S55" s="744"/>
      <c r="T55" s="744"/>
    </row>
    <row r="56" spans="6:38" x14ac:dyDescent="0.2">
      <c r="N56" s="744"/>
      <c r="O56" s="744"/>
      <c r="P56" s="744"/>
      <c r="Q56" s="744"/>
      <c r="R56" s="744"/>
      <c r="S56" s="744"/>
      <c r="T56" s="744"/>
    </row>
  </sheetData>
  <sheetProtection selectLockedCells="1" selectUnlockedCells="1"/>
  <mergeCells count="34">
    <mergeCell ref="L22:M22"/>
    <mergeCell ref="C5:D5"/>
    <mergeCell ref="G6:H6"/>
    <mergeCell ref="D10:E10"/>
    <mergeCell ref="J10:K10"/>
    <mergeCell ref="B15:D15"/>
    <mergeCell ref="H15:I15"/>
    <mergeCell ref="M15:O15"/>
    <mergeCell ref="G16:H16"/>
    <mergeCell ref="H19:I19"/>
    <mergeCell ref="D21:E21"/>
    <mergeCell ref="I21:J21"/>
    <mergeCell ref="F25:G25"/>
    <mergeCell ref="L25:M25"/>
    <mergeCell ref="B39:D39"/>
    <mergeCell ref="F43:G43"/>
    <mergeCell ref="J43:K43"/>
    <mergeCell ref="D34:D35"/>
    <mergeCell ref="F48:G48"/>
    <mergeCell ref="I48:J48"/>
    <mergeCell ref="L48:M48"/>
    <mergeCell ref="O48:P48"/>
    <mergeCell ref="S48:T48"/>
    <mergeCell ref="AK48:AL48"/>
    <mergeCell ref="N53:O53"/>
    <mergeCell ref="V43:Y43"/>
    <mergeCell ref="AC43:AE43"/>
    <mergeCell ref="AI43:AJ43"/>
    <mergeCell ref="V48:W48"/>
    <mergeCell ref="Y48:Z48"/>
    <mergeCell ref="N43:O43"/>
    <mergeCell ref="AB48:AC48"/>
    <mergeCell ref="AE48:AF48"/>
    <mergeCell ref="AH48:AI48"/>
  </mergeCells>
  <pageMargins left="0.511811024" right="0.511811024" top="0.78740157499999996" bottom="0.78740157499999996" header="0.31496062000000002" footer="0.31496062000000002"/>
  <pageSetup paperSize="9"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enableFormatConditionsCalculation="0">
    <tabColor rgb="FFC00000"/>
    <pageSetUpPr fitToPage="1"/>
  </sheetPr>
  <dimension ref="A1:AL66"/>
  <sheetViews>
    <sheetView zoomScale="89" zoomScaleNormal="89" zoomScalePageLayoutView="89" workbookViewId="0">
      <selection activeCell="P5" sqref="P5"/>
    </sheetView>
  </sheetViews>
  <sheetFormatPr baseColWidth="10" defaultColWidth="11.1640625" defaultRowHeight="16" x14ac:dyDescent="0.2"/>
  <cols>
    <col min="1" max="1" width="6.33203125" style="703" customWidth="1"/>
    <col min="2" max="2" width="13.5" style="703" customWidth="1"/>
    <col min="3" max="3" width="8.33203125" style="703" customWidth="1"/>
    <col min="4" max="4" width="12" style="703" customWidth="1"/>
    <col min="5" max="5" width="16.6640625" style="1020" bestFit="1" customWidth="1"/>
    <col min="6" max="8" width="12" style="703" customWidth="1"/>
    <col min="9" max="9" width="12" style="1020" customWidth="1"/>
    <col min="10" max="11" width="12" style="703" customWidth="1"/>
    <col min="12" max="14" width="12.6640625" style="703" customWidth="1"/>
    <col min="15" max="15" width="14.6640625" style="703" customWidth="1"/>
    <col min="16" max="31" width="12.6640625" style="703" customWidth="1"/>
    <col min="32" max="32" width="8.6640625" style="703" customWidth="1"/>
    <col min="33" max="33" width="2" style="703" customWidth="1"/>
    <col min="34" max="34" width="11.1640625" style="703"/>
    <col min="35" max="35" width="7.33203125" style="703" customWidth="1"/>
    <col min="36" max="36" width="3.6640625" style="703" customWidth="1"/>
    <col min="37" max="37" width="11.1640625" style="703"/>
    <col min="38" max="38" width="7" style="703" customWidth="1"/>
    <col min="39" max="16384" width="11.1640625" style="703"/>
  </cols>
  <sheetData>
    <row r="1" spans="1:21" x14ac:dyDescent="0.2">
      <c r="A1" s="702"/>
      <c r="B1" s="702"/>
      <c r="C1" s="702"/>
      <c r="D1" s="702"/>
      <c r="E1" s="1011"/>
      <c r="F1" s="702"/>
      <c r="G1" s="702"/>
      <c r="H1" s="702"/>
      <c r="I1" s="1011"/>
      <c r="J1" s="702"/>
      <c r="K1" s="702"/>
      <c r="L1" s="702"/>
      <c r="M1" s="702"/>
      <c r="N1" s="702"/>
      <c r="O1" s="702"/>
      <c r="P1" s="702"/>
      <c r="Q1" s="702"/>
      <c r="R1" s="702"/>
      <c r="S1" s="702"/>
      <c r="T1" s="702"/>
      <c r="U1" s="702"/>
    </row>
    <row r="2" spans="1:21" ht="19" x14ac:dyDescent="0.25">
      <c r="A2" s="702"/>
      <c r="B2" s="702"/>
      <c r="C2" s="702"/>
      <c r="D2" s="702"/>
      <c r="E2" s="1011"/>
      <c r="F2" s="704"/>
      <c r="G2" s="705"/>
      <c r="H2" s="702"/>
      <c r="I2" s="1011"/>
      <c r="J2" s="702"/>
      <c r="K2" s="702"/>
      <c r="L2" s="702"/>
      <c r="M2" s="702"/>
      <c r="N2" s="702"/>
      <c r="O2" s="702"/>
      <c r="P2" s="702"/>
      <c r="Q2" s="702"/>
      <c r="R2" s="702"/>
      <c r="S2" s="702"/>
      <c r="T2" s="702"/>
      <c r="U2" s="702"/>
    </row>
    <row r="3" spans="1:21" x14ac:dyDescent="0.2">
      <c r="A3" s="702"/>
      <c r="B3" s="702"/>
      <c r="C3" s="702"/>
      <c r="D3" s="702"/>
      <c r="E3" s="1011"/>
      <c r="F3" s="702"/>
      <c r="G3" s="702"/>
      <c r="H3" s="702"/>
      <c r="I3" s="1011"/>
      <c r="J3" s="702"/>
      <c r="K3" s="702"/>
      <c r="L3" s="702"/>
      <c r="M3" s="702"/>
      <c r="N3" s="702"/>
      <c r="O3" s="702"/>
      <c r="P3" s="702"/>
      <c r="Q3" s="702"/>
      <c r="R3" s="702"/>
      <c r="S3" s="702"/>
      <c r="T3" s="702"/>
      <c r="U3" s="702"/>
    </row>
    <row r="4" spans="1:21" x14ac:dyDescent="0.2">
      <c r="A4" s="706"/>
      <c r="B4" s="706"/>
      <c r="C4" s="706"/>
      <c r="D4" s="706"/>
      <c r="E4" s="1012"/>
      <c r="F4" s="706"/>
      <c r="G4" s="706"/>
      <c r="H4" s="706"/>
      <c r="I4" s="1012"/>
      <c r="J4" s="706"/>
      <c r="K4" s="706"/>
      <c r="L4" s="706"/>
      <c r="M4" s="706"/>
      <c r="N4" s="706"/>
      <c r="O4" s="706"/>
      <c r="P4" s="702"/>
      <c r="Q4" s="702"/>
      <c r="R4" s="702"/>
      <c r="S4" s="702"/>
      <c r="T4" s="702"/>
      <c r="U4" s="702"/>
    </row>
    <row r="5" spans="1:21" x14ac:dyDescent="0.2">
      <c r="A5" s="706"/>
      <c r="B5" s="707"/>
      <c r="C5" s="1218"/>
      <c r="D5" s="1218"/>
      <c r="E5" s="1012"/>
      <c r="F5" s="706"/>
      <c r="G5" s="706"/>
      <c r="H5" s="706"/>
      <c r="I5" s="1012"/>
      <c r="J5" s="706"/>
      <c r="K5" s="706"/>
      <c r="L5" s="706"/>
      <c r="M5" s="706"/>
      <c r="N5" s="706"/>
      <c r="O5" s="706"/>
      <c r="P5" s="702"/>
      <c r="Q5" s="702"/>
      <c r="R5" s="702"/>
      <c r="S5" s="702"/>
      <c r="T5" s="702"/>
      <c r="U5" s="702"/>
    </row>
    <row r="6" spans="1:21" x14ac:dyDescent="0.2">
      <c r="A6" s="706"/>
      <c r="B6" s="706"/>
      <c r="C6" s="706"/>
      <c r="D6" s="706"/>
      <c r="E6" s="1012"/>
      <c r="F6" s="706"/>
      <c r="G6" s="1213"/>
      <c r="H6" s="1213"/>
      <c r="I6" s="1013"/>
      <c r="J6" s="706"/>
      <c r="K6" s="706"/>
      <c r="L6" s="706"/>
      <c r="M6" s="706"/>
      <c r="N6" s="706"/>
      <c r="O6" s="706"/>
      <c r="P6" s="702"/>
      <c r="Q6" s="702"/>
      <c r="R6" s="702"/>
      <c r="S6" s="702"/>
      <c r="T6" s="702"/>
      <c r="U6" s="702"/>
    </row>
    <row r="7" spans="1:21" x14ac:dyDescent="0.2">
      <c r="A7" s="706"/>
      <c r="B7" s="706"/>
      <c r="C7" s="706"/>
      <c r="D7" s="706"/>
      <c r="E7" s="1012"/>
      <c r="F7" s="706"/>
      <c r="G7" s="709"/>
      <c r="H7" s="710"/>
      <c r="I7" s="1014"/>
      <c r="J7" s="706"/>
      <c r="K7" s="706"/>
      <c r="L7" s="706"/>
      <c r="M7" s="706"/>
      <c r="N7" s="706"/>
      <c r="O7" s="706"/>
      <c r="P7" s="702"/>
      <c r="Q7" s="702"/>
      <c r="R7" s="702"/>
      <c r="S7" s="702"/>
      <c r="T7" s="702"/>
      <c r="U7" s="702"/>
    </row>
    <row r="8" spans="1:21" x14ac:dyDescent="0.2">
      <c r="A8" s="706"/>
      <c r="B8" s="706"/>
      <c r="C8" s="706"/>
      <c r="D8" s="706"/>
      <c r="E8" s="1012"/>
      <c r="F8" s="706"/>
      <c r="G8" s="712"/>
      <c r="H8" s="713"/>
      <c r="I8" s="1015"/>
      <c r="J8" s="706"/>
      <c r="K8" s="706"/>
      <c r="L8" s="706"/>
      <c r="M8" s="706"/>
      <c r="N8" s="706"/>
      <c r="O8" s="706"/>
      <c r="P8" s="702"/>
      <c r="Q8" s="702"/>
      <c r="R8" s="702"/>
      <c r="S8" s="702"/>
      <c r="T8" s="702"/>
      <c r="U8" s="702"/>
    </row>
    <row r="9" spans="1:21" x14ac:dyDescent="0.2">
      <c r="A9" s="706"/>
      <c r="B9" s="706"/>
      <c r="C9" s="706"/>
      <c r="D9" s="706"/>
      <c r="E9" s="1012"/>
      <c r="F9" s="706"/>
      <c r="G9" s="712"/>
      <c r="H9" s="715"/>
      <c r="I9" s="1012"/>
      <c r="J9" s="706"/>
      <c r="K9" s="706"/>
      <c r="L9" s="706"/>
      <c r="M9" s="706"/>
      <c r="N9" s="706"/>
      <c r="O9" s="706"/>
      <c r="P9" s="702"/>
      <c r="Q9" s="702"/>
      <c r="R9" s="702"/>
      <c r="S9" s="702"/>
      <c r="T9" s="702"/>
      <c r="U9" s="702"/>
    </row>
    <row r="10" spans="1:21" x14ac:dyDescent="0.2">
      <c r="A10" s="706"/>
      <c r="B10" s="706"/>
      <c r="C10" s="706"/>
      <c r="D10" s="1213"/>
      <c r="E10" s="1213"/>
      <c r="F10" s="706"/>
      <c r="G10" s="706"/>
      <c r="H10" s="706"/>
      <c r="I10" s="1012"/>
      <c r="J10" s="1213"/>
      <c r="K10" s="1213"/>
      <c r="L10" s="708"/>
      <c r="M10" s="706"/>
      <c r="N10" s="706"/>
      <c r="O10" s="706"/>
      <c r="P10" s="702"/>
      <c r="Q10" s="702"/>
      <c r="R10" s="702"/>
      <c r="S10" s="702"/>
      <c r="T10" s="702"/>
      <c r="U10" s="702"/>
    </row>
    <row r="11" spans="1:21" x14ac:dyDescent="0.2">
      <c r="A11" s="706"/>
      <c r="B11" s="706"/>
      <c r="C11" s="706"/>
      <c r="D11" s="709"/>
      <c r="E11" s="1022"/>
      <c r="F11" s="706"/>
      <c r="G11" s="706"/>
      <c r="H11" s="706"/>
      <c r="I11" s="1012"/>
      <c r="J11" s="709"/>
      <c r="K11" s="710"/>
      <c r="L11" s="711"/>
      <c r="M11" s="706"/>
      <c r="N11" s="706"/>
      <c r="O11" s="706"/>
      <c r="P11" s="702"/>
      <c r="Q11" s="702"/>
      <c r="R11" s="702"/>
      <c r="S11" s="702"/>
      <c r="T11" s="702"/>
      <c r="U11" s="702"/>
    </row>
    <row r="12" spans="1:21" x14ac:dyDescent="0.2">
      <c r="A12" s="706"/>
      <c r="B12" s="706"/>
      <c r="C12" s="706"/>
      <c r="D12" s="712"/>
      <c r="E12" s="1023"/>
      <c r="F12" s="706"/>
      <c r="G12" s="706"/>
      <c r="H12" s="706"/>
      <c r="I12" s="1012"/>
      <c r="J12" s="712"/>
      <c r="K12" s="716"/>
      <c r="L12" s="717"/>
      <c r="M12" s="706"/>
      <c r="N12" s="706"/>
      <c r="O12" s="706"/>
      <c r="P12" s="702"/>
      <c r="Q12" s="702"/>
      <c r="R12" s="702"/>
      <c r="S12" s="702"/>
      <c r="T12" s="702"/>
      <c r="U12" s="702"/>
    </row>
    <row r="13" spans="1:21" x14ac:dyDescent="0.2">
      <c r="A13" s="706"/>
      <c r="B13" s="706"/>
      <c r="C13" s="706"/>
      <c r="D13" s="712"/>
      <c r="E13" s="1024"/>
      <c r="F13" s="706"/>
      <c r="G13" s="706"/>
      <c r="H13" s="706"/>
      <c r="I13" s="1012"/>
      <c r="J13" s="712"/>
      <c r="K13" s="716"/>
      <c r="L13" s="706"/>
      <c r="M13" s="706"/>
      <c r="N13" s="706"/>
      <c r="O13" s="706"/>
      <c r="P13" s="702"/>
      <c r="Q13" s="702"/>
      <c r="R13" s="702"/>
      <c r="S13" s="702"/>
      <c r="T13" s="702"/>
      <c r="U13" s="702"/>
    </row>
    <row r="14" spans="1:21" x14ac:dyDescent="0.2">
      <c r="A14" s="706"/>
      <c r="B14" s="706"/>
      <c r="C14" s="706"/>
      <c r="D14" s="706"/>
      <c r="E14" s="1012"/>
      <c r="F14" s="706"/>
      <c r="G14" s="706"/>
      <c r="H14" s="706"/>
      <c r="I14" s="1012"/>
      <c r="J14" s="706"/>
      <c r="K14" s="706"/>
      <c r="L14" s="706"/>
      <c r="M14" s="706"/>
      <c r="N14" s="706"/>
      <c r="O14" s="706"/>
      <c r="P14" s="702"/>
      <c r="Q14" s="702"/>
      <c r="R14" s="702"/>
      <c r="S14" s="702"/>
      <c r="T14" s="702"/>
      <c r="U14" s="702"/>
    </row>
    <row r="15" spans="1:21" x14ac:dyDescent="0.2">
      <c r="A15" s="706"/>
      <c r="B15" s="1219"/>
      <c r="C15" s="1219"/>
      <c r="D15" s="1219"/>
      <c r="E15" s="1012"/>
      <c r="F15" s="706"/>
      <c r="G15" s="706"/>
      <c r="H15" s="1219"/>
      <c r="I15" s="1219"/>
      <c r="J15" s="706"/>
      <c r="K15" s="1008"/>
      <c r="L15" s="1008"/>
      <c r="M15" s="1219"/>
      <c r="N15" s="1219"/>
      <c r="O15" s="1219"/>
      <c r="P15" s="702"/>
      <c r="Q15" s="702"/>
      <c r="R15" s="702"/>
      <c r="S15" s="702"/>
      <c r="T15" s="702"/>
      <c r="U15" s="702"/>
    </row>
    <row r="16" spans="1:21" x14ac:dyDescent="0.2">
      <c r="A16" s="706"/>
      <c r="B16" s="706"/>
      <c r="C16" s="719"/>
      <c r="D16" s="720"/>
      <c r="E16" s="1012"/>
      <c r="F16" s="706"/>
      <c r="G16" s="1213"/>
      <c r="H16" s="1213"/>
      <c r="I16" s="1016"/>
      <c r="J16" s="706"/>
      <c r="K16" s="706"/>
      <c r="L16" s="706"/>
      <c r="M16" s="706"/>
      <c r="N16" s="1007"/>
      <c r="O16" s="1007"/>
      <c r="P16" s="702"/>
      <c r="Q16" s="702"/>
      <c r="R16" s="702"/>
      <c r="S16" s="702"/>
      <c r="T16" s="702"/>
      <c r="U16" s="702"/>
    </row>
    <row r="17" spans="1:23" x14ac:dyDescent="0.2">
      <c r="A17" s="706"/>
      <c r="B17" s="706"/>
      <c r="C17" s="719"/>
      <c r="D17" s="720"/>
      <c r="E17" s="1012"/>
      <c r="F17" s="706"/>
      <c r="G17" s="712"/>
      <c r="H17" s="723"/>
      <c r="I17" s="1012"/>
      <c r="J17" s="706"/>
      <c r="K17" s="706"/>
      <c r="L17" s="706"/>
      <c r="M17" s="724"/>
      <c r="N17" s="725"/>
      <c r="O17" s="725"/>
      <c r="P17" s="702"/>
      <c r="Q17" s="702"/>
      <c r="R17" s="702"/>
      <c r="S17" s="702"/>
      <c r="T17" s="702"/>
      <c r="U17" s="702"/>
    </row>
    <row r="18" spans="1:23" x14ac:dyDescent="0.2">
      <c r="A18" s="706"/>
      <c r="B18" s="706"/>
      <c r="C18" s="706"/>
      <c r="D18" s="706"/>
      <c r="E18" s="1012"/>
      <c r="F18" s="706"/>
      <c r="G18" s="712"/>
      <c r="H18" s="723"/>
      <c r="I18" s="1012"/>
      <c r="J18" s="706"/>
      <c r="K18" s="706"/>
      <c r="L18" s="706"/>
      <c r="M18" s="706"/>
      <c r="N18" s="726"/>
      <c r="O18" s="727"/>
      <c r="P18" s="702"/>
      <c r="Q18" s="702"/>
      <c r="R18" s="702"/>
      <c r="S18" s="702"/>
      <c r="T18" s="702"/>
      <c r="U18" s="702"/>
    </row>
    <row r="19" spans="1:23" x14ac:dyDescent="0.2">
      <c r="A19" s="706"/>
      <c r="B19" s="706"/>
      <c r="C19" s="706"/>
      <c r="D19" s="706"/>
      <c r="E19" s="1012"/>
      <c r="F19" s="706"/>
      <c r="G19" s="706"/>
      <c r="H19" s="1217"/>
      <c r="I19" s="1217"/>
      <c r="J19" s="706"/>
      <c r="K19" s="706"/>
      <c r="L19" s="706"/>
      <c r="M19" s="706"/>
      <c r="N19" s="706"/>
      <c r="O19" s="1007"/>
      <c r="P19" s="728"/>
      <c r="Q19" s="728"/>
      <c r="R19" s="728"/>
      <c r="S19" s="728"/>
      <c r="T19" s="702"/>
      <c r="U19" s="702"/>
    </row>
    <row r="20" spans="1:23" x14ac:dyDescent="0.2">
      <c r="A20" s="706"/>
      <c r="B20" s="706"/>
      <c r="C20" s="706"/>
      <c r="D20" s="706"/>
      <c r="E20" s="1012"/>
      <c r="F20" s="706"/>
      <c r="G20" s="706"/>
      <c r="H20" s="706"/>
      <c r="I20" s="1017"/>
      <c r="J20" s="706"/>
      <c r="K20" s="706"/>
      <c r="L20" s="706"/>
      <c r="M20" s="706"/>
      <c r="N20" s="726"/>
      <c r="O20" s="727"/>
      <c r="P20" s="728"/>
      <c r="Q20" s="728"/>
      <c r="R20" s="728"/>
      <c r="S20" s="728"/>
      <c r="T20" s="702"/>
      <c r="U20" s="702"/>
    </row>
    <row r="21" spans="1:23" x14ac:dyDescent="0.2">
      <c r="A21" s="706"/>
      <c r="B21" s="706"/>
      <c r="C21" s="706"/>
      <c r="D21" s="1213"/>
      <c r="E21" s="1213"/>
      <c r="F21" s="706"/>
      <c r="G21" s="706"/>
      <c r="H21" s="706"/>
      <c r="I21" s="1213"/>
      <c r="J21" s="1213"/>
      <c r="K21" s="706"/>
      <c r="L21" s="706"/>
      <c r="M21" s="706"/>
      <c r="N21" s="1008"/>
      <c r="O21" s="727"/>
      <c r="P21" s="728"/>
      <c r="Q21" s="728"/>
      <c r="R21" s="728"/>
      <c r="S21" s="728"/>
      <c r="T21" s="702"/>
      <c r="U21" s="702"/>
    </row>
    <row r="22" spans="1:23" ht="24" x14ac:dyDescent="0.3">
      <c r="A22" s="706"/>
      <c r="B22" s="706"/>
      <c r="C22" s="706"/>
      <c r="D22" s="712"/>
      <c r="E22" s="1025"/>
      <c r="F22" s="706"/>
      <c r="G22" s="706"/>
      <c r="H22" s="706"/>
      <c r="I22" s="1018"/>
      <c r="J22" s="723"/>
      <c r="K22" s="706"/>
      <c r="L22" s="1217"/>
      <c r="M22" s="1217"/>
      <c r="N22" s="1008"/>
      <c r="O22" s="1008"/>
      <c r="P22" s="731"/>
      <c r="Q22" s="731"/>
      <c r="R22" s="731"/>
      <c r="S22" s="731"/>
      <c r="T22" s="731"/>
      <c r="U22" s="731"/>
      <c r="V22" s="732"/>
      <c r="W22" s="732"/>
    </row>
    <row r="23" spans="1:23" ht="29" x14ac:dyDescent="0.35">
      <c r="A23" s="706"/>
      <c r="B23" s="706"/>
      <c r="C23" s="706"/>
      <c r="D23" s="712"/>
      <c r="E23" s="1026"/>
      <c r="F23" s="706"/>
      <c r="G23" s="706"/>
      <c r="H23" s="706"/>
      <c r="I23" s="1018"/>
      <c r="J23" s="723"/>
      <c r="K23" s="706"/>
      <c r="L23" s="706"/>
      <c r="M23" s="1007"/>
      <c r="N23" s="1008"/>
      <c r="O23" s="1008"/>
      <c r="P23" s="734"/>
      <c r="Q23" s="734"/>
      <c r="R23" s="734"/>
      <c r="S23" s="734"/>
      <c r="T23" s="734"/>
      <c r="U23" s="734"/>
      <c r="V23" s="735"/>
      <c r="W23" s="735"/>
    </row>
    <row r="24" spans="1:23" x14ac:dyDescent="0.2">
      <c r="A24" s="706"/>
      <c r="B24" s="706"/>
      <c r="C24" s="706"/>
      <c r="D24" s="706"/>
      <c r="E24" s="1012"/>
      <c r="F24" s="706"/>
      <c r="G24" s="706"/>
      <c r="H24" s="706"/>
      <c r="I24" s="1012"/>
      <c r="J24" s="706"/>
      <c r="K24" s="706"/>
      <c r="L24" s="726"/>
      <c r="M24" s="736"/>
      <c r="N24" s="736"/>
      <c r="O24" s="706"/>
      <c r="P24" s="728"/>
      <c r="Q24" s="728"/>
      <c r="R24" s="728"/>
      <c r="S24" s="728"/>
      <c r="T24" s="728"/>
      <c r="U24" s="728"/>
    </row>
    <row r="25" spans="1:23" x14ac:dyDescent="0.2">
      <c r="A25" s="706"/>
      <c r="B25" s="706"/>
      <c r="C25" s="706"/>
      <c r="D25" s="706"/>
      <c r="E25" s="1013"/>
      <c r="F25" s="1213"/>
      <c r="G25" s="1213"/>
      <c r="H25" s="706"/>
      <c r="I25" s="1012"/>
      <c r="J25" s="706"/>
      <c r="K25" s="706"/>
      <c r="L25" s="1213"/>
      <c r="M25" s="1213"/>
      <c r="N25" s="736"/>
      <c r="O25" s="706"/>
      <c r="P25" s="737"/>
      <c r="Q25" s="737"/>
      <c r="R25" s="737"/>
      <c r="S25" s="728"/>
      <c r="T25" s="728"/>
      <c r="U25" s="728"/>
    </row>
    <row r="26" spans="1:23" ht="19" x14ac:dyDescent="0.25">
      <c r="A26" s="706"/>
      <c r="B26" s="706"/>
      <c r="C26" s="706"/>
      <c r="D26" s="706"/>
      <c r="E26" s="1014"/>
      <c r="F26" s="712"/>
      <c r="G26" s="739"/>
      <c r="H26" s="709"/>
      <c r="I26" s="1019"/>
      <c r="J26" s="709"/>
      <c r="K26" s="709"/>
      <c r="L26" s="712"/>
      <c r="M26" s="716"/>
      <c r="N26" s="706"/>
      <c r="O26" s="706"/>
      <c r="P26" s="740"/>
      <c r="Q26" s="741"/>
      <c r="R26" s="741"/>
      <c r="S26" s="741"/>
      <c r="T26" s="728"/>
      <c r="U26" s="728"/>
    </row>
    <row r="27" spans="1:23" ht="19" x14ac:dyDescent="0.25">
      <c r="A27" s="706"/>
      <c r="B27" s="706"/>
      <c r="C27" s="706"/>
      <c r="D27" s="706"/>
      <c r="E27" s="1012"/>
      <c r="F27" s="712"/>
      <c r="G27" s="739"/>
      <c r="H27" s="709"/>
      <c r="I27" s="1019"/>
      <c r="J27" s="709"/>
      <c r="K27" s="709"/>
      <c r="L27" s="712"/>
      <c r="M27" s="716"/>
      <c r="N27" s="706"/>
      <c r="O27" s="706"/>
      <c r="P27" s="702"/>
      <c r="Q27" s="742"/>
      <c r="R27" s="743"/>
      <c r="S27" s="728"/>
      <c r="T27" s="728"/>
      <c r="U27" s="728"/>
    </row>
    <row r="28" spans="1:23" x14ac:dyDescent="0.2">
      <c r="L28" s="744"/>
      <c r="M28" s="744"/>
      <c r="N28" s="744"/>
      <c r="R28" s="744"/>
      <c r="S28" s="744"/>
      <c r="T28" s="744"/>
      <c r="U28" s="744"/>
    </row>
    <row r="29" spans="1:23" x14ac:dyDescent="0.2">
      <c r="D29" s="745"/>
      <c r="P29" s="746"/>
      <c r="Q29" s="744"/>
      <c r="R29" s="744"/>
      <c r="S29" s="744"/>
      <c r="T29" s="744"/>
      <c r="U29" s="744"/>
    </row>
    <row r="30" spans="1:23" x14ac:dyDescent="0.2">
      <c r="D30" s="745"/>
      <c r="P30" s="746"/>
      <c r="Q30" s="744"/>
      <c r="R30" s="744"/>
      <c r="S30" s="744"/>
      <c r="T30" s="744"/>
      <c r="U30" s="744"/>
    </row>
    <row r="31" spans="1:23" x14ac:dyDescent="0.2">
      <c r="D31" s="745"/>
      <c r="P31" s="746"/>
      <c r="Q31" s="744"/>
      <c r="R31" s="744"/>
      <c r="S31" s="744"/>
      <c r="T31" s="744"/>
      <c r="U31" s="744"/>
    </row>
    <row r="32" spans="1:23" x14ac:dyDescent="0.2">
      <c r="D32" s="745"/>
      <c r="P32" s="746"/>
      <c r="Q32" s="744"/>
      <c r="R32" s="744"/>
      <c r="S32" s="744"/>
      <c r="T32" s="744"/>
      <c r="U32" s="744"/>
    </row>
    <row r="33" spans="4:21" x14ac:dyDescent="0.2">
      <c r="D33" s="745"/>
      <c r="P33" s="746"/>
      <c r="Q33" s="744"/>
      <c r="R33" s="744"/>
      <c r="S33" s="744"/>
      <c r="T33" s="744"/>
      <c r="U33" s="744"/>
    </row>
    <row r="34" spans="4:21" x14ac:dyDescent="0.2">
      <c r="D34" s="745"/>
      <c r="P34" s="746"/>
      <c r="Q34" s="744"/>
      <c r="R34" s="744"/>
      <c r="S34" s="744"/>
      <c r="T34" s="744"/>
      <c r="U34" s="744"/>
    </row>
    <row r="35" spans="4:21" x14ac:dyDescent="0.2">
      <c r="D35" s="745"/>
      <c r="P35" s="746"/>
      <c r="Q35" s="744"/>
      <c r="R35" s="744"/>
      <c r="S35" s="744"/>
      <c r="T35" s="744"/>
      <c r="U35" s="744"/>
    </row>
    <row r="36" spans="4:21" x14ac:dyDescent="0.2">
      <c r="D36" s="745"/>
      <c r="P36" s="746"/>
      <c r="Q36" s="744"/>
      <c r="R36" s="744"/>
      <c r="S36" s="744"/>
      <c r="T36" s="744"/>
      <c r="U36" s="744"/>
    </row>
    <row r="37" spans="4:21" x14ac:dyDescent="0.2">
      <c r="D37" s="745"/>
      <c r="P37" s="746"/>
      <c r="Q37" s="744"/>
      <c r="R37" s="744"/>
      <c r="S37" s="744"/>
      <c r="T37" s="744"/>
      <c r="U37" s="744"/>
    </row>
    <row r="38" spans="4:21" x14ac:dyDescent="0.2">
      <c r="D38" s="745"/>
      <c r="P38" s="746"/>
      <c r="Q38" s="744"/>
      <c r="R38" s="744"/>
      <c r="S38" s="744"/>
      <c r="T38" s="744"/>
      <c r="U38" s="744"/>
    </row>
    <row r="39" spans="4:21" s="1020" customFormat="1" x14ac:dyDescent="0.2">
      <c r="D39" s="1021"/>
      <c r="R39" s="1027"/>
      <c r="S39" s="1027"/>
      <c r="T39" s="1027"/>
      <c r="U39" s="1027"/>
    </row>
    <row r="40" spans="4:21" s="777" customFormat="1" x14ac:dyDescent="0.2"/>
    <row r="41" spans="4:21" s="777" customFormat="1" x14ac:dyDescent="0.2">
      <c r="D41" s="778" t="s">
        <v>531</v>
      </c>
      <c r="E41" s="781" t="e">
        <f>AVERAGE(E49:O49)</f>
        <v>#DIV/0!</v>
      </c>
    </row>
    <row r="42" spans="4:21" s="777" customFormat="1" x14ac:dyDescent="0.2">
      <c r="D42" s="778" t="s">
        <v>532</v>
      </c>
      <c r="E42" s="781" t="e">
        <f>'Ev. Rebanho'!Q27</f>
        <v>#DIV/0!</v>
      </c>
    </row>
    <row r="43" spans="4:21" s="777" customFormat="1" x14ac:dyDescent="0.2">
      <c r="D43" s="1216" t="s">
        <v>533</v>
      </c>
      <c r="E43" s="782">
        <f>DRA!F5</f>
        <v>2017</v>
      </c>
      <c r="F43" s="782">
        <f>DRA!H5</f>
        <v>2018</v>
      </c>
      <c r="G43" s="782">
        <f>DRA!J5</f>
        <v>2019</v>
      </c>
      <c r="H43" s="782">
        <f>DRA!L5</f>
        <v>2020</v>
      </c>
      <c r="I43" s="782">
        <f>DRA!F5</f>
        <v>2017</v>
      </c>
    </row>
    <row r="44" spans="4:21" s="777" customFormat="1" x14ac:dyDescent="0.2">
      <c r="D44" s="1216"/>
      <c r="E44" s="781" t="e">
        <f>'Ev. Rebanho'!P41</f>
        <v>#DIV/0!</v>
      </c>
      <c r="F44" s="781" t="e">
        <f>'Ev. Rebanho'!R41</f>
        <v>#DIV/0!</v>
      </c>
      <c r="G44" s="781" t="e">
        <f>'Ev. Rebanho'!S41</f>
        <v>#DIV/0!</v>
      </c>
      <c r="H44" s="781" t="e">
        <f>'Ev. Rebanho'!T41</f>
        <v>#DIV/0!</v>
      </c>
      <c r="I44" s="781" t="e">
        <f>'Ev. Rebanho'!U41</f>
        <v>#DIV/0!</v>
      </c>
      <c r="P44" s="1032"/>
      <c r="Q44" s="1033"/>
      <c r="R44" s="1032"/>
      <c r="S44" s="1032"/>
      <c r="T44" s="1032"/>
    </row>
    <row r="45" spans="4:21" s="777" customFormat="1" x14ac:dyDescent="0.2">
      <c r="D45" s="1039" t="s">
        <v>602</v>
      </c>
      <c r="E45" s="784" t="e">
        <f>'Estatisticas Economicas'!$D$26</f>
        <v>#DIV/0!</v>
      </c>
      <c r="F45" s="781"/>
      <c r="G45" s="781"/>
      <c r="H45" s="781"/>
      <c r="I45" s="781"/>
      <c r="P45" s="1032"/>
      <c r="Q45" s="1033"/>
      <c r="R45" s="1032"/>
      <c r="S45" s="1032"/>
      <c r="T45" s="1032"/>
    </row>
    <row r="46" spans="4:21" s="777" customFormat="1" x14ac:dyDescent="0.2">
      <c r="D46" s="778" t="s">
        <v>534</v>
      </c>
      <c r="E46" s="1043" t="e">
        <f>'Ev. Rebanho'!Q33</f>
        <v>#DIV/0!</v>
      </c>
      <c r="P46" s="1032"/>
      <c r="Q46" s="1032"/>
      <c r="R46" s="1032"/>
      <c r="S46" s="1032"/>
      <c r="T46" s="1032"/>
    </row>
    <row r="47" spans="4:21" s="777" customFormat="1" x14ac:dyDescent="0.2">
      <c r="D47" s="778" t="s">
        <v>535</v>
      </c>
      <c r="E47" s="1044" t="e">
        <f>'Estatisticas Economicas'!D8</f>
        <v>#DIV/0!</v>
      </c>
      <c r="P47" s="1032"/>
      <c r="Q47" s="1032"/>
      <c r="R47" s="1032"/>
      <c r="S47" s="1032"/>
      <c r="T47" s="1032"/>
    </row>
    <row r="48" spans="4:21" s="777" customFormat="1" x14ac:dyDescent="0.2">
      <c r="D48" s="778" t="s">
        <v>513</v>
      </c>
      <c r="E48" s="784" t="e">
        <f>'Estatisticas Economicas'!D28</f>
        <v>#DIV/0!</v>
      </c>
      <c r="P48" s="1032"/>
      <c r="Q48" s="1032"/>
      <c r="R48" s="1032"/>
      <c r="S48" s="1032"/>
      <c r="T48" s="1032"/>
    </row>
    <row r="49" spans="2:38" s="777" customFormat="1" x14ac:dyDescent="0.2">
      <c r="B49" s="1223" t="s">
        <v>598</v>
      </c>
      <c r="C49" s="1223"/>
      <c r="D49" s="1223"/>
      <c r="E49" s="1045">
        <f>'Ev. Rebanho'!E32*'Ev. Rebanho'!E30</f>
        <v>0</v>
      </c>
      <c r="F49" s="1045">
        <f>'Ev. Rebanho'!F32*'Ev. Rebanho'!F30</f>
        <v>0</v>
      </c>
      <c r="G49" s="1045">
        <f>'Ev. Rebanho'!G32*'Ev. Rebanho'!G30</f>
        <v>0</v>
      </c>
      <c r="H49" s="1045">
        <f>'Ev. Rebanho'!H32*'Ev. Rebanho'!H30</f>
        <v>0</v>
      </c>
      <c r="I49" s="1045">
        <f>'Ev. Rebanho'!I32*'Ev. Rebanho'!I30</f>
        <v>0</v>
      </c>
      <c r="J49" s="1045">
        <f>'Ev. Rebanho'!J32*'Ev. Rebanho'!J30</f>
        <v>0</v>
      </c>
      <c r="K49" s="1045" t="e">
        <f>'Ev. Rebanho'!K32*'Ev. Rebanho'!K30</f>
        <v>#DIV/0!</v>
      </c>
      <c r="L49" s="1045" t="e">
        <f>'Ev. Rebanho'!L32*'Ev. Rebanho'!L30</f>
        <v>#DIV/0!</v>
      </c>
      <c r="M49" s="1045" t="e">
        <f>'Ev. Rebanho'!M32*'Ev. Rebanho'!M30</f>
        <v>#DIV/0!</v>
      </c>
      <c r="N49" s="1045" t="e">
        <f>'Ev. Rebanho'!N32*'Ev. Rebanho'!N30</f>
        <v>#DIV/0!</v>
      </c>
      <c r="O49" s="1045" t="e">
        <f>'Ev. Rebanho'!O32*'Ev. Rebanho'!O30</f>
        <v>#DIV/0!</v>
      </c>
      <c r="P49" s="1045" t="e">
        <f>'Ev. Rebanho'!P32*'Ev. Rebanho'!P30</f>
        <v>#DIV/0!</v>
      </c>
      <c r="Q49" s="1032"/>
      <c r="R49" s="1032"/>
      <c r="S49" s="1032"/>
      <c r="T49" s="1032"/>
    </row>
    <row r="50" spans="2:38" s="777" customFormat="1" x14ac:dyDescent="0.2">
      <c r="B50" s="763"/>
      <c r="C50" s="1046"/>
      <c r="D50" s="1046"/>
      <c r="E50" s="777" t="s">
        <v>298</v>
      </c>
      <c r="F50" s="777" t="s">
        <v>299</v>
      </c>
      <c r="G50" s="777" t="s">
        <v>300</v>
      </c>
      <c r="H50" s="777" t="s">
        <v>301</v>
      </c>
      <c r="I50" s="777" t="s">
        <v>302</v>
      </c>
      <c r="J50" s="777" t="s">
        <v>303</v>
      </c>
      <c r="K50" s="777" t="s">
        <v>304</v>
      </c>
      <c r="L50" s="777" t="s">
        <v>305</v>
      </c>
      <c r="M50" s="777" t="s">
        <v>306</v>
      </c>
      <c r="N50" s="777" t="s">
        <v>307</v>
      </c>
      <c r="O50" s="777" t="s">
        <v>308</v>
      </c>
      <c r="P50" s="777" t="s">
        <v>309</v>
      </c>
      <c r="Q50" s="1032"/>
      <c r="R50" s="1032"/>
      <c r="S50" s="1032"/>
      <c r="T50" s="1032"/>
    </row>
    <row r="51" spans="2:38" s="777" customFormat="1" x14ac:dyDescent="0.2">
      <c r="B51" s="763"/>
      <c r="C51" s="787"/>
      <c r="D51" s="788"/>
      <c r="P51" s="1032"/>
      <c r="Q51" s="1032"/>
      <c r="R51" s="1032"/>
      <c r="S51" s="1032"/>
      <c r="T51" s="1032"/>
    </row>
    <row r="52" spans="2:38" s="777" customFormat="1" x14ac:dyDescent="0.2">
      <c r="B52" s="763"/>
      <c r="C52" s="787"/>
      <c r="D52" s="788"/>
      <c r="E52" s="777" t="s">
        <v>78</v>
      </c>
      <c r="P52" s="1032"/>
      <c r="Q52" s="1032"/>
      <c r="R52" s="1032"/>
      <c r="S52" s="1032"/>
      <c r="T52" s="1032"/>
      <c r="AB52" s="1032"/>
      <c r="AC52" s="1032"/>
      <c r="AD52" s="1032"/>
      <c r="AE52" s="1032"/>
      <c r="AF52" s="1032"/>
      <c r="AG52" s="1032"/>
      <c r="AH52" s="1032"/>
      <c r="AI52" s="1032"/>
      <c r="AJ52" s="1032"/>
      <c r="AK52" s="1032"/>
      <c r="AL52" s="1032"/>
    </row>
    <row r="53" spans="2:38" s="777" customFormat="1" x14ac:dyDescent="0.2">
      <c r="B53" s="763"/>
      <c r="C53" s="787"/>
      <c r="D53" s="1047" t="s">
        <v>599</v>
      </c>
      <c r="E53" s="1048" t="e">
        <f>'Ev. Rebanho'!Q10</f>
        <v>#DIV/0!</v>
      </c>
      <c r="F53" s="1220"/>
      <c r="G53" s="1220"/>
      <c r="H53" s="817"/>
      <c r="I53" s="817"/>
      <c r="J53" s="1220"/>
      <c r="K53" s="1220"/>
      <c r="L53" s="817"/>
      <c r="M53" s="817"/>
      <c r="N53" s="1220"/>
      <c r="O53" s="1220"/>
      <c r="P53" s="763"/>
      <c r="Q53" s="763"/>
      <c r="R53" s="763"/>
      <c r="S53" s="763"/>
      <c r="T53" s="763"/>
      <c r="U53" s="817"/>
      <c r="V53" s="1220"/>
      <c r="W53" s="1220"/>
      <c r="X53" s="1220"/>
      <c r="Y53" s="1220"/>
      <c r="Z53" s="817"/>
      <c r="AA53" s="817"/>
      <c r="AB53" s="763"/>
      <c r="AC53" s="1220"/>
      <c r="AD53" s="1220"/>
      <c r="AE53" s="1220"/>
      <c r="AF53" s="763"/>
      <c r="AG53" s="763"/>
      <c r="AH53" s="763"/>
      <c r="AI53" s="1220"/>
      <c r="AJ53" s="1220"/>
      <c r="AK53" s="763"/>
      <c r="AL53" s="763"/>
    </row>
    <row r="54" spans="2:38" s="777" customFormat="1" x14ac:dyDescent="0.2">
      <c r="B54" s="763"/>
      <c r="C54" s="787"/>
      <c r="D54" s="1047" t="s">
        <v>600</v>
      </c>
      <c r="E54" s="1048" t="e">
        <f>'Ev. Rebanho'!Q11</f>
        <v>#DIV/0!</v>
      </c>
      <c r="F54" s="763"/>
      <c r="G54" s="1049"/>
      <c r="H54" s="817"/>
      <c r="I54" s="817"/>
      <c r="J54" s="763"/>
      <c r="K54" s="1046"/>
      <c r="L54" s="817"/>
      <c r="M54" s="817"/>
      <c r="N54" s="763"/>
      <c r="O54" s="1046"/>
      <c r="P54" s="763"/>
      <c r="Q54" s="763"/>
      <c r="R54" s="763"/>
      <c r="S54" s="763"/>
      <c r="T54" s="763"/>
      <c r="U54" s="817"/>
      <c r="V54" s="817"/>
      <c r="W54" s="817"/>
      <c r="X54" s="817"/>
      <c r="Y54" s="817"/>
      <c r="Z54" s="817"/>
      <c r="AA54" s="817"/>
      <c r="AB54" s="763"/>
      <c r="AC54" s="763"/>
      <c r="AD54" s="763"/>
      <c r="AE54" s="763"/>
      <c r="AF54" s="763"/>
      <c r="AG54" s="763"/>
      <c r="AH54" s="763"/>
      <c r="AI54" s="763"/>
      <c r="AJ54" s="763"/>
      <c r="AK54" s="763"/>
      <c r="AL54" s="763"/>
    </row>
    <row r="55" spans="2:38" s="777" customFormat="1" x14ac:dyDescent="0.2">
      <c r="D55" s="778" t="s">
        <v>601</v>
      </c>
      <c r="E55" s="1045" t="e">
        <f>'Ev. Rebanho'!Q20</f>
        <v>#DIV/0!</v>
      </c>
      <c r="F55" s="763"/>
      <c r="G55" s="1049"/>
      <c r="H55" s="817"/>
      <c r="I55" s="817"/>
      <c r="J55" s="763"/>
      <c r="K55" s="787"/>
      <c r="L55" s="817"/>
      <c r="M55" s="817"/>
      <c r="N55" s="763"/>
      <c r="O55" s="787"/>
      <c r="P55" s="763"/>
      <c r="Q55" s="763"/>
      <c r="R55" s="763"/>
      <c r="S55" s="763"/>
      <c r="T55" s="763"/>
      <c r="U55" s="817"/>
      <c r="V55" s="817"/>
      <c r="W55" s="817"/>
      <c r="X55" s="817"/>
      <c r="Y55" s="817"/>
      <c r="Z55" s="817"/>
      <c r="AA55" s="817"/>
      <c r="AB55" s="763"/>
      <c r="AC55" s="763"/>
      <c r="AD55" s="763"/>
      <c r="AE55" s="763"/>
      <c r="AF55" s="763"/>
      <c r="AG55" s="763"/>
      <c r="AH55" s="763"/>
      <c r="AI55" s="763"/>
      <c r="AJ55" s="763"/>
      <c r="AK55" s="763"/>
      <c r="AL55" s="763"/>
    </row>
    <row r="56" spans="2:38" s="777" customFormat="1" x14ac:dyDescent="0.2">
      <c r="D56" s="778" t="s">
        <v>131</v>
      </c>
      <c r="E56" s="1048" t="e">
        <f>'Ev. Rebanho'!Q6</f>
        <v>#DIV/0!</v>
      </c>
      <c r="F56" s="817"/>
      <c r="G56" s="817"/>
      <c r="H56" s="817"/>
      <c r="I56" s="817"/>
      <c r="J56" s="817"/>
      <c r="K56" s="817"/>
      <c r="L56" s="817"/>
      <c r="M56" s="817"/>
      <c r="N56" s="763"/>
      <c r="O56" s="763"/>
      <c r="P56" s="763"/>
      <c r="Q56" s="763"/>
      <c r="R56" s="763"/>
      <c r="S56" s="763"/>
      <c r="T56" s="763"/>
      <c r="U56" s="817"/>
      <c r="V56" s="817"/>
      <c r="W56" s="817"/>
      <c r="X56" s="817"/>
      <c r="Y56" s="817"/>
      <c r="Z56" s="817"/>
      <c r="AA56" s="817"/>
      <c r="AB56" s="763"/>
      <c r="AC56" s="763"/>
      <c r="AD56" s="763"/>
      <c r="AE56" s="763"/>
      <c r="AF56" s="763"/>
      <c r="AG56" s="763"/>
      <c r="AH56" s="763"/>
      <c r="AI56" s="763"/>
      <c r="AJ56" s="763"/>
      <c r="AK56" s="763"/>
      <c r="AL56" s="763"/>
    </row>
    <row r="57" spans="2:38" s="777" customFormat="1" x14ac:dyDescent="0.2">
      <c r="D57" s="778" t="s">
        <v>603</v>
      </c>
      <c r="E57" s="1050">
        <f>Inputs!I8</f>
        <v>0</v>
      </c>
      <c r="F57" s="817"/>
      <c r="G57" s="817"/>
      <c r="H57" s="817"/>
      <c r="I57" s="817"/>
      <c r="J57" s="817"/>
      <c r="K57" s="817"/>
      <c r="L57" s="817"/>
      <c r="M57" s="817"/>
      <c r="N57" s="763"/>
      <c r="O57" s="763"/>
      <c r="P57" s="763"/>
      <c r="Q57" s="763"/>
      <c r="R57" s="763"/>
      <c r="S57" s="763"/>
      <c r="T57" s="763"/>
      <c r="U57" s="817"/>
      <c r="V57" s="817"/>
      <c r="W57" s="817"/>
      <c r="X57" s="817"/>
      <c r="Y57" s="817"/>
      <c r="Z57" s="817"/>
      <c r="AA57" s="817"/>
      <c r="AB57" s="763"/>
      <c r="AC57" s="763"/>
      <c r="AD57" s="763"/>
      <c r="AE57" s="763"/>
      <c r="AF57" s="763"/>
      <c r="AG57" s="763"/>
      <c r="AH57" s="763"/>
      <c r="AI57" s="763"/>
      <c r="AJ57" s="763"/>
      <c r="AK57" s="763"/>
      <c r="AL57" s="763"/>
    </row>
    <row r="58" spans="2:38" s="777" customFormat="1" x14ac:dyDescent="0.2">
      <c r="F58" s="1220"/>
      <c r="G58" s="1220"/>
      <c r="H58" s="817"/>
      <c r="I58" s="1220"/>
      <c r="J58" s="1220"/>
      <c r="K58" s="817"/>
      <c r="L58" s="1220"/>
      <c r="M58" s="1220"/>
      <c r="N58" s="763"/>
      <c r="O58" s="1221"/>
      <c r="P58" s="1222"/>
      <c r="Q58" s="817"/>
      <c r="R58" s="763"/>
      <c r="S58" s="1220"/>
      <c r="T58" s="1220"/>
      <c r="U58" s="817"/>
      <c r="V58" s="1220"/>
      <c r="W58" s="1220"/>
      <c r="X58" s="817"/>
      <c r="Y58" s="1220"/>
      <c r="Z58" s="1220"/>
      <c r="AA58" s="817"/>
      <c r="AB58" s="1221"/>
      <c r="AC58" s="1221"/>
      <c r="AD58" s="763"/>
      <c r="AE58" s="1221"/>
      <c r="AF58" s="1221"/>
      <c r="AG58" s="763"/>
      <c r="AH58" s="1221"/>
      <c r="AI58" s="1221"/>
      <c r="AJ58" s="1051"/>
      <c r="AK58" s="1220"/>
      <c r="AL58" s="1220"/>
    </row>
    <row r="59" spans="2:38" s="777" customFormat="1" x14ac:dyDescent="0.2">
      <c r="F59" s="763"/>
      <c r="G59" s="787"/>
      <c r="H59" s="763"/>
      <c r="I59" s="763"/>
      <c r="J59" s="787"/>
      <c r="K59" s="817"/>
      <c r="L59" s="763"/>
      <c r="M59" s="787"/>
      <c r="N59" s="763"/>
      <c r="O59" s="763"/>
      <c r="P59" s="1049"/>
      <c r="Q59" s="817"/>
      <c r="R59" s="763"/>
      <c r="S59" s="763"/>
      <c r="T59" s="1046"/>
      <c r="U59" s="817"/>
      <c r="V59" s="763"/>
      <c r="W59" s="1046"/>
      <c r="X59" s="817"/>
      <c r="Y59" s="763"/>
      <c r="Z59" s="787"/>
      <c r="AA59" s="763"/>
      <c r="AB59" s="763"/>
      <c r="AC59" s="763"/>
      <c r="AD59" s="763"/>
      <c r="AE59" s="763"/>
      <c r="AF59" s="763"/>
      <c r="AG59" s="763"/>
      <c r="AH59" s="763"/>
      <c r="AI59" s="763"/>
      <c r="AJ59" s="763"/>
      <c r="AK59" s="763"/>
      <c r="AL59" s="763"/>
    </row>
    <row r="60" spans="2:38" s="777" customFormat="1" x14ac:dyDescent="0.2">
      <c r="F60" s="763"/>
      <c r="G60" s="787"/>
      <c r="H60" s="763"/>
      <c r="I60" s="763"/>
      <c r="J60" s="1052"/>
      <c r="K60" s="817"/>
      <c r="L60" s="763"/>
      <c r="M60" s="787"/>
      <c r="N60" s="763"/>
      <c r="O60" s="763"/>
      <c r="P60" s="1049"/>
      <c r="Q60" s="817"/>
      <c r="R60" s="763"/>
      <c r="S60" s="763"/>
      <c r="T60" s="787"/>
      <c r="U60" s="817"/>
      <c r="V60" s="763"/>
      <c r="W60" s="787"/>
      <c r="X60" s="817"/>
      <c r="Y60" s="763"/>
      <c r="Z60" s="1049"/>
      <c r="AA60" s="763"/>
      <c r="AB60" s="763"/>
      <c r="AC60" s="763"/>
      <c r="AD60" s="763"/>
      <c r="AE60" s="763"/>
      <c r="AF60" s="763"/>
      <c r="AG60" s="763"/>
      <c r="AH60" s="763"/>
      <c r="AI60" s="763"/>
      <c r="AJ60" s="763"/>
      <c r="AK60" s="763"/>
      <c r="AL60" s="763"/>
    </row>
    <row r="61" spans="2:38" s="777" customFormat="1" x14ac:dyDescent="0.2">
      <c r="F61" s="817"/>
      <c r="G61" s="817"/>
      <c r="H61" s="817"/>
      <c r="I61" s="817"/>
      <c r="J61" s="817"/>
      <c r="K61" s="817"/>
      <c r="L61" s="817"/>
      <c r="M61" s="817"/>
      <c r="N61" s="763"/>
      <c r="O61" s="763"/>
      <c r="P61" s="763"/>
      <c r="Q61" s="763"/>
      <c r="R61" s="763"/>
      <c r="S61" s="763"/>
      <c r="T61" s="763"/>
      <c r="U61" s="817"/>
      <c r="V61" s="817"/>
      <c r="W61" s="817"/>
      <c r="X61" s="817"/>
      <c r="Y61" s="817"/>
      <c r="Z61" s="817"/>
      <c r="AA61" s="817"/>
      <c r="AB61" s="763"/>
      <c r="AC61" s="763"/>
      <c r="AD61" s="763"/>
      <c r="AE61" s="763"/>
      <c r="AF61" s="763"/>
      <c r="AG61" s="763"/>
      <c r="AH61" s="763"/>
      <c r="AI61" s="763"/>
      <c r="AJ61" s="763"/>
      <c r="AK61" s="763"/>
      <c r="AL61" s="763"/>
    </row>
    <row r="62" spans="2:38" s="777" customFormat="1" x14ac:dyDescent="0.2">
      <c r="F62" s="817"/>
      <c r="G62" s="817"/>
      <c r="H62" s="817"/>
      <c r="I62" s="817"/>
      <c r="J62" s="817"/>
      <c r="K62" s="817"/>
      <c r="L62" s="817"/>
      <c r="M62" s="817"/>
      <c r="N62" s="763"/>
      <c r="O62" s="763"/>
      <c r="P62" s="763"/>
      <c r="Q62" s="763"/>
      <c r="R62" s="763"/>
      <c r="S62" s="763"/>
      <c r="T62" s="763"/>
      <c r="U62" s="817"/>
      <c r="V62" s="817"/>
      <c r="W62" s="817"/>
      <c r="X62" s="817"/>
      <c r="Y62" s="817"/>
      <c r="Z62" s="817"/>
      <c r="AA62" s="817"/>
      <c r="AB62" s="817"/>
      <c r="AC62" s="817"/>
      <c r="AD62" s="817"/>
      <c r="AE62" s="817"/>
      <c r="AF62" s="817"/>
      <c r="AG62" s="817"/>
      <c r="AH62" s="817"/>
      <c r="AI62" s="817"/>
      <c r="AJ62" s="817"/>
      <c r="AK62" s="817"/>
      <c r="AL62" s="817"/>
    </row>
    <row r="63" spans="2:38" s="777" customFormat="1" x14ac:dyDescent="0.2">
      <c r="F63" s="817"/>
      <c r="G63" s="817"/>
      <c r="H63" s="817"/>
      <c r="I63" s="817"/>
      <c r="J63" s="817"/>
      <c r="K63" s="817"/>
      <c r="L63" s="817"/>
      <c r="M63" s="817"/>
      <c r="N63" s="1220"/>
      <c r="O63" s="1220"/>
      <c r="P63" s="763"/>
      <c r="Q63" s="763"/>
      <c r="R63" s="763"/>
      <c r="S63" s="763"/>
      <c r="T63" s="763"/>
      <c r="U63" s="817"/>
      <c r="V63" s="817"/>
      <c r="W63" s="817"/>
      <c r="X63" s="817"/>
      <c r="Y63" s="817"/>
      <c r="Z63" s="817"/>
      <c r="AA63" s="817"/>
      <c r="AB63" s="817"/>
      <c r="AC63" s="817"/>
      <c r="AD63" s="817"/>
      <c r="AE63" s="817"/>
      <c r="AF63" s="817"/>
      <c r="AG63" s="817"/>
      <c r="AH63" s="817"/>
      <c r="AI63" s="817"/>
      <c r="AJ63" s="817"/>
      <c r="AK63" s="817"/>
      <c r="AL63" s="817"/>
    </row>
    <row r="64" spans="2:38" s="1020" customFormat="1" x14ac:dyDescent="0.2">
      <c r="N64" s="1021"/>
      <c r="O64" s="1028"/>
      <c r="P64" s="1027"/>
      <c r="Q64" s="1027"/>
      <c r="R64" s="1027"/>
      <c r="S64" s="1027"/>
      <c r="T64" s="1027"/>
    </row>
    <row r="65" spans="14:20" s="1020" customFormat="1" x14ac:dyDescent="0.2">
      <c r="N65" s="1021"/>
      <c r="O65" s="1028"/>
      <c r="P65" s="1027"/>
      <c r="Q65" s="1027"/>
      <c r="R65" s="1027"/>
      <c r="S65" s="1027"/>
      <c r="T65" s="1027"/>
    </row>
    <row r="66" spans="14:20" x14ac:dyDescent="0.2">
      <c r="N66" s="744"/>
      <c r="O66" s="744"/>
      <c r="P66" s="744"/>
      <c r="Q66" s="744"/>
      <c r="R66" s="744"/>
      <c r="S66" s="744"/>
      <c r="T66" s="744"/>
    </row>
  </sheetData>
  <sheetProtection password="8826" sheet="1" objects="1" scenarios="1" selectLockedCells="1" selectUnlockedCells="1"/>
  <mergeCells count="34">
    <mergeCell ref="L22:M22"/>
    <mergeCell ref="C5:D5"/>
    <mergeCell ref="G6:H6"/>
    <mergeCell ref="D10:E10"/>
    <mergeCell ref="J10:K10"/>
    <mergeCell ref="B15:D15"/>
    <mergeCell ref="H15:I15"/>
    <mergeCell ref="M15:O15"/>
    <mergeCell ref="G16:H16"/>
    <mergeCell ref="H19:I19"/>
    <mergeCell ref="D21:E21"/>
    <mergeCell ref="I21:J21"/>
    <mergeCell ref="F25:G25"/>
    <mergeCell ref="L25:M25"/>
    <mergeCell ref="D43:D44"/>
    <mergeCell ref="B49:D49"/>
    <mergeCell ref="F53:G53"/>
    <mergeCell ref="J53:K53"/>
    <mergeCell ref="F58:G58"/>
    <mergeCell ref="I58:J58"/>
    <mergeCell ref="L58:M58"/>
    <mergeCell ref="O58:P58"/>
    <mergeCell ref="S58:T58"/>
    <mergeCell ref="AK58:AL58"/>
    <mergeCell ref="N63:O63"/>
    <mergeCell ref="N53:O53"/>
    <mergeCell ref="V53:Y53"/>
    <mergeCell ref="AC53:AE53"/>
    <mergeCell ref="AI53:AJ53"/>
    <mergeCell ref="V58:W58"/>
    <mergeCell ref="Y58:Z58"/>
    <mergeCell ref="AB58:AC58"/>
    <mergeCell ref="AE58:AF58"/>
    <mergeCell ref="AH58:AI58"/>
  </mergeCells>
  <phoneticPr fontId="59" type="noConversion"/>
  <pageMargins left="0.511811024" right="0.511811024" top="0.78740157499999996" bottom="0.78740157499999996" header="0.31496062000000002" footer="0.31496062000000002"/>
  <pageSetup paperSize="9" scale="70" orientation="landscape"/>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enableFormatConditionsCalculation="0">
    <tabColor rgb="FFC00000"/>
  </sheetPr>
  <dimension ref="A1:AL55"/>
  <sheetViews>
    <sheetView zoomScale="60" zoomScaleNormal="60" zoomScalePageLayoutView="60" workbookViewId="0">
      <selection activeCell="F24" sqref="F24"/>
    </sheetView>
  </sheetViews>
  <sheetFormatPr baseColWidth="10" defaultColWidth="11.1640625" defaultRowHeight="16" x14ac:dyDescent="0.2"/>
  <cols>
    <col min="1" max="1" width="6.33203125" style="703" customWidth="1"/>
    <col min="2" max="2" width="13.5" style="703" customWidth="1"/>
    <col min="3" max="3" width="8.33203125" style="703" customWidth="1"/>
    <col min="4" max="11" width="12" style="703" customWidth="1"/>
    <col min="12" max="14" width="12.6640625" style="703" customWidth="1"/>
    <col min="15" max="15" width="14.6640625" style="703" customWidth="1"/>
    <col min="16" max="31" width="12.6640625" style="703" customWidth="1"/>
    <col min="32" max="32" width="8.6640625" style="703" customWidth="1"/>
    <col min="33" max="33" width="2" style="703" customWidth="1"/>
    <col min="34" max="34" width="11.1640625" style="703"/>
    <col min="35" max="35" width="7.33203125" style="703" customWidth="1"/>
    <col min="36" max="36" width="3.6640625" style="703" customWidth="1"/>
    <col min="37" max="37" width="11.1640625" style="703"/>
    <col min="38" max="38" width="7" style="703" customWidth="1"/>
    <col min="39" max="16384" width="11.1640625" style="703"/>
  </cols>
  <sheetData>
    <row r="1" spans="1:21" x14ac:dyDescent="0.2">
      <c r="A1" s="702"/>
      <c r="B1" s="702"/>
      <c r="C1" s="702"/>
      <c r="D1" s="702"/>
      <c r="E1" s="702"/>
      <c r="F1" s="702"/>
      <c r="G1" s="702"/>
      <c r="H1" s="702"/>
      <c r="I1" s="702"/>
      <c r="J1" s="702"/>
      <c r="K1" s="702"/>
      <c r="L1" s="702"/>
      <c r="M1" s="702"/>
      <c r="N1" s="702"/>
      <c r="O1" s="702"/>
      <c r="P1" s="702"/>
      <c r="Q1" s="702"/>
      <c r="R1" s="702"/>
      <c r="S1" s="702"/>
      <c r="T1" s="702"/>
      <c r="U1" s="702"/>
    </row>
    <row r="2" spans="1:21" ht="19" x14ac:dyDescent="0.25">
      <c r="A2" s="702"/>
      <c r="B2" s="702"/>
      <c r="C2" s="702"/>
      <c r="D2" s="702"/>
      <c r="E2" s="702"/>
      <c r="F2" s="704"/>
      <c r="G2" s="705"/>
      <c r="H2" s="702"/>
      <c r="I2" s="702"/>
      <c r="J2" s="702"/>
      <c r="K2" s="702"/>
      <c r="L2" s="702"/>
      <c r="M2" s="702"/>
      <c r="N2" s="702"/>
      <c r="O2" s="702"/>
      <c r="P2" s="702"/>
      <c r="Q2" s="702"/>
      <c r="R2" s="702"/>
      <c r="S2" s="702"/>
      <c r="T2" s="702"/>
      <c r="U2" s="702"/>
    </row>
    <row r="3" spans="1:21" x14ac:dyDescent="0.2">
      <c r="A3" s="702"/>
      <c r="B3" s="702"/>
      <c r="C3" s="702"/>
      <c r="D3" s="702"/>
      <c r="E3" s="702"/>
      <c r="F3" s="702"/>
      <c r="G3" s="702"/>
      <c r="H3" s="702"/>
      <c r="I3" s="702"/>
      <c r="J3" s="702"/>
      <c r="K3" s="702"/>
      <c r="L3" s="702"/>
      <c r="M3" s="702"/>
      <c r="N3" s="702"/>
      <c r="O3" s="702"/>
      <c r="P3" s="702"/>
      <c r="Q3" s="702"/>
      <c r="R3" s="702"/>
      <c r="S3" s="702"/>
      <c r="T3" s="702"/>
      <c r="U3" s="702"/>
    </row>
    <row r="4" spans="1:21" x14ac:dyDescent="0.2">
      <c r="A4" s="706"/>
      <c r="B4" s="706"/>
      <c r="C4" s="706"/>
      <c r="D4" s="706"/>
      <c r="E4" s="706"/>
      <c r="F4" s="706"/>
      <c r="G4" s="706"/>
      <c r="H4" s="706"/>
      <c r="I4" s="706"/>
      <c r="J4" s="706"/>
      <c r="K4" s="706"/>
      <c r="L4" s="706"/>
      <c r="M4" s="706"/>
      <c r="N4" s="706"/>
      <c r="O4" s="706"/>
      <c r="P4" s="702"/>
      <c r="Q4" s="702"/>
      <c r="R4" s="702"/>
      <c r="S4" s="702"/>
      <c r="T4" s="702"/>
      <c r="U4" s="702"/>
    </row>
    <row r="5" spans="1:21" x14ac:dyDescent="0.2">
      <c r="A5" s="706"/>
      <c r="B5" s="707"/>
      <c r="C5" s="1218"/>
      <c r="D5" s="1218"/>
      <c r="E5" s="706"/>
      <c r="F5" s="706"/>
      <c r="G5" s="706"/>
      <c r="H5" s="706"/>
      <c r="I5" s="706"/>
      <c r="J5" s="706"/>
      <c r="K5" s="706"/>
      <c r="L5" s="706"/>
      <c r="M5" s="706"/>
      <c r="N5" s="706"/>
      <c r="O5" s="706"/>
      <c r="P5" s="702"/>
      <c r="Q5" s="702"/>
      <c r="R5" s="702"/>
      <c r="S5" s="702"/>
      <c r="T5" s="702"/>
      <c r="U5" s="702"/>
    </row>
    <row r="6" spans="1:21" x14ac:dyDescent="0.2">
      <c r="A6" s="706"/>
      <c r="B6" s="706"/>
      <c r="C6" s="706"/>
      <c r="D6" s="706"/>
      <c r="E6" s="706"/>
      <c r="F6" s="706"/>
      <c r="G6" s="1213"/>
      <c r="H6" s="1213"/>
      <c r="I6" s="708"/>
      <c r="J6" s="706"/>
      <c r="K6" s="706"/>
      <c r="L6" s="706"/>
      <c r="M6" s="706"/>
      <c r="N6" s="706"/>
      <c r="O6" s="706"/>
      <c r="P6" s="702"/>
      <c r="Q6" s="702"/>
      <c r="R6" s="702"/>
      <c r="S6" s="702"/>
      <c r="T6" s="702"/>
      <c r="U6" s="702"/>
    </row>
    <row r="7" spans="1:21" x14ac:dyDescent="0.2">
      <c r="A7" s="706"/>
      <c r="B7" s="706"/>
      <c r="C7" s="706"/>
      <c r="D7" s="706"/>
      <c r="E7" s="706"/>
      <c r="F7" s="706"/>
      <c r="G7" s="709"/>
      <c r="H7" s="710"/>
      <c r="I7" s="711"/>
      <c r="J7" s="706"/>
      <c r="K7" s="706"/>
      <c r="L7" s="706"/>
      <c r="M7" s="706"/>
      <c r="N7" s="706"/>
      <c r="O7" s="706"/>
      <c r="P7" s="702"/>
      <c r="Q7" s="702"/>
      <c r="R7" s="702"/>
      <c r="S7" s="702"/>
      <c r="T7" s="702"/>
      <c r="U7" s="702"/>
    </row>
    <row r="8" spans="1:21" x14ac:dyDescent="0.2">
      <c r="A8" s="706"/>
      <c r="B8" s="706"/>
      <c r="C8" s="706"/>
      <c r="D8" s="706"/>
      <c r="E8" s="706"/>
      <c r="F8" s="706"/>
      <c r="G8" s="712"/>
      <c r="H8" s="713"/>
      <c r="I8" s="714"/>
      <c r="J8" s="706"/>
      <c r="K8" s="706"/>
      <c r="L8" s="706"/>
      <c r="M8" s="706"/>
      <c r="N8" s="706"/>
      <c r="O8" s="706"/>
      <c r="P8" s="702"/>
      <c r="Q8" s="702"/>
      <c r="R8" s="702"/>
      <c r="S8" s="702"/>
      <c r="T8" s="702"/>
      <c r="U8" s="702"/>
    </row>
    <row r="9" spans="1:21" x14ac:dyDescent="0.2">
      <c r="A9" s="706"/>
      <c r="B9" s="706"/>
      <c r="C9" s="706"/>
      <c r="D9" s="706"/>
      <c r="E9" s="706"/>
      <c r="F9" s="706"/>
      <c r="G9" s="712"/>
      <c r="H9" s="715"/>
      <c r="I9" s="706"/>
      <c r="J9" s="706"/>
      <c r="K9" s="706"/>
      <c r="L9" s="706"/>
      <c r="M9" s="706"/>
      <c r="N9" s="706"/>
      <c r="O9" s="706"/>
      <c r="P9" s="702"/>
      <c r="Q9" s="702"/>
      <c r="R9" s="702"/>
      <c r="S9" s="702"/>
      <c r="T9" s="702"/>
      <c r="U9" s="702"/>
    </row>
    <row r="10" spans="1:21" x14ac:dyDescent="0.2">
      <c r="A10" s="706"/>
      <c r="B10" s="706"/>
      <c r="C10" s="706"/>
      <c r="D10" s="1213"/>
      <c r="E10" s="1213"/>
      <c r="F10" s="706"/>
      <c r="G10" s="706"/>
      <c r="H10" s="706"/>
      <c r="I10" s="706"/>
      <c r="J10" s="1213"/>
      <c r="K10" s="1213"/>
      <c r="L10" s="708"/>
      <c r="M10" s="706"/>
      <c r="N10" s="706"/>
      <c r="O10" s="706"/>
      <c r="P10" s="702"/>
      <c r="Q10" s="702"/>
      <c r="R10" s="702"/>
      <c r="S10" s="702"/>
      <c r="T10" s="702"/>
      <c r="U10" s="702"/>
    </row>
    <row r="11" spans="1:21" x14ac:dyDescent="0.2">
      <c r="A11" s="706"/>
      <c r="B11" s="706"/>
      <c r="C11" s="706"/>
      <c r="D11" s="709"/>
      <c r="E11" s="710"/>
      <c r="F11" s="706"/>
      <c r="G11" s="706"/>
      <c r="H11" s="706"/>
      <c r="I11" s="706"/>
      <c r="J11" s="709"/>
      <c r="K11" s="710"/>
      <c r="L11" s="711"/>
      <c r="M11" s="706"/>
      <c r="N11" s="706"/>
      <c r="O11" s="706"/>
      <c r="P11" s="702"/>
      <c r="Q11" s="702"/>
      <c r="R11" s="702"/>
      <c r="S11" s="702"/>
      <c r="T11" s="702"/>
      <c r="U11" s="702"/>
    </row>
    <row r="12" spans="1:21" x14ac:dyDescent="0.2">
      <c r="A12" s="706"/>
      <c r="B12" s="706"/>
      <c r="C12" s="706"/>
      <c r="D12" s="712"/>
      <c r="E12" s="713"/>
      <c r="F12" s="706"/>
      <c r="G12" s="706"/>
      <c r="H12" s="706"/>
      <c r="I12" s="706"/>
      <c r="J12" s="712"/>
      <c r="K12" s="716"/>
      <c r="L12" s="717"/>
      <c r="M12" s="706"/>
      <c r="N12" s="706"/>
      <c r="O12" s="706"/>
      <c r="P12" s="702"/>
      <c r="Q12" s="702"/>
      <c r="R12" s="702"/>
      <c r="S12" s="702"/>
      <c r="T12" s="702"/>
      <c r="U12" s="702"/>
    </row>
    <row r="13" spans="1:21" x14ac:dyDescent="0.2">
      <c r="A13" s="706"/>
      <c r="B13" s="706"/>
      <c r="C13" s="706"/>
      <c r="D13" s="712"/>
      <c r="E13" s="715"/>
      <c r="F13" s="706"/>
      <c r="G13" s="706"/>
      <c r="H13" s="706"/>
      <c r="I13" s="706"/>
      <c r="J13" s="712"/>
      <c r="K13" s="716"/>
      <c r="L13" s="706"/>
      <c r="M13" s="706"/>
      <c r="N13" s="706"/>
      <c r="O13" s="706"/>
      <c r="P13" s="702"/>
      <c r="Q13" s="702"/>
      <c r="R13" s="702"/>
      <c r="S13" s="702"/>
      <c r="T13" s="702"/>
      <c r="U13" s="702"/>
    </row>
    <row r="14" spans="1:21" x14ac:dyDescent="0.2">
      <c r="A14" s="706"/>
      <c r="B14" s="706"/>
      <c r="C14" s="706"/>
      <c r="D14" s="706"/>
      <c r="E14" s="706"/>
      <c r="F14" s="706"/>
      <c r="G14" s="706"/>
      <c r="H14" s="706"/>
      <c r="I14" s="706"/>
      <c r="J14" s="706"/>
      <c r="K14" s="706"/>
      <c r="L14" s="706"/>
      <c r="M14" s="706"/>
      <c r="N14" s="706"/>
      <c r="O14" s="706"/>
      <c r="P14" s="702"/>
      <c r="Q14" s="702"/>
      <c r="R14" s="702"/>
      <c r="S14" s="702"/>
      <c r="T14" s="702"/>
      <c r="U14" s="702"/>
    </row>
    <row r="15" spans="1:21" x14ac:dyDescent="0.2">
      <c r="A15" s="706"/>
      <c r="B15" s="1219"/>
      <c r="C15" s="1219"/>
      <c r="D15" s="1219"/>
      <c r="E15" s="706"/>
      <c r="F15" s="706"/>
      <c r="G15" s="706"/>
      <c r="H15" s="1219"/>
      <c r="I15" s="1219"/>
      <c r="J15" s="706"/>
      <c r="K15" s="718"/>
      <c r="L15" s="718"/>
      <c r="M15" s="1219"/>
      <c r="N15" s="1219"/>
      <c r="O15" s="1219"/>
      <c r="P15" s="702"/>
      <c r="Q15" s="702"/>
      <c r="R15" s="702"/>
      <c r="S15" s="702"/>
      <c r="T15" s="702"/>
      <c r="U15" s="702"/>
    </row>
    <row r="16" spans="1:21" x14ac:dyDescent="0.2">
      <c r="A16" s="706"/>
      <c r="B16" s="706"/>
      <c r="C16" s="719"/>
      <c r="D16" s="720"/>
      <c r="E16" s="706"/>
      <c r="F16" s="706"/>
      <c r="G16" s="1213"/>
      <c r="H16" s="1213"/>
      <c r="I16" s="721"/>
      <c r="J16" s="706"/>
      <c r="K16" s="706"/>
      <c r="L16" s="706"/>
      <c r="M16" s="706"/>
      <c r="N16" s="722"/>
      <c r="O16" s="722"/>
      <c r="P16" s="702"/>
      <c r="Q16" s="702"/>
      <c r="R16" s="702"/>
      <c r="S16" s="702"/>
      <c r="T16" s="702"/>
      <c r="U16" s="702"/>
    </row>
    <row r="17" spans="1:23" x14ac:dyDescent="0.2">
      <c r="A17" s="706"/>
      <c r="B17" s="706"/>
      <c r="C17" s="719"/>
      <c r="D17" s="720"/>
      <c r="E17" s="706"/>
      <c r="F17" s="706"/>
      <c r="G17" s="712"/>
      <c r="H17" s="723"/>
      <c r="I17" s="706"/>
      <c r="J17" s="706"/>
      <c r="K17" s="706"/>
      <c r="L17" s="706"/>
      <c r="M17" s="724"/>
      <c r="N17" s="725"/>
      <c r="O17" s="725"/>
      <c r="P17" s="702"/>
      <c r="Q17" s="702"/>
      <c r="R17" s="702"/>
      <c r="S17" s="702"/>
      <c r="T17" s="702"/>
      <c r="U17" s="702"/>
    </row>
    <row r="18" spans="1:23" x14ac:dyDescent="0.2">
      <c r="A18" s="706"/>
      <c r="B18" s="706"/>
      <c r="C18" s="706"/>
      <c r="D18" s="706"/>
      <c r="E18" s="706"/>
      <c r="F18" s="706"/>
      <c r="G18" s="712"/>
      <c r="H18" s="723"/>
      <c r="I18" s="706"/>
      <c r="J18" s="706"/>
      <c r="K18" s="706"/>
      <c r="L18" s="706"/>
      <c r="M18" s="706"/>
      <c r="N18" s="726"/>
      <c r="O18" s="727"/>
      <c r="P18" s="702"/>
      <c r="Q18" s="702"/>
      <c r="R18" s="702"/>
      <c r="S18" s="702"/>
      <c r="T18" s="702"/>
      <c r="U18" s="702"/>
    </row>
    <row r="19" spans="1:23" x14ac:dyDescent="0.2">
      <c r="A19" s="706"/>
      <c r="B19" s="706"/>
      <c r="C19" s="706"/>
      <c r="D19" s="706"/>
      <c r="E19" s="706"/>
      <c r="F19" s="706"/>
      <c r="G19" s="706"/>
      <c r="H19" s="1217"/>
      <c r="I19" s="1217"/>
      <c r="J19" s="706"/>
      <c r="K19" s="706"/>
      <c r="L19" s="706"/>
      <c r="M19" s="706"/>
      <c r="N19" s="706"/>
      <c r="O19" s="722"/>
      <c r="P19" s="728"/>
      <c r="Q19" s="728"/>
      <c r="R19" s="728"/>
      <c r="S19" s="728"/>
      <c r="T19" s="702"/>
      <c r="U19" s="702"/>
    </row>
    <row r="20" spans="1:23" x14ac:dyDescent="0.2">
      <c r="A20" s="706"/>
      <c r="B20" s="706"/>
      <c r="C20" s="706"/>
      <c r="D20" s="706"/>
      <c r="E20" s="706"/>
      <c r="F20" s="706"/>
      <c r="G20" s="706"/>
      <c r="H20" s="706"/>
      <c r="I20" s="729"/>
      <c r="J20" s="706"/>
      <c r="K20" s="706"/>
      <c r="L20" s="706"/>
      <c r="M20" s="706"/>
      <c r="N20" s="726"/>
      <c r="O20" s="727"/>
      <c r="P20" s="728"/>
      <c r="Q20" s="728"/>
      <c r="R20" s="728"/>
      <c r="S20" s="728"/>
      <c r="T20" s="702"/>
      <c r="U20" s="702"/>
    </row>
    <row r="21" spans="1:23" x14ac:dyDescent="0.2">
      <c r="A21" s="706"/>
      <c r="B21" s="706"/>
      <c r="C21" s="706"/>
      <c r="D21" s="1213"/>
      <c r="E21" s="1213"/>
      <c r="F21" s="706"/>
      <c r="G21" s="706"/>
      <c r="H21" s="706"/>
      <c r="I21" s="1213"/>
      <c r="J21" s="1213"/>
      <c r="K21" s="706"/>
      <c r="L21" s="706"/>
      <c r="M21" s="706"/>
      <c r="N21" s="718"/>
      <c r="O21" s="727"/>
      <c r="P21" s="728"/>
      <c r="Q21" s="728"/>
      <c r="R21" s="728"/>
      <c r="S21" s="728"/>
      <c r="T21" s="702"/>
      <c r="U21" s="702"/>
    </row>
    <row r="22" spans="1:23" ht="24" x14ac:dyDescent="0.3">
      <c r="A22" s="706"/>
      <c r="B22" s="706"/>
      <c r="C22" s="706"/>
      <c r="D22" s="712"/>
      <c r="E22" s="730"/>
      <c r="F22" s="706"/>
      <c r="G22" s="706"/>
      <c r="H22" s="706"/>
      <c r="I22" s="712"/>
      <c r="J22" s="723"/>
      <c r="K22" s="706"/>
      <c r="L22" s="1217"/>
      <c r="M22" s="1217"/>
      <c r="N22" s="718"/>
      <c r="O22" s="718"/>
      <c r="P22" s="731"/>
      <c r="Q22" s="731"/>
      <c r="R22" s="731"/>
      <c r="S22" s="731"/>
      <c r="T22" s="731"/>
      <c r="U22" s="731"/>
      <c r="V22" s="732"/>
      <c r="W22" s="732"/>
    </row>
    <row r="23" spans="1:23" ht="29" x14ac:dyDescent="0.35">
      <c r="A23" s="706"/>
      <c r="B23" s="706"/>
      <c r="C23" s="706"/>
      <c r="D23" s="712"/>
      <c r="E23" s="733"/>
      <c r="F23" s="706"/>
      <c r="G23" s="706"/>
      <c r="H23" s="706"/>
      <c r="I23" s="712"/>
      <c r="J23" s="723"/>
      <c r="K23" s="706"/>
      <c r="L23" s="706"/>
      <c r="M23" s="722"/>
      <c r="N23" s="718"/>
      <c r="O23" s="718"/>
      <c r="P23" s="734"/>
      <c r="Q23" s="734"/>
      <c r="R23" s="734"/>
      <c r="S23" s="734"/>
      <c r="T23" s="734"/>
      <c r="U23" s="734"/>
      <c r="V23" s="735"/>
      <c r="W23" s="735"/>
    </row>
    <row r="24" spans="1:23" x14ac:dyDescent="0.2">
      <c r="A24" s="706"/>
      <c r="B24" s="706"/>
      <c r="C24" s="706"/>
      <c r="D24" s="706"/>
      <c r="E24" s="706"/>
      <c r="F24" s="706"/>
      <c r="G24" s="706"/>
      <c r="H24" s="706"/>
      <c r="I24" s="706"/>
      <c r="J24" s="706"/>
      <c r="K24" s="706"/>
      <c r="L24" s="726"/>
      <c r="M24" s="736"/>
      <c r="N24" s="736"/>
      <c r="O24" s="706"/>
      <c r="P24" s="728"/>
      <c r="Q24" s="728"/>
      <c r="R24" s="728"/>
      <c r="S24" s="728"/>
      <c r="T24" s="728"/>
      <c r="U24" s="728"/>
    </row>
    <row r="25" spans="1:23" x14ac:dyDescent="0.2">
      <c r="A25" s="706"/>
      <c r="B25" s="706"/>
      <c r="C25" s="706"/>
      <c r="D25" s="706"/>
      <c r="E25" s="708"/>
      <c r="F25" s="1213"/>
      <c r="G25" s="1213"/>
      <c r="H25" s="706"/>
      <c r="I25" s="706"/>
      <c r="J25" s="706"/>
      <c r="K25" s="706"/>
      <c r="L25" s="1213"/>
      <c r="M25" s="1213"/>
      <c r="N25" s="736"/>
      <c r="O25" s="706"/>
      <c r="P25" s="737"/>
      <c r="Q25" s="737"/>
      <c r="R25" s="737"/>
      <c r="S25" s="728"/>
      <c r="T25" s="728"/>
      <c r="U25" s="728"/>
    </row>
    <row r="26" spans="1:23" ht="19" x14ac:dyDescent="0.25">
      <c r="A26" s="706"/>
      <c r="B26" s="706"/>
      <c r="C26" s="706"/>
      <c r="D26" s="706"/>
      <c r="E26" s="738"/>
      <c r="F26" s="712"/>
      <c r="G26" s="739"/>
      <c r="H26" s="709"/>
      <c r="I26" s="709"/>
      <c r="J26" s="709"/>
      <c r="K26" s="709"/>
      <c r="L26" s="712"/>
      <c r="M26" s="716"/>
      <c r="N26" s="706"/>
      <c r="O26" s="706"/>
      <c r="P26" s="740"/>
      <c r="Q26" s="741"/>
      <c r="R26" s="741"/>
      <c r="S26" s="741"/>
      <c r="T26" s="728"/>
      <c r="U26" s="728"/>
    </row>
    <row r="27" spans="1:23" ht="19" x14ac:dyDescent="0.25">
      <c r="A27" s="706"/>
      <c r="B27" s="706"/>
      <c r="C27" s="706"/>
      <c r="D27" s="706"/>
      <c r="E27" s="706"/>
      <c r="F27" s="712"/>
      <c r="G27" s="739"/>
      <c r="H27" s="709"/>
      <c r="I27" s="709"/>
      <c r="J27" s="709"/>
      <c r="K27" s="709"/>
      <c r="L27" s="712"/>
      <c r="M27" s="716"/>
      <c r="N27" s="706"/>
      <c r="O27" s="706"/>
      <c r="P27" s="702"/>
      <c r="Q27" s="742"/>
      <c r="R27" s="743"/>
      <c r="S27" s="728"/>
      <c r="T27" s="728"/>
      <c r="U27" s="728"/>
    </row>
    <row r="28" spans="1:23" x14ac:dyDescent="0.2">
      <c r="L28" s="744"/>
      <c r="M28" s="744"/>
      <c r="N28" s="744"/>
      <c r="R28" s="744"/>
      <c r="S28" s="744"/>
      <c r="T28" s="744"/>
      <c r="U28" s="744"/>
    </row>
    <row r="29" spans="1:23" x14ac:dyDescent="0.2">
      <c r="D29" s="745"/>
      <c r="P29" s="746"/>
      <c r="Q29" s="744"/>
      <c r="R29" s="744"/>
      <c r="S29" s="744"/>
      <c r="T29" s="744"/>
      <c r="U29" s="744"/>
    </row>
    <row r="30" spans="1:23" x14ac:dyDescent="0.2">
      <c r="D30" s="745"/>
      <c r="R30" s="744"/>
      <c r="S30" s="744"/>
      <c r="T30" s="744"/>
      <c r="U30" s="744"/>
    </row>
    <row r="34" spans="2:38" x14ac:dyDescent="0.2">
      <c r="P34" s="747"/>
      <c r="Q34" s="748"/>
      <c r="R34" s="744"/>
      <c r="S34" s="744"/>
      <c r="T34" s="744"/>
    </row>
    <row r="35" spans="2:38" x14ac:dyDescent="0.2">
      <c r="P35" s="744"/>
      <c r="Q35" s="744"/>
      <c r="R35" s="744"/>
      <c r="S35" s="744"/>
      <c r="T35" s="744"/>
    </row>
    <row r="36" spans="2:38" x14ac:dyDescent="0.2">
      <c r="P36" s="744"/>
      <c r="Q36" s="744"/>
      <c r="R36" s="744"/>
      <c r="S36" s="744"/>
      <c r="T36" s="744"/>
    </row>
    <row r="37" spans="2:38" x14ac:dyDescent="0.2">
      <c r="P37" s="744"/>
      <c r="Q37" s="744"/>
      <c r="R37" s="744"/>
      <c r="S37" s="744"/>
      <c r="T37" s="744"/>
    </row>
    <row r="38" spans="2:38" x14ac:dyDescent="0.2">
      <c r="B38" s="1210"/>
      <c r="C38" s="1210"/>
      <c r="D38" s="1210"/>
      <c r="P38" s="744"/>
      <c r="Q38" s="744"/>
      <c r="R38" s="744"/>
      <c r="S38" s="744"/>
      <c r="T38" s="744"/>
    </row>
    <row r="39" spans="2:38" x14ac:dyDescent="0.2">
      <c r="B39" s="745"/>
      <c r="C39" s="749"/>
      <c r="D39" s="750"/>
      <c r="P39" s="744"/>
      <c r="Q39" s="744"/>
      <c r="R39" s="744"/>
      <c r="S39" s="744"/>
      <c r="T39" s="744"/>
    </row>
    <row r="40" spans="2:38" x14ac:dyDescent="0.2">
      <c r="B40" s="745"/>
      <c r="C40" s="751"/>
      <c r="D40" s="752"/>
      <c r="P40" s="744"/>
      <c r="Q40" s="744"/>
      <c r="R40" s="744"/>
      <c r="S40" s="744"/>
      <c r="T40" s="744"/>
    </row>
    <row r="41" spans="2:38" x14ac:dyDescent="0.2">
      <c r="B41" s="745"/>
      <c r="C41" s="751"/>
      <c r="D41" s="752"/>
      <c r="P41" s="744"/>
      <c r="Q41" s="744"/>
      <c r="R41" s="744"/>
      <c r="S41" s="744"/>
      <c r="T41" s="744"/>
      <c r="AB41" s="744"/>
      <c r="AC41" s="744"/>
      <c r="AD41" s="744"/>
      <c r="AE41" s="744"/>
      <c r="AF41" s="744"/>
      <c r="AG41" s="744"/>
      <c r="AH41" s="744"/>
      <c r="AI41" s="744"/>
      <c r="AJ41" s="744"/>
      <c r="AK41" s="744"/>
      <c r="AL41" s="744"/>
    </row>
    <row r="42" spans="2:38" x14ac:dyDescent="0.2">
      <c r="B42" s="745"/>
      <c r="C42" s="751"/>
      <c r="D42" s="752"/>
      <c r="F42" s="1210"/>
      <c r="G42" s="1210"/>
      <c r="H42" s="753"/>
      <c r="I42" s="753"/>
      <c r="J42" s="1210"/>
      <c r="K42" s="1210"/>
      <c r="L42" s="753"/>
      <c r="M42" s="753"/>
      <c r="N42" s="1210"/>
      <c r="O42" s="1210"/>
      <c r="P42" s="745"/>
      <c r="Q42" s="745"/>
      <c r="R42" s="745"/>
      <c r="S42" s="745"/>
      <c r="T42" s="745"/>
      <c r="U42" s="753"/>
      <c r="V42" s="1210"/>
      <c r="W42" s="1210"/>
      <c r="X42" s="1210"/>
      <c r="Y42" s="1210"/>
      <c r="Z42" s="753"/>
      <c r="AA42" s="753"/>
      <c r="AB42" s="745"/>
      <c r="AC42" s="1210"/>
      <c r="AD42" s="1210"/>
      <c r="AE42" s="1210"/>
      <c r="AF42" s="745"/>
      <c r="AG42" s="745"/>
      <c r="AH42" s="745"/>
      <c r="AI42" s="1210"/>
      <c r="AJ42" s="1210"/>
      <c r="AK42" s="745"/>
      <c r="AL42" s="745"/>
    </row>
    <row r="43" spans="2:38" x14ac:dyDescent="0.2">
      <c r="B43" s="745"/>
      <c r="C43" s="751"/>
      <c r="D43" s="752"/>
      <c r="F43" s="745"/>
      <c r="G43" s="754"/>
      <c r="H43" s="753"/>
      <c r="I43" s="753"/>
      <c r="J43" s="745"/>
      <c r="K43" s="755"/>
      <c r="L43" s="753"/>
      <c r="M43" s="753"/>
      <c r="N43" s="745"/>
      <c r="O43" s="755"/>
      <c r="P43" s="745"/>
      <c r="Q43" s="745"/>
      <c r="R43" s="745"/>
      <c r="S43" s="745"/>
      <c r="T43" s="745"/>
      <c r="U43" s="753"/>
      <c r="V43" s="753"/>
      <c r="W43" s="753"/>
      <c r="X43" s="753"/>
      <c r="Y43" s="753"/>
      <c r="Z43" s="753"/>
      <c r="AA43" s="753"/>
      <c r="AB43" s="745"/>
      <c r="AC43" s="745"/>
      <c r="AD43" s="745"/>
      <c r="AE43" s="745"/>
      <c r="AF43" s="745"/>
      <c r="AG43" s="745"/>
      <c r="AH43" s="745"/>
      <c r="AI43" s="745"/>
      <c r="AJ43" s="745"/>
      <c r="AK43" s="745"/>
      <c r="AL43" s="745"/>
    </row>
    <row r="44" spans="2:38" x14ac:dyDescent="0.2">
      <c r="F44" s="756"/>
      <c r="G44" s="757"/>
      <c r="H44" s="753"/>
      <c r="I44" s="753"/>
      <c r="J44" s="756"/>
      <c r="K44" s="752"/>
      <c r="L44" s="753"/>
      <c r="M44" s="753"/>
      <c r="N44" s="756"/>
      <c r="O44" s="752"/>
      <c r="P44" s="745"/>
      <c r="Q44" s="745"/>
      <c r="R44" s="745"/>
      <c r="S44" s="745"/>
      <c r="T44" s="745"/>
      <c r="U44" s="753"/>
      <c r="V44" s="753"/>
      <c r="W44" s="753"/>
      <c r="X44" s="753"/>
      <c r="Y44" s="753"/>
      <c r="Z44" s="753"/>
      <c r="AA44" s="753"/>
      <c r="AB44" s="745"/>
      <c r="AC44" s="745"/>
      <c r="AD44" s="745"/>
      <c r="AE44" s="745"/>
      <c r="AF44" s="745"/>
      <c r="AG44" s="745"/>
      <c r="AH44" s="745"/>
      <c r="AI44" s="745"/>
      <c r="AJ44" s="745"/>
      <c r="AK44" s="745"/>
      <c r="AL44" s="745"/>
    </row>
    <row r="45" spans="2:38" x14ac:dyDescent="0.2">
      <c r="F45" s="753"/>
      <c r="G45" s="753"/>
      <c r="H45" s="753"/>
      <c r="I45" s="753"/>
      <c r="J45" s="753"/>
      <c r="K45" s="753"/>
      <c r="L45" s="753"/>
      <c r="M45" s="753"/>
      <c r="N45" s="745"/>
      <c r="O45" s="745"/>
      <c r="P45" s="745"/>
      <c r="Q45" s="745"/>
      <c r="R45" s="745"/>
      <c r="S45" s="745"/>
      <c r="T45" s="745"/>
      <c r="U45" s="753"/>
      <c r="V45" s="753"/>
      <c r="W45" s="753"/>
      <c r="X45" s="753"/>
      <c r="Y45" s="753"/>
      <c r="Z45" s="753"/>
      <c r="AA45" s="753"/>
      <c r="AB45" s="745"/>
      <c r="AC45" s="745"/>
      <c r="AD45" s="745"/>
      <c r="AE45" s="745"/>
      <c r="AF45" s="745"/>
      <c r="AG45" s="745"/>
      <c r="AH45" s="745"/>
      <c r="AI45" s="745"/>
      <c r="AJ45" s="745"/>
      <c r="AK45" s="745"/>
      <c r="AL45" s="745"/>
    </row>
    <row r="46" spans="2:38" x14ac:dyDescent="0.2">
      <c r="F46" s="753"/>
      <c r="G46" s="753"/>
      <c r="H46" s="753"/>
      <c r="I46" s="753"/>
      <c r="J46" s="753"/>
      <c r="K46" s="753"/>
      <c r="L46" s="753"/>
      <c r="M46" s="753"/>
      <c r="N46" s="745"/>
      <c r="O46" s="745"/>
      <c r="P46" s="745"/>
      <c r="Q46" s="745"/>
      <c r="R46" s="745"/>
      <c r="S46" s="745"/>
      <c r="T46" s="745"/>
      <c r="U46" s="753"/>
      <c r="V46" s="753"/>
      <c r="W46" s="753"/>
      <c r="X46" s="753"/>
      <c r="Y46" s="753"/>
      <c r="Z46" s="753"/>
      <c r="AA46" s="753"/>
      <c r="AB46" s="745"/>
      <c r="AC46" s="745"/>
      <c r="AD46" s="745"/>
      <c r="AE46" s="745"/>
      <c r="AF46" s="745"/>
      <c r="AG46" s="745"/>
      <c r="AH46" s="745"/>
      <c r="AI46" s="745"/>
      <c r="AJ46" s="745"/>
      <c r="AK46" s="745"/>
      <c r="AL46" s="745"/>
    </row>
    <row r="47" spans="2:38" x14ac:dyDescent="0.2">
      <c r="F47" s="1210"/>
      <c r="G47" s="1210"/>
      <c r="H47" s="758"/>
      <c r="I47" s="1210"/>
      <c r="J47" s="1210"/>
      <c r="K47" s="753"/>
      <c r="L47" s="1210"/>
      <c r="M47" s="1210"/>
      <c r="N47" s="745"/>
      <c r="O47" s="1211"/>
      <c r="P47" s="1212"/>
      <c r="Q47" s="753"/>
      <c r="R47" s="745"/>
      <c r="S47" s="1210"/>
      <c r="T47" s="1210"/>
      <c r="U47" s="753"/>
      <c r="V47" s="1210"/>
      <c r="W47" s="1210"/>
      <c r="X47" s="753"/>
      <c r="Y47" s="1210"/>
      <c r="Z47" s="1210"/>
      <c r="AA47" s="753"/>
      <c r="AB47" s="1211"/>
      <c r="AC47" s="1211"/>
      <c r="AD47" s="745"/>
      <c r="AE47" s="1211"/>
      <c r="AF47" s="1211"/>
      <c r="AG47" s="745"/>
      <c r="AH47" s="1211"/>
      <c r="AI47" s="1211"/>
      <c r="AJ47" s="759"/>
      <c r="AK47" s="1210"/>
      <c r="AL47" s="1210"/>
    </row>
    <row r="48" spans="2:38" x14ac:dyDescent="0.2">
      <c r="F48" s="745"/>
      <c r="G48" s="760"/>
      <c r="H48" s="745"/>
      <c r="I48" s="745"/>
      <c r="J48" s="760"/>
      <c r="K48" s="753"/>
      <c r="L48" s="745"/>
      <c r="M48" s="760"/>
      <c r="N48" s="745"/>
      <c r="O48" s="745"/>
      <c r="P48" s="761"/>
      <c r="Q48" s="753"/>
      <c r="R48" s="745"/>
      <c r="S48" s="745"/>
      <c r="T48" s="755"/>
      <c r="U48" s="753"/>
      <c r="V48" s="745"/>
      <c r="W48" s="755"/>
      <c r="X48" s="753"/>
      <c r="Y48" s="745"/>
      <c r="Z48" s="760"/>
      <c r="AA48" s="745"/>
      <c r="AB48" s="745"/>
      <c r="AC48" s="745"/>
      <c r="AD48" s="745"/>
      <c r="AE48" s="745"/>
      <c r="AF48" s="745"/>
      <c r="AG48" s="745"/>
      <c r="AH48" s="745"/>
      <c r="AI48" s="745"/>
      <c r="AJ48" s="745"/>
      <c r="AK48" s="745"/>
      <c r="AL48" s="745"/>
    </row>
    <row r="49" spans="6:38" x14ac:dyDescent="0.2">
      <c r="F49" s="756"/>
      <c r="G49" s="752"/>
      <c r="H49" s="745"/>
      <c r="I49" s="756"/>
      <c r="J49" s="762"/>
      <c r="K49" s="753"/>
      <c r="L49" s="756"/>
      <c r="M49" s="752"/>
      <c r="N49" s="745"/>
      <c r="O49" s="756"/>
      <c r="P49" s="757"/>
      <c r="Q49" s="753"/>
      <c r="R49" s="745"/>
      <c r="S49" s="756"/>
      <c r="T49" s="752"/>
      <c r="U49" s="753"/>
      <c r="V49" s="756"/>
      <c r="W49" s="752"/>
      <c r="X49" s="753"/>
      <c r="Y49" s="756"/>
      <c r="Z49" s="757"/>
      <c r="AA49" s="745"/>
      <c r="AB49" s="763"/>
      <c r="AC49" s="745"/>
      <c r="AD49" s="745"/>
      <c r="AE49" s="763"/>
      <c r="AF49" s="745"/>
      <c r="AG49" s="745"/>
      <c r="AH49" s="763"/>
      <c r="AI49" s="745"/>
      <c r="AJ49" s="745"/>
      <c r="AK49" s="763"/>
      <c r="AL49" s="745"/>
    </row>
    <row r="50" spans="6:38" x14ac:dyDescent="0.2">
      <c r="F50" s="753"/>
      <c r="G50" s="753"/>
      <c r="H50" s="753"/>
      <c r="I50" s="753"/>
      <c r="J50" s="753"/>
      <c r="K50" s="753"/>
      <c r="L50" s="753"/>
      <c r="M50" s="753"/>
      <c r="N50" s="745"/>
      <c r="O50" s="745"/>
      <c r="P50" s="745"/>
      <c r="Q50" s="745"/>
      <c r="R50" s="745"/>
      <c r="S50" s="745"/>
      <c r="T50" s="745"/>
      <c r="U50" s="753"/>
      <c r="V50" s="753"/>
      <c r="W50" s="753"/>
      <c r="X50" s="753"/>
      <c r="Y50" s="753"/>
      <c r="Z50" s="753"/>
      <c r="AA50" s="753"/>
      <c r="AB50" s="745"/>
      <c r="AC50" s="745"/>
      <c r="AD50" s="745"/>
      <c r="AE50" s="745"/>
      <c r="AF50" s="745"/>
      <c r="AG50" s="745"/>
      <c r="AH50" s="745"/>
      <c r="AI50" s="745"/>
      <c r="AJ50" s="745"/>
      <c r="AK50" s="745"/>
      <c r="AL50" s="745"/>
    </row>
    <row r="51" spans="6:38" x14ac:dyDescent="0.2">
      <c r="F51" s="753"/>
      <c r="G51" s="753"/>
      <c r="H51" s="753"/>
      <c r="I51" s="753"/>
      <c r="J51" s="753"/>
      <c r="K51" s="753"/>
      <c r="L51" s="753"/>
      <c r="M51" s="753"/>
      <c r="N51" s="745"/>
      <c r="O51" s="745"/>
      <c r="P51" s="745"/>
      <c r="Q51" s="745"/>
      <c r="R51" s="745"/>
      <c r="S51" s="745"/>
      <c r="T51" s="745"/>
      <c r="U51" s="753"/>
      <c r="V51" s="753"/>
      <c r="W51" s="753"/>
      <c r="X51" s="753"/>
      <c r="Y51" s="753"/>
      <c r="Z51" s="753"/>
      <c r="AA51" s="753"/>
      <c r="AB51" s="753"/>
      <c r="AC51" s="753"/>
      <c r="AD51" s="753"/>
      <c r="AE51" s="753"/>
      <c r="AF51" s="753"/>
      <c r="AG51" s="753"/>
      <c r="AH51" s="753"/>
      <c r="AI51" s="753"/>
      <c r="AJ51" s="753"/>
      <c r="AK51" s="753"/>
      <c r="AL51" s="753"/>
    </row>
    <row r="52" spans="6:38" x14ac:dyDescent="0.2">
      <c r="F52" s="753"/>
      <c r="G52" s="753"/>
      <c r="H52" s="753"/>
      <c r="I52" s="753"/>
      <c r="J52" s="753"/>
      <c r="K52" s="753"/>
      <c r="L52" s="753"/>
      <c r="M52" s="753"/>
      <c r="N52" s="1210"/>
      <c r="O52" s="1210"/>
      <c r="P52" s="745"/>
      <c r="Q52" s="745"/>
      <c r="R52" s="745"/>
      <c r="S52" s="745"/>
      <c r="T52" s="745"/>
      <c r="U52" s="753"/>
      <c r="V52" s="753"/>
      <c r="W52" s="753"/>
      <c r="X52" s="753"/>
      <c r="Y52" s="753"/>
      <c r="Z52" s="753"/>
      <c r="AA52" s="753"/>
      <c r="AB52" s="753"/>
      <c r="AC52" s="753"/>
      <c r="AD52" s="753"/>
      <c r="AE52" s="753"/>
      <c r="AF52" s="753"/>
      <c r="AG52" s="753"/>
      <c r="AH52" s="753"/>
      <c r="AI52" s="753"/>
      <c r="AJ52" s="753"/>
      <c r="AK52" s="753"/>
      <c r="AL52" s="753"/>
    </row>
    <row r="53" spans="6:38" x14ac:dyDescent="0.2">
      <c r="N53" s="745"/>
      <c r="O53" s="754"/>
      <c r="P53" s="744"/>
      <c r="Q53" s="744"/>
      <c r="R53" s="744"/>
      <c r="S53" s="744"/>
      <c r="T53" s="744"/>
    </row>
    <row r="54" spans="6:38" x14ac:dyDescent="0.2">
      <c r="N54" s="756"/>
      <c r="O54" s="757"/>
      <c r="P54" s="744"/>
      <c r="Q54" s="744"/>
      <c r="R54" s="744"/>
      <c r="S54" s="744"/>
      <c r="T54" s="744"/>
    </row>
    <row r="55" spans="6:38" x14ac:dyDescent="0.2">
      <c r="N55" s="744"/>
      <c r="O55" s="744"/>
      <c r="P55" s="744"/>
      <c r="Q55" s="744"/>
      <c r="R55" s="744"/>
      <c r="S55" s="744"/>
      <c r="T55" s="744"/>
    </row>
  </sheetData>
  <sheetProtection formatCells="0" formatColumns="0" formatRows="0" insertColumns="0" insertRows="0" insertHyperlinks="0" deleteColumns="0" deleteRows="0" selectLockedCells="1"/>
  <mergeCells count="33">
    <mergeCell ref="M15:O15"/>
    <mergeCell ref="G16:H16"/>
    <mergeCell ref="H19:I19"/>
    <mergeCell ref="C5:D5"/>
    <mergeCell ref="G6:H6"/>
    <mergeCell ref="D10:E10"/>
    <mergeCell ref="J10:K10"/>
    <mergeCell ref="B15:D15"/>
    <mergeCell ref="H15:I15"/>
    <mergeCell ref="AK47:AL47"/>
    <mergeCell ref="D21:E21"/>
    <mergeCell ref="I21:J21"/>
    <mergeCell ref="F25:G25"/>
    <mergeCell ref="L25:M25"/>
    <mergeCell ref="B38:D38"/>
    <mergeCell ref="F42:G42"/>
    <mergeCell ref="J42:K42"/>
    <mergeCell ref="L22:M22"/>
    <mergeCell ref="F47:G47"/>
    <mergeCell ref="I47:J47"/>
    <mergeCell ref="L47:M47"/>
    <mergeCell ref="O47:P47"/>
    <mergeCell ref="S47:T47"/>
    <mergeCell ref="N52:O52"/>
    <mergeCell ref="V42:Y42"/>
    <mergeCell ref="AC42:AE42"/>
    <mergeCell ref="AI42:AJ42"/>
    <mergeCell ref="V47:W47"/>
    <mergeCell ref="Y47:Z47"/>
    <mergeCell ref="N42:O42"/>
    <mergeCell ref="AB47:AC47"/>
    <mergeCell ref="AE47:AF47"/>
    <mergeCell ref="AH47:AI47"/>
  </mergeCells>
  <pageMargins left="0.511811024" right="0.511811024" top="0.78740157499999996" bottom="0.78740157499999996" header="0.31496062000000002" footer="0.31496062000000002"/>
  <pageSetup paperSize="9" orientation="portrait"/>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enableFormatConditionsCalculation="0">
    <tabColor rgb="FFC00000"/>
  </sheetPr>
  <dimension ref="A1:AL52"/>
  <sheetViews>
    <sheetView zoomScale="125" zoomScaleNormal="60" zoomScalePageLayoutView="60" workbookViewId="0">
      <selection activeCell="C12" sqref="C12:E12"/>
    </sheetView>
  </sheetViews>
  <sheetFormatPr baseColWidth="10" defaultColWidth="11.1640625" defaultRowHeight="16" x14ac:dyDescent="0.2"/>
  <cols>
    <col min="1" max="1" width="6.33203125" style="801" customWidth="1"/>
    <col min="2" max="2" width="13.5" style="801" customWidth="1"/>
    <col min="3" max="3" width="8.33203125" style="801" customWidth="1"/>
    <col min="4" max="11" width="12" style="801" customWidth="1"/>
    <col min="12" max="14" width="12.6640625" style="801" customWidth="1"/>
    <col min="15" max="15" width="14.6640625" style="801" customWidth="1"/>
    <col min="16" max="31" width="12.6640625" style="801" customWidth="1"/>
    <col min="32" max="32" width="8.6640625" style="801" customWidth="1"/>
    <col min="33" max="33" width="2" style="801" customWidth="1"/>
    <col min="34" max="34" width="11.1640625" style="801"/>
    <col min="35" max="35" width="7.33203125" style="801" customWidth="1"/>
    <col min="36" max="36" width="3.6640625" style="801" customWidth="1"/>
    <col min="37" max="37" width="11.1640625" style="801"/>
    <col min="38" max="38" width="7" style="801" customWidth="1"/>
    <col min="39" max="16384" width="11.1640625" style="801"/>
  </cols>
  <sheetData>
    <row r="1" spans="1:21" x14ac:dyDescent="0.2">
      <c r="A1" s="702"/>
      <c r="B1" s="702"/>
      <c r="C1" s="702"/>
      <c r="D1" s="702"/>
      <c r="E1" s="702"/>
      <c r="F1" s="702"/>
      <c r="G1" s="702"/>
      <c r="H1" s="702"/>
      <c r="I1" s="702"/>
      <c r="J1" s="702"/>
      <c r="K1" s="702"/>
      <c r="L1" s="702"/>
      <c r="M1" s="702"/>
      <c r="N1" s="702"/>
      <c r="O1" s="702"/>
      <c r="P1" s="702"/>
      <c r="Q1" s="702"/>
      <c r="R1" s="702"/>
      <c r="S1" s="702"/>
      <c r="T1" s="702"/>
      <c r="U1" s="702"/>
    </row>
    <row r="2" spans="1:21" x14ac:dyDescent="0.2">
      <c r="A2" s="702"/>
      <c r="B2" s="702"/>
      <c r="C2" s="702"/>
      <c r="D2" s="702"/>
      <c r="E2" s="702"/>
      <c r="F2" s="802"/>
      <c r="G2" s="803"/>
      <c r="H2" s="702"/>
      <c r="I2" s="702"/>
      <c r="J2" s="702"/>
      <c r="K2" s="702"/>
      <c r="L2" s="702"/>
      <c r="M2" s="702"/>
      <c r="N2" s="702"/>
      <c r="O2" s="702"/>
      <c r="P2" s="702"/>
      <c r="Q2" s="702"/>
      <c r="R2" s="702"/>
      <c r="S2" s="702"/>
      <c r="T2" s="702"/>
      <c r="U2" s="702"/>
    </row>
    <row r="3" spans="1:21" x14ac:dyDescent="0.2">
      <c r="A3" s="702"/>
      <c r="B3" s="702"/>
      <c r="C3" s="702"/>
      <c r="D3" s="702"/>
      <c r="E3" s="702"/>
      <c r="F3" s="702"/>
      <c r="G3" s="702"/>
      <c r="H3" s="702"/>
      <c r="I3" s="702"/>
      <c r="J3" s="702"/>
      <c r="K3" s="702"/>
      <c r="L3" s="702"/>
      <c r="M3" s="702"/>
      <c r="N3" s="702"/>
      <c r="O3" s="702"/>
      <c r="P3" s="702"/>
      <c r="Q3" s="702"/>
      <c r="R3" s="702"/>
      <c r="S3" s="702"/>
      <c r="T3" s="702"/>
      <c r="U3" s="702"/>
    </row>
    <row r="4" spans="1:21" x14ac:dyDescent="0.2">
      <c r="A4" s="706"/>
      <c r="B4" s="706"/>
      <c r="C4" s="706"/>
      <c r="D4" s="706"/>
      <c r="E4" s="706"/>
      <c r="F4" s="706"/>
      <c r="G4" s="706"/>
      <c r="H4" s="706"/>
      <c r="I4" s="706"/>
      <c r="J4" s="706"/>
      <c r="K4" s="706"/>
      <c r="L4" s="706"/>
      <c r="M4" s="706"/>
      <c r="N4" s="706"/>
      <c r="O4" s="706"/>
      <c r="P4" s="702"/>
      <c r="Q4" s="702"/>
      <c r="R4" s="702"/>
      <c r="S4" s="702"/>
      <c r="T4" s="702"/>
      <c r="U4" s="702"/>
    </row>
    <row r="5" spans="1:21" x14ac:dyDescent="0.2">
      <c r="A5" s="706"/>
      <c r="B5" s="804"/>
      <c r="C5" s="1224"/>
      <c r="D5" s="1224"/>
      <c r="E5" s="706"/>
      <c r="F5" s="706"/>
      <c r="G5" s="706"/>
      <c r="H5" s="706"/>
      <c r="I5" s="706"/>
      <c r="J5" s="706"/>
      <c r="K5" s="706"/>
      <c r="L5" s="706"/>
      <c r="M5" s="706"/>
      <c r="N5" s="706"/>
      <c r="O5" s="706"/>
      <c r="P5" s="702"/>
      <c r="Q5" s="702"/>
      <c r="R5" s="702"/>
      <c r="S5" s="702"/>
      <c r="T5" s="702"/>
      <c r="U5" s="702"/>
    </row>
    <row r="6" spans="1:21" x14ac:dyDescent="0.2">
      <c r="A6" s="706"/>
      <c r="B6" s="706"/>
      <c r="C6" s="706"/>
      <c r="D6" s="706"/>
      <c r="E6" s="706"/>
      <c r="F6" s="706"/>
      <c r="G6" s="1213"/>
      <c r="H6" s="1213"/>
      <c r="I6" s="708"/>
      <c r="J6" s="706"/>
      <c r="K6" s="706"/>
      <c r="L6" s="706"/>
      <c r="M6" s="706"/>
      <c r="N6" s="706"/>
      <c r="O6" s="706"/>
      <c r="P6" s="702"/>
      <c r="Q6" s="702"/>
      <c r="R6" s="702"/>
      <c r="S6" s="702"/>
      <c r="T6" s="702"/>
      <c r="U6" s="702"/>
    </row>
    <row r="7" spans="1:21" ht="25.25" customHeight="1" x14ac:dyDescent="0.2">
      <c r="A7" s="706"/>
      <c r="B7" s="818" t="s">
        <v>545</v>
      </c>
      <c r="C7" s="1229" t="s">
        <v>546</v>
      </c>
      <c r="D7" s="1229"/>
      <c r="E7" s="1229"/>
      <c r="F7" s="1229" t="s">
        <v>547</v>
      </c>
      <c r="G7" s="1229"/>
      <c r="H7" s="1229"/>
      <c r="I7" s="1229"/>
      <c r="J7" s="1229"/>
      <c r="K7" s="1229"/>
      <c r="L7" s="706"/>
      <c r="M7" s="706"/>
      <c r="N7" s="706"/>
      <c r="O7" s="706"/>
      <c r="P7" s="702"/>
      <c r="Q7" s="702"/>
      <c r="R7" s="702"/>
      <c r="S7" s="702"/>
      <c r="T7" s="702"/>
      <c r="U7" s="702"/>
    </row>
    <row r="8" spans="1:21" s="863" customFormat="1" ht="46.25" customHeight="1" x14ac:dyDescent="0.2">
      <c r="A8" s="859"/>
      <c r="B8" s="860">
        <v>1</v>
      </c>
      <c r="C8" s="1230" t="s">
        <v>548</v>
      </c>
      <c r="D8" s="1230"/>
      <c r="E8" s="1230"/>
      <c r="F8" s="1225" t="s">
        <v>591</v>
      </c>
      <c r="G8" s="1226"/>
      <c r="H8" s="1226"/>
      <c r="I8" s="1226"/>
      <c r="J8" s="1226"/>
      <c r="K8" s="1227"/>
      <c r="L8" s="861"/>
      <c r="M8" s="859"/>
      <c r="N8" s="859"/>
      <c r="O8" s="859"/>
      <c r="P8" s="862"/>
      <c r="Q8" s="862"/>
      <c r="R8" s="862"/>
      <c r="S8" s="862"/>
      <c r="T8" s="862"/>
      <c r="U8" s="862"/>
    </row>
    <row r="9" spans="1:21" ht="77" customHeight="1" x14ac:dyDescent="0.2">
      <c r="A9" s="706"/>
      <c r="B9" s="1030">
        <v>2</v>
      </c>
      <c r="C9" s="1231" t="s">
        <v>607</v>
      </c>
      <c r="D9" s="1231"/>
      <c r="E9" s="1231"/>
      <c r="F9" s="1225" t="s">
        <v>608</v>
      </c>
      <c r="G9" s="1226"/>
      <c r="H9" s="1226"/>
      <c r="I9" s="1226"/>
      <c r="J9" s="1226"/>
      <c r="K9" s="1227"/>
      <c r="L9" s="711"/>
      <c r="M9" s="706"/>
      <c r="N9" s="706"/>
      <c r="O9" s="706"/>
      <c r="P9" s="702"/>
      <c r="Q9" s="702"/>
      <c r="R9" s="702"/>
      <c r="S9" s="702"/>
      <c r="T9" s="702"/>
      <c r="U9" s="702"/>
    </row>
    <row r="10" spans="1:21" x14ac:dyDescent="0.2">
      <c r="A10" s="706"/>
      <c r="B10" s="819">
        <v>3</v>
      </c>
      <c r="C10" s="1228" t="s">
        <v>609</v>
      </c>
      <c r="D10" s="1228"/>
      <c r="E10" s="1228"/>
      <c r="F10" s="1228" t="s">
        <v>610</v>
      </c>
      <c r="G10" s="1228"/>
      <c r="H10" s="1228"/>
      <c r="I10" s="1228"/>
      <c r="J10" s="1228"/>
      <c r="K10" s="1228"/>
      <c r="L10" s="717"/>
      <c r="M10" s="706"/>
      <c r="N10" s="706"/>
      <c r="O10" s="706"/>
      <c r="P10" s="702"/>
      <c r="Q10" s="702"/>
      <c r="R10" s="702"/>
      <c r="S10" s="702"/>
      <c r="T10" s="702"/>
      <c r="U10" s="702"/>
    </row>
    <row r="11" spans="1:21" x14ac:dyDescent="0.2">
      <c r="A11" s="706"/>
      <c r="B11" s="819">
        <v>4</v>
      </c>
      <c r="C11" s="1228" t="s">
        <v>611</v>
      </c>
      <c r="D11" s="1228"/>
      <c r="E11" s="1228"/>
      <c r="F11" s="1228" t="s">
        <v>612</v>
      </c>
      <c r="G11" s="1228"/>
      <c r="H11" s="1228"/>
      <c r="I11" s="1228"/>
      <c r="J11" s="1228"/>
      <c r="K11" s="1228"/>
      <c r="L11" s="706"/>
      <c r="M11" s="706"/>
      <c r="N11" s="706"/>
      <c r="O11" s="706"/>
      <c r="P11" s="702"/>
      <c r="Q11" s="702"/>
      <c r="R11" s="702"/>
      <c r="S11" s="702"/>
      <c r="T11" s="702"/>
      <c r="U11" s="702"/>
    </row>
    <row r="12" spans="1:21" x14ac:dyDescent="0.2">
      <c r="A12" s="706"/>
      <c r="B12" s="819"/>
      <c r="C12" s="1228"/>
      <c r="D12" s="1228"/>
      <c r="E12" s="1228"/>
      <c r="F12" s="1228"/>
      <c r="G12" s="1228"/>
      <c r="H12" s="1228"/>
      <c r="I12" s="1228"/>
      <c r="J12" s="1228"/>
      <c r="K12" s="1228"/>
      <c r="L12" s="706"/>
      <c r="M12" s="706"/>
      <c r="N12" s="706"/>
      <c r="O12" s="706"/>
      <c r="P12" s="702"/>
      <c r="Q12" s="702"/>
      <c r="R12" s="702"/>
      <c r="S12" s="702"/>
      <c r="T12" s="702"/>
      <c r="U12" s="702"/>
    </row>
    <row r="13" spans="1:21" x14ac:dyDescent="0.2">
      <c r="A13" s="706"/>
      <c r="B13" s="819"/>
      <c r="C13" s="1228"/>
      <c r="D13" s="1228"/>
      <c r="E13" s="1228"/>
      <c r="F13" s="1228"/>
      <c r="G13" s="1228"/>
      <c r="H13" s="1228"/>
      <c r="I13" s="1228"/>
      <c r="J13" s="1228"/>
      <c r="K13" s="1228"/>
      <c r="L13" s="790"/>
      <c r="M13" s="1219"/>
      <c r="N13" s="1219"/>
      <c r="O13" s="1219"/>
      <c r="P13" s="702"/>
      <c r="Q13" s="702"/>
      <c r="R13" s="702"/>
      <c r="S13" s="702"/>
      <c r="T13" s="702"/>
      <c r="U13" s="702"/>
    </row>
    <row r="14" spans="1:21" x14ac:dyDescent="0.2">
      <c r="A14" s="706"/>
      <c r="B14" s="819"/>
      <c r="C14" s="1228"/>
      <c r="D14" s="1228"/>
      <c r="E14" s="1228"/>
      <c r="F14" s="1228"/>
      <c r="G14" s="1228"/>
      <c r="H14" s="1228"/>
      <c r="I14" s="1228"/>
      <c r="J14" s="1228"/>
      <c r="K14" s="1228"/>
      <c r="L14" s="706"/>
      <c r="M14" s="706"/>
      <c r="N14" s="789"/>
      <c r="O14" s="789"/>
      <c r="P14" s="702"/>
      <c r="Q14" s="702"/>
      <c r="R14" s="702"/>
      <c r="S14" s="702"/>
      <c r="T14" s="702"/>
      <c r="U14" s="702"/>
    </row>
    <row r="15" spans="1:21" x14ac:dyDescent="0.2">
      <c r="A15" s="706"/>
      <c r="B15" s="819"/>
      <c r="C15" s="1228"/>
      <c r="D15" s="1228"/>
      <c r="E15" s="1228"/>
      <c r="F15" s="1228"/>
      <c r="G15" s="1228"/>
      <c r="H15" s="1228"/>
      <c r="I15" s="1228"/>
      <c r="J15" s="1228"/>
      <c r="K15" s="1228"/>
      <c r="L15" s="706"/>
      <c r="M15" s="724"/>
      <c r="N15" s="725"/>
      <c r="O15" s="725"/>
      <c r="P15" s="702"/>
      <c r="Q15" s="702"/>
      <c r="R15" s="702"/>
      <c r="S15" s="702"/>
      <c r="T15" s="702"/>
      <c r="U15" s="702"/>
    </row>
    <row r="16" spans="1:21" x14ac:dyDescent="0.2">
      <c r="A16" s="706"/>
      <c r="B16" s="819"/>
      <c r="C16" s="1228"/>
      <c r="D16" s="1228"/>
      <c r="E16" s="1228"/>
      <c r="F16" s="1228"/>
      <c r="G16" s="1228"/>
      <c r="H16" s="1228"/>
      <c r="I16" s="1228"/>
      <c r="J16" s="1228"/>
      <c r="K16" s="1228"/>
      <c r="L16" s="706"/>
      <c r="M16" s="706"/>
      <c r="N16" s="726"/>
      <c r="O16" s="727"/>
      <c r="P16" s="702"/>
      <c r="Q16" s="702"/>
      <c r="R16" s="702"/>
      <c r="S16" s="702"/>
      <c r="T16" s="702"/>
      <c r="U16" s="702"/>
    </row>
    <row r="17" spans="1:23" x14ac:dyDescent="0.2">
      <c r="A17" s="706"/>
      <c r="B17" s="819"/>
      <c r="C17" s="1228"/>
      <c r="D17" s="1228"/>
      <c r="E17" s="1228"/>
      <c r="F17" s="1228"/>
      <c r="G17" s="1228"/>
      <c r="H17" s="1228"/>
      <c r="I17" s="1228"/>
      <c r="J17" s="1228"/>
      <c r="K17" s="1228"/>
      <c r="L17" s="706"/>
      <c r="M17" s="706"/>
      <c r="N17" s="706"/>
      <c r="O17" s="789"/>
      <c r="P17" s="702"/>
      <c r="Q17" s="702"/>
      <c r="R17" s="702"/>
      <c r="S17" s="702"/>
      <c r="T17" s="702"/>
      <c r="U17" s="702"/>
    </row>
    <row r="18" spans="1:23" x14ac:dyDescent="0.2">
      <c r="A18" s="706"/>
      <c r="B18" s="819"/>
      <c r="C18" s="1228"/>
      <c r="D18" s="1228"/>
      <c r="E18" s="1228"/>
      <c r="F18" s="1228"/>
      <c r="G18" s="1228"/>
      <c r="H18" s="1228"/>
      <c r="I18" s="1228"/>
      <c r="J18" s="1228"/>
      <c r="K18" s="1228"/>
      <c r="L18" s="706"/>
      <c r="M18" s="706"/>
      <c r="N18" s="726"/>
      <c r="O18" s="727"/>
      <c r="P18" s="702"/>
      <c r="Q18" s="702"/>
      <c r="R18" s="702"/>
      <c r="S18" s="702"/>
      <c r="T18" s="702"/>
      <c r="U18" s="702"/>
    </row>
    <row r="19" spans="1:23" x14ac:dyDescent="0.2">
      <c r="A19" s="706"/>
      <c r="B19" s="706"/>
      <c r="C19" s="706"/>
      <c r="D19" s="1213"/>
      <c r="E19" s="1213"/>
      <c r="F19" s="706"/>
      <c r="G19" s="706"/>
      <c r="H19" s="706"/>
      <c r="I19" s="1213"/>
      <c r="J19" s="1213"/>
      <c r="K19" s="706"/>
      <c r="L19" s="706"/>
      <c r="M19" s="706"/>
      <c r="N19" s="790"/>
      <c r="O19" s="727"/>
      <c r="P19" s="702"/>
      <c r="Q19" s="702"/>
      <c r="R19" s="702"/>
      <c r="S19" s="702"/>
      <c r="T19" s="702"/>
      <c r="U19" s="702"/>
    </row>
    <row r="20" spans="1:23" x14ac:dyDescent="0.2">
      <c r="A20" s="706"/>
      <c r="B20" s="706"/>
      <c r="C20" s="706"/>
      <c r="D20" s="712"/>
      <c r="E20" s="730"/>
      <c r="F20" s="706"/>
      <c r="G20" s="706"/>
      <c r="H20" s="706"/>
      <c r="I20" s="712"/>
      <c r="J20" s="723"/>
      <c r="K20" s="706"/>
      <c r="L20" s="1217"/>
      <c r="M20" s="1217"/>
      <c r="N20" s="790"/>
      <c r="O20" s="790"/>
      <c r="P20" s="805"/>
      <c r="Q20" s="805"/>
      <c r="R20" s="805"/>
      <c r="S20" s="805"/>
      <c r="T20" s="805"/>
      <c r="U20" s="805"/>
      <c r="V20" s="806"/>
      <c r="W20" s="806"/>
    </row>
    <row r="21" spans="1:23" x14ac:dyDescent="0.2">
      <c r="A21" s="706"/>
      <c r="B21" s="706"/>
      <c r="C21" s="706"/>
      <c r="D21" s="712"/>
      <c r="E21" s="733"/>
      <c r="F21" s="706"/>
      <c r="G21" s="706"/>
      <c r="H21" s="706"/>
      <c r="I21" s="712"/>
      <c r="J21" s="723"/>
      <c r="K21" s="706"/>
      <c r="L21" s="706"/>
      <c r="M21" s="789"/>
      <c r="N21" s="790"/>
      <c r="O21" s="790"/>
      <c r="P21" s="805"/>
      <c r="Q21" s="805"/>
      <c r="R21" s="805"/>
      <c r="S21" s="805"/>
      <c r="T21" s="805"/>
      <c r="U21" s="805"/>
      <c r="V21" s="806"/>
      <c r="W21" s="806"/>
    </row>
    <row r="22" spans="1:23" x14ac:dyDescent="0.2">
      <c r="A22" s="706"/>
      <c r="B22" s="706"/>
      <c r="C22" s="706"/>
      <c r="D22" s="706"/>
      <c r="E22" s="706"/>
      <c r="F22" s="706"/>
      <c r="G22" s="706"/>
      <c r="H22" s="706"/>
      <c r="I22" s="706"/>
      <c r="J22" s="706"/>
      <c r="K22" s="706"/>
      <c r="L22" s="726"/>
      <c r="M22" s="736"/>
      <c r="N22" s="736"/>
      <c r="O22" s="706"/>
      <c r="P22" s="702"/>
      <c r="Q22" s="702"/>
      <c r="R22" s="702"/>
      <c r="S22" s="702"/>
      <c r="T22" s="702"/>
      <c r="U22" s="702"/>
    </row>
    <row r="23" spans="1:23" x14ac:dyDescent="0.2">
      <c r="A23" s="706"/>
      <c r="B23" s="706"/>
      <c r="C23" s="706"/>
      <c r="D23" s="706"/>
      <c r="E23" s="708"/>
      <c r="F23" s="1213"/>
      <c r="G23" s="1213"/>
      <c r="H23" s="706"/>
      <c r="I23" s="706"/>
      <c r="J23" s="706"/>
      <c r="K23" s="706"/>
      <c r="L23" s="1213"/>
      <c r="M23" s="1213"/>
      <c r="N23" s="736"/>
      <c r="O23" s="706"/>
      <c r="P23" s="807"/>
      <c r="Q23" s="807"/>
      <c r="R23" s="807"/>
      <c r="S23" s="702"/>
      <c r="T23" s="702"/>
      <c r="U23" s="702"/>
    </row>
    <row r="24" spans="1:23" x14ac:dyDescent="0.2">
      <c r="A24" s="706"/>
      <c r="B24" s="706"/>
      <c r="C24" s="706"/>
      <c r="D24" s="706"/>
      <c r="E24" s="738"/>
      <c r="F24" s="712"/>
      <c r="G24" s="739"/>
      <c r="H24" s="709"/>
      <c r="I24" s="709"/>
      <c r="J24" s="709"/>
      <c r="K24" s="709"/>
      <c r="L24" s="712"/>
      <c r="M24" s="716"/>
      <c r="N24" s="706"/>
      <c r="O24" s="706"/>
      <c r="P24" s="805"/>
      <c r="Q24" s="808"/>
      <c r="R24" s="808"/>
      <c r="S24" s="808"/>
      <c r="T24" s="702"/>
      <c r="U24" s="702"/>
    </row>
    <row r="25" spans="1:23" x14ac:dyDescent="0.2">
      <c r="A25" s="706"/>
      <c r="B25" s="706"/>
      <c r="C25" s="706"/>
      <c r="D25" s="706"/>
      <c r="E25" s="706"/>
      <c r="F25" s="712"/>
      <c r="G25" s="739"/>
      <c r="H25" s="709"/>
      <c r="I25" s="709"/>
      <c r="J25" s="709"/>
      <c r="K25" s="709"/>
      <c r="L25" s="712"/>
      <c r="M25" s="716"/>
      <c r="N25" s="706"/>
      <c r="O25" s="706"/>
      <c r="P25" s="702"/>
      <c r="Q25" s="809"/>
      <c r="R25" s="810"/>
      <c r="S25" s="702"/>
      <c r="T25" s="702"/>
      <c r="U25" s="702"/>
    </row>
    <row r="27" spans="1:23" x14ac:dyDescent="0.2">
      <c r="D27" s="758"/>
      <c r="P27" s="811"/>
    </row>
    <row r="28" spans="1:23" x14ac:dyDescent="0.2">
      <c r="D28" s="758"/>
    </row>
    <row r="32" spans="1:23" x14ac:dyDescent="0.2">
      <c r="P32" s="812"/>
      <c r="Q32" s="813"/>
    </row>
    <row r="36" spans="2:38" x14ac:dyDescent="0.2">
      <c r="B36" s="1232"/>
      <c r="C36" s="1232"/>
      <c r="D36" s="1232"/>
    </row>
    <row r="37" spans="2:38" x14ac:dyDescent="0.2">
      <c r="B37" s="758"/>
      <c r="C37" s="751"/>
      <c r="D37" s="814"/>
    </row>
    <row r="38" spans="2:38" x14ac:dyDescent="0.2">
      <c r="B38" s="758"/>
      <c r="C38" s="751"/>
      <c r="D38" s="752"/>
    </row>
    <row r="39" spans="2:38" x14ac:dyDescent="0.2">
      <c r="B39" s="758"/>
      <c r="C39" s="751"/>
      <c r="D39" s="752"/>
    </row>
    <row r="40" spans="2:38" x14ac:dyDescent="0.2">
      <c r="B40" s="758"/>
      <c r="C40" s="751"/>
      <c r="D40" s="752"/>
      <c r="F40" s="1232"/>
      <c r="G40" s="1232"/>
      <c r="H40" s="758"/>
      <c r="I40" s="758"/>
      <c r="J40" s="1232"/>
      <c r="K40" s="1232"/>
      <c r="L40" s="758"/>
      <c r="M40" s="758"/>
      <c r="N40" s="1232"/>
      <c r="O40" s="1232"/>
      <c r="P40" s="758"/>
      <c r="Q40" s="758"/>
      <c r="R40" s="758"/>
      <c r="S40" s="758"/>
      <c r="T40" s="758"/>
      <c r="U40" s="758"/>
      <c r="V40" s="1232"/>
      <c r="W40" s="1232"/>
      <c r="X40" s="1232"/>
      <c r="Y40" s="1232"/>
      <c r="Z40" s="758"/>
      <c r="AA40" s="758"/>
      <c r="AB40" s="758"/>
      <c r="AC40" s="1232"/>
      <c r="AD40" s="1232"/>
      <c r="AE40" s="1232"/>
      <c r="AF40" s="758"/>
      <c r="AG40" s="758"/>
      <c r="AH40" s="758"/>
      <c r="AI40" s="1232"/>
      <c r="AJ40" s="1232"/>
      <c r="AK40" s="758"/>
      <c r="AL40" s="758"/>
    </row>
    <row r="41" spans="2:38" x14ac:dyDescent="0.2">
      <c r="B41" s="758"/>
      <c r="C41" s="751"/>
      <c r="D41" s="752"/>
      <c r="F41" s="758"/>
      <c r="G41" s="754"/>
      <c r="H41" s="758"/>
      <c r="I41" s="758"/>
      <c r="J41" s="758"/>
      <c r="K41" s="760"/>
      <c r="L41" s="758"/>
      <c r="M41" s="758"/>
      <c r="N41" s="758"/>
      <c r="O41" s="760"/>
      <c r="P41" s="758"/>
      <c r="Q41" s="758"/>
      <c r="R41" s="758"/>
      <c r="S41" s="758"/>
      <c r="T41" s="758"/>
      <c r="U41" s="758"/>
      <c r="V41" s="758"/>
      <c r="W41" s="758"/>
      <c r="X41" s="758"/>
      <c r="Y41" s="758"/>
      <c r="Z41" s="758"/>
      <c r="AA41" s="758"/>
      <c r="AB41" s="758"/>
      <c r="AC41" s="758"/>
      <c r="AD41" s="758"/>
      <c r="AE41" s="758"/>
      <c r="AF41" s="758"/>
      <c r="AG41" s="758"/>
      <c r="AH41" s="758"/>
      <c r="AI41" s="758"/>
      <c r="AJ41" s="758"/>
      <c r="AK41" s="758"/>
      <c r="AL41" s="758"/>
    </row>
    <row r="42" spans="2:38" x14ac:dyDescent="0.2">
      <c r="F42" s="815"/>
      <c r="G42" s="757"/>
      <c r="H42" s="758"/>
      <c r="I42" s="758"/>
      <c r="J42" s="815"/>
      <c r="K42" s="752"/>
      <c r="L42" s="758"/>
      <c r="M42" s="758"/>
      <c r="N42" s="815"/>
      <c r="O42" s="752"/>
      <c r="P42" s="758"/>
      <c r="Q42" s="758"/>
      <c r="R42" s="758"/>
      <c r="S42" s="758"/>
      <c r="T42" s="758"/>
      <c r="U42" s="758"/>
      <c r="V42" s="758"/>
      <c r="W42" s="758"/>
      <c r="X42" s="758"/>
      <c r="Y42" s="758"/>
      <c r="Z42" s="758"/>
      <c r="AA42" s="758"/>
      <c r="AB42" s="758"/>
      <c r="AC42" s="758"/>
      <c r="AD42" s="758"/>
      <c r="AE42" s="758"/>
      <c r="AF42" s="758"/>
      <c r="AG42" s="758"/>
      <c r="AH42" s="758"/>
      <c r="AI42" s="758"/>
      <c r="AJ42" s="758"/>
      <c r="AK42" s="758"/>
      <c r="AL42" s="758"/>
    </row>
    <row r="43" spans="2:38" x14ac:dyDescent="0.2">
      <c r="F43" s="758"/>
      <c r="G43" s="758"/>
      <c r="H43" s="758"/>
      <c r="I43" s="758"/>
      <c r="J43" s="758"/>
      <c r="K43" s="758"/>
      <c r="L43" s="758"/>
      <c r="M43" s="758"/>
      <c r="N43" s="758"/>
      <c r="O43" s="758"/>
      <c r="P43" s="758"/>
      <c r="Q43" s="758"/>
      <c r="R43" s="758"/>
      <c r="S43" s="758"/>
      <c r="T43" s="758"/>
      <c r="U43" s="758"/>
      <c r="V43" s="758"/>
      <c r="W43" s="758"/>
      <c r="X43" s="758"/>
      <c r="Y43" s="758"/>
      <c r="Z43" s="758"/>
      <c r="AA43" s="758"/>
      <c r="AB43" s="758"/>
      <c r="AC43" s="758"/>
      <c r="AD43" s="758"/>
      <c r="AE43" s="758"/>
      <c r="AF43" s="758"/>
      <c r="AG43" s="758"/>
      <c r="AH43" s="758"/>
      <c r="AI43" s="758"/>
      <c r="AJ43" s="758"/>
      <c r="AK43" s="758"/>
      <c r="AL43" s="758"/>
    </row>
    <row r="44" spans="2:38" x14ac:dyDescent="0.2">
      <c r="F44" s="758"/>
      <c r="G44" s="758"/>
      <c r="H44" s="758"/>
      <c r="I44" s="758"/>
      <c r="J44" s="758"/>
      <c r="K44" s="758"/>
      <c r="L44" s="758"/>
      <c r="M44" s="758"/>
      <c r="N44" s="758"/>
      <c r="O44" s="758"/>
      <c r="P44" s="758"/>
      <c r="Q44" s="758"/>
      <c r="R44" s="758"/>
      <c r="S44" s="758"/>
      <c r="T44" s="758"/>
      <c r="U44" s="758"/>
      <c r="V44" s="758"/>
      <c r="W44" s="758"/>
      <c r="X44" s="758"/>
      <c r="Y44" s="758"/>
      <c r="Z44" s="758"/>
      <c r="AA44" s="758"/>
      <c r="AB44" s="758"/>
      <c r="AC44" s="758"/>
      <c r="AD44" s="758"/>
      <c r="AE44" s="758"/>
      <c r="AF44" s="758"/>
      <c r="AG44" s="758"/>
      <c r="AH44" s="758"/>
      <c r="AI44" s="758"/>
      <c r="AJ44" s="758"/>
      <c r="AK44" s="758"/>
      <c r="AL44" s="758"/>
    </row>
    <row r="45" spans="2:38" x14ac:dyDescent="0.2">
      <c r="F45" s="1232"/>
      <c r="G45" s="1232"/>
      <c r="H45" s="758"/>
      <c r="I45" s="1232"/>
      <c r="J45" s="1232"/>
      <c r="K45" s="758"/>
      <c r="L45" s="1232"/>
      <c r="M45" s="1232"/>
      <c r="N45" s="758"/>
      <c r="O45" s="1233"/>
      <c r="P45" s="1234"/>
      <c r="Q45" s="758"/>
      <c r="R45" s="758"/>
      <c r="S45" s="1232"/>
      <c r="T45" s="1232"/>
      <c r="U45" s="758"/>
      <c r="V45" s="1232"/>
      <c r="W45" s="1232"/>
      <c r="X45" s="758"/>
      <c r="Y45" s="1232"/>
      <c r="Z45" s="1232"/>
      <c r="AA45" s="758"/>
      <c r="AB45" s="1233"/>
      <c r="AC45" s="1233"/>
      <c r="AD45" s="758"/>
      <c r="AE45" s="1233"/>
      <c r="AF45" s="1233"/>
      <c r="AG45" s="758"/>
      <c r="AH45" s="1233"/>
      <c r="AI45" s="1233"/>
      <c r="AJ45" s="816"/>
      <c r="AK45" s="1232"/>
      <c r="AL45" s="1232"/>
    </row>
    <row r="46" spans="2:38" x14ac:dyDescent="0.2">
      <c r="F46" s="758"/>
      <c r="G46" s="760"/>
      <c r="H46" s="758"/>
      <c r="I46" s="758"/>
      <c r="J46" s="760"/>
      <c r="K46" s="758"/>
      <c r="L46" s="758"/>
      <c r="M46" s="760"/>
      <c r="N46" s="758"/>
      <c r="O46" s="758"/>
      <c r="P46" s="761"/>
      <c r="Q46" s="758"/>
      <c r="R46" s="758"/>
      <c r="S46" s="758"/>
      <c r="T46" s="760"/>
      <c r="U46" s="758"/>
      <c r="V46" s="758"/>
      <c r="W46" s="760"/>
      <c r="X46" s="758"/>
      <c r="Y46" s="758"/>
      <c r="Z46" s="760"/>
      <c r="AA46" s="758"/>
      <c r="AB46" s="758"/>
      <c r="AC46" s="758"/>
      <c r="AD46" s="758"/>
      <c r="AE46" s="758"/>
      <c r="AF46" s="758"/>
      <c r="AG46" s="758"/>
      <c r="AH46" s="758"/>
      <c r="AI46" s="758"/>
      <c r="AJ46" s="758"/>
      <c r="AK46" s="758"/>
      <c r="AL46" s="758"/>
    </row>
    <row r="47" spans="2:38" x14ac:dyDescent="0.2">
      <c r="F47" s="815"/>
      <c r="G47" s="752"/>
      <c r="H47" s="758"/>
      <c r="I47" s="815"/>
      <c r="J47" s="762"/>
      <c r="K47" s="758"/>
      <c r="L47" s="815"/>
      <c r="M47" s="752"/>
      <c r="N47" s="758"/>
      <c r="O47" s="815"/>
      <c r="P47" s="757"/>
      <c r="Q47" s="758"/>
      <c r="R47" s="758"/>
      <c r="S47" s="815"/>
      <c r="T47" s="752"/>
      <c r="U47" s="758"/>
      <c r="V47" s="815"/>
      <c r="W47" s="752"/>
      <c r="X47" s="758"/>
      <c r="Y47" s="815"/>
      <c r="Z47" s="757"/>
      <c r="AA47" s="758"/>
      <c r="AB47" s="817"/>
      <c r="AC47" s="758"/>
      <c r="AD47" s="758"/>
      <c r="AE47" s="817"/>
      <c r="AF47" s="758"/>
      <c r="AG47" s="758"/>
      <c r="AH47" s="817"/>
      <c r="AI47" s="758"/>
      <c r="AJ47" s="758"/>
      <c r="AK47" s="817"/>
      <c r="AL47" s="758"/>
    </row>
    <row r="48" spans="2:38" x14ac:dyDescent="0.2">
      <c r="F48" s="758"/>
      <c r="G48" s="758"/>
      <c r="H48" s="758"/>
      <c r="I48" s="758"/>
      <c r="J48" s="758"/>
      <c r="K48" s="758"/>
      <c r="L48" s="758"/>
      <c r="M48" s="758"/>
      <c r="N48" s="758"/>
      <c r="O48" s="758"/>
      <c r="P48" s="758"/>
      <c r="Q48" s="758"/>
      <c r="R48" s="758"/>
      <c r="S48" s="758"/>
      <c r="T48" s="758"/>
      <c r="U48" s="758"/>
      <c r="V48" s="758"/>
      <c r="W48" s="758"/>
      <c r="X48" s="758"/>
      <c r="Y48" s="758"/>
      <c r="Z48" s="758"/>
      <c r="AA48" s="758"/>
      <c r="AB48" s="758"/>
      <c r="AC48" s="758"/>
      <c r="AD48" s="758"/>
      <c r="AE48" s="758"/>
      <c r="AF48" s="758"/>
      <c r="AG48" s="758"/>
      <c r="AH48" s="758"/>
      <c r="AI48" s="758"/>
      <c r="AJ48" s="758"/>
      <c r="AK48" s="758"/>
      <c r="AL48" s="758"/>
    </row>
    <row r="49" spans="6:38" x14ac:dyDescent="0.2">
      <c r="F49" s="758"/>
      <c r="G49" s="758"/>
      <c r="H49" s="758"/>
      <c r="I49" s="758"/>
      <c r="J49" s="758"/>
      <c r="K49" s="758"/>
      <c r="L49" s="758"/>
      <c r="M49" s="758"/>
      <c r="N49" s="758"/>
      <c r="O49" s="758"/>
      <c r="P49" s="758"/>
      <c r="Q49" s="758"/>
      <c r="R49" s="758"/>
      <c r="S49" s="758"/>
      <c r="T49" s="758"/>
      <c r="U49" s="758"/>
      <c r="V49" s="758"/>
      <c r="W49" s="758"/>
      <c r="X49" s="758"/>
      <c r="Y49" s="758"/>
      <c r="Z49" s="758"/>
      <c r="AA49" s="758"/>
      <c r="AB49" s="758"/>
      <c r="AC49" s="758"/>
      <c r="AD49" s="758"/>
      <c r="AE49" s="758"/>
      <c r="AF49" s="758"/>
      <c r="AG49" s="758"/>
      <c r="AH49" s="758"/>
      <c r="AI49" s="758"/>
      <c r="AJ49" s="758"/>
      <c r="AK49" s="758"/>
      <c r="AL49" s="758"/>
    </row>
    <row r="50" spans="6:38" x14ac:dyDescent="0.2">
      <c r="F50" s="758"/>
      <c r="G50" s="758"/>
      <c r="H50" s="758"/>
      <c r="I50" s="758"/>
      <c r="J50" s="758"/>
      <c r="K50" s="758"/>
      <c r="L50" s="758"/>
      <c r="M50" s="758"/>
      <c r="N50" s="1232"/>
      <c r="O50" s="1232"/>
      <c r="P50" s="758"/>
      <c r="Q50" s="758"/>
      <c r="R50" s="758"/>
      <c r="S50" s="758"/>
      <c r="T50" s="758"/>
      <c r="U50" s="758"/>
      <c r="V50" s="758"/>
      <c r="W50" s="758"/>
      <c r="X50" s="758"/>
      <c r="Y50" s="758"/>
      <c r="Z50" s="758"/>
      <c r="AA50" s="758"/>
      <c r="AB50" s="758"/>
      <c r="AC50" s="758"/>
      <c r="AD50" s="758"/>
      <c r="AE50" s="758"/>
      <c r="AF50" s="758"/>
      <c r="AG50" s="758"/>
      <c r="AH50" s="758"/>
      <c r="AI50" s="758"/>
      <c r="AJ50" s="758"/>
      <c r="AK50" s="758"/>
      <c r="AL50" s="758"/>
    </row>
    <row r="51" spans="6:38" x14ac:dyDescent="0.2">
      <c r="N51" s="758"/>
      <c r="O51" s="754"/>
    </row>
    <row r="52" spans="6:38" x14ac:dyDescent="0.2">
      <c r="N52" s="815"/>
      <c r="O52" s="757"/>
    </row>
  </sheetData>
  <sheetProtection formatCells="0" formatColumns="0" formatRows="0" insertColumns="0" insertRows="0" insertHyperlinks="0" deleteColumns="0" deleteRows="0" selectLockedCells="1"/>
  <mergeCells count="51">
    <mergeCell ref="F11:K11"/>
    <mergeCell ref="C12:E12"/>
    <mergeCell ref="F12:K12"/>
    <mergeCell ref="C13:E13"/>
    <mergeCell ref="F13:K13"/>
    <mergeCell ref="C11:E11"/>
    <mergeCell ref="AK45:AL45"/>
    <mergeCell ref="N50:O50"/>
    <mergeCell ref="C17:E17"/>
    <mergeCell ref="F17:K17"/>
    <mergeCell ref="C18:E18"/>
    <mergeCell ref="F18:K18"/>
    <mergeCell ref="V40:Y40"/>
    <mergeCell ref="AC40:AE40"/>
    <mergeCell ref="AI40:AJ40"/>
    <mergeCell ref="F45:G45"/>
    <mergeCell ref="I45:J45"/>
    <mergeCell ref="L45:M45"/>
    <mergeCell ref="O45:P45"/>
    <mergeCell ref="S45:T45"/>
    <mergeCell ref="V45:W45"/>
    <mergeCell ref="Y45:Z45"/>
    <mergeCell ref="AB45:AC45"/>
    <mergeCell ref="AE45:AF45"/>
    <mergeCell ref="AH45:AI45"/>
    <mergeCell ref="F23:G23"/>
    <mergeCell ref="L23:M23"/>
    <mergeCell ref="B36:D36"/>
    <mergeCell ref="F40:G40"/>
    <mergeCell ref="J40:K40"/>
    <mergeCell ref="M13:O13"/>
    <mergeCell ref="D19:E19"/>
    <mergeCell ref="I19:J19"/>
    <mergeCell ref="L20:M20"/>
    <mergeCell ref="C15:E15"/>
    <mergeCell ref="F15:K15"/>
    <mergeCell ref="C16:E16"/>
    <mergeCell ref="F16:K16"/>
    <mergeCell ref="C14:E14"/>
    <mergeCell ref="F14:K14"/>
    <mergeCell ref="N40:O40"/>
    <mergeCell ref="C5:D5"/>
    <mergeCell ref="G6:H6"/>
    <mergeCell ref="F9:K9"/>
    <mergeCell ref="C10:E10"/>
    <mergeCell ref="F10:K10"/>
    <mergeCell ref="C7:E7"/>
    <mergeCell ref="F7:K7"/>
    <mergeCell ref="C8:E8"/>
    <mergeCell ref="F8:K8"/>
    <mergeCell ref="C9:E9"/>
  </mergeCells>
  <pageMargins left="0.511811024" right="0.511811024" top="0.78740157499999996" bottom="0.78740157499999996" header="0.31496062000000002" footer="0.31496062000000002"/>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Planilhas</vt:lpstr>
      </vt:variant>
      <vt:variant>
        <vt:i4>28</vt:i4>
      </vt:variant>
    </vt:vector>
  </HeadingPairs>
  <TitlesOfParts>
    <vt:vector size="28" baseType="lpstr">
      <vt:lpstr>Home</vt:lpstr>
      <vt:lpstr>Input Financeiro atual</vt:lpstr>
      <vt:lpstr>Input Zootecnico atual</vt:lpstr>
      <vt:lpstr>Input Processos</vt:lpstr>
      <vt:lpstr>Input Mastite</vt:lpstr>
      <vt:lpstr>Analise Econômica</vt:lpstr>
      <vt:lpstr>Análise dos Processos</vt:lpstr>
      <vt:lpstr>Avaliação dos Funcionários</vt:lpstr>
      <vt:lpstr>Avaliação das perdas</vt:lpstr>
      <vt:lpstr>Perdas por Mastite</vt:lpstr>
      <vt:lpstr>SWOT</vt:lpstr>
      <vt:lpstr>Projetos</vt:lpstr>
      <vt:lpstr>Inputs</vt:lpstr>
      <vt:lpstr>Ev. Rebanho</vt:lpstr>
      <vt:lpstr>Alim. 1 trim.</vt:lpstr>
      <vt:lpstr>Alim. 2 trim.</vt:lpstr>
      <vt:lpstr>Alim. 3 trim.</vt:lpstr>
      <vt:lpstr>Alim. 4 trim.</vt:lpstr>
      <vt:lpstr>Estatisticas Economicas</vt:lpstr>
      <vt:lpstr>DRA</vt:lpstr>
      <vt:lpstr>Orçamento</vt:lpstr>
      <vt:lpstr>Realizado</vt:lpstr>
      <vt:lpstr>Simulação do Caixa</vt:lpstr>
      <vt:lpstr>Caixa Dinâmico</vt:lpstr>
      <vt:lpstr>MANTRA</vt:lpstr>
      <vt:lpstr>Visão</vt:lpstr>
      <vt:lpstr>SandBox</vt:lpstr>
      <vt:lpstr>Versões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Usuário do Microsoft Office</cp:lastModifiedBy>
  <cp:lastPrinted>2016-01-27T17:16:02Z</cp:lastPrinted>
  <dcterms:created xsi:type="dcterms:W3CDTF">2014-11-21T17:42:48Z</dcterms:created>
  <dcterms:modified xsi:type="dcterms:W3CDTF">2016-04-05T21:21:43Z</dcterms:modified>
</cp:coreProperties>
</file>